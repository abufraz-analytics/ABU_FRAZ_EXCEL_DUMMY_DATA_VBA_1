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a0dfca06ca6dbf2/Desktop/FARAZ ABBAS EXECL DUM/GITHUB DATA/"/>
    </mc:Choice>
  </mc:AlternateContent>
  <xr:revisionPtr revIDLastSave="4518" documentId="8_{F5F4C7AB-815B-471A-952E-210EDEC120F6}" xr6:coauthVersionLast="47" xr6:coauthVersionMax="47" xr10:uidLastSave="{616C04FA-49B5-406A-862E-2AC9F8A68E90}"/>
  <bookViews>
    <workbookView xWindow="-120" yWindow="-120" windowWidth="29040" windowHeight="16440" firstSheet="3" activeTab="7" xr2:uid="{5222F3E2-4D0B-4373-99B3-408282FD0EF0}"/>
  </bookViews>
  <sheets>
    <sheet name="DAILY TRANSACTION WITH BILL" sheetId="1" r:id="rId1"/>
    <sheet name="DAILY TRANSACTION WITHOUT BILL" sheetId="2" r:id="rId2"/>
    <sheet name="ALL EXPENSES AND OTHER INCOME" sheetId="3" r:id="rId3"/>
    <sheet name="PIVOT" sheetId="4" r:id="rId4"/>
    <sheet name="DASHBOARD" sheetId="5" r:id="rId5"/>
    <sheet name="EXPENSES_SEARCH_ROOM" sheetId="7" r:id="rId6"/>
    <sheet name="WITH_BILL_SEARCH_ROOM" sheetId="8" r:id="rId7"/>
    <sheet name="WITHOUT_BILL_SEARCH_ROOM" sheetId="9" r:id="rId8"/>
  </sheets>
  <definedNames>
    <definedName name="_xlnm._FilterDatabase" localSheetId="2" hidden="1">'ALL EXPENSES AND OTHER INCOME'!$A$1:$R$792</definedName>
    <definedName name="_xlnm._FilterDatabase" localSheetId="0" hidden="1">'DAILY TRANSACTION WITH BILL'!$A$1:$Z$791</definedName>
    <definedName name="_xlnm._FilterDatabase" localSheetId="1" hidden="1">'DAILY TRANSACTION WITHOUT BILL'!$A$1:$Z$340</definedName>
  </definedNames>
  <calcPr calcId="191029"/>
  <pivotCaches>
    <pivotCache cacheId="115" r:id="rId9"/>
    <pivotCache cacheId="116" r:id="rId10"/>
    <pivotCache cacheId="117" r:id="rId11"/>
    <pivotCache cacheId="13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8" i="5" l="1"/>
  <c r="F30" i="2"/>
  <c r="F29" i="2"/>
  <c r="F508" i="1"/>
  <c r="AC2" i="1" a="1"/>
  <c r="AC2" i="1" s="1"/>
  <c r="T340" i="2"/>
  <c r="R340" i="2"/>
  <c r="P340" i="2"/>
  <c r="O340" i="2"/>
  <c r="N340" i="2"/>
  <c r="M340" i="2"/>
  <c r="L340" i="2"/>
  <c r="K340" i="2"/>
  <c r="J340" i="2"/>
  <c r="I340" i="2"/>
  <c r="H340" i="2"/>
  <c r="S340" i="2" s="1"/>
  <c r="F340" i="2"/>
  <c r="Q340" i="2" s="1"/>
  <c r="T339" i="2"/>
  <c r="S339" i="2"/>
  <c r="R339" i="2"/>
  <c r="Q339" i="2"/>
  <c r="P339" i="2"/>
  <c r="O339" i="2"/>
  <c r="N339" i="2"/>
  <c r="M339" i="2"/>
  <c r="L339" i="2"/>
  <c r="J339" i="2"/>
  <c r="I339" i="2"/>
  <c r="G339" i="2"/>
  <c r="F339" i="2"/>
  <c r="K339" i="2" s="1"/>
  <c r="T338" i="2"/>
  <c r="R338" i="2"/>
  <c r="P338" i="2"/>
  <c r="O338" i="2"/>
  <c r="N338" i="2"/>
  <c r="M338" i="2"/>
  <c r="L338" i="2"/>
  <c r="K338" i="2"/>
  <c r="J338" i="2"/>
  <c r="I338" i="2"/>
  <c r="H338" i="2"/>
  <c r="S338" i="2" s="1"/>
  <c r="F338" i="2"/>
  <c r="Q338" i="2" s="1"/>
  <c r="T337" i="2"/>
  <c r="S337" i="2"/>
  <c r="R337" i="2"/>
  <c r="Q337" i="2"/>
  <c r="P337" i="2"/>
  <c r="O337" i="2"/>
  <c r="N337" i="2"/>
  <c r="M337" i="2"/>
  <c r="L337" i="2"/>
  <c r="J337" i="2"/>
  <c r="I337" i="2"/>
  <c r="G337" i="2"/>
  <c r="F337" i="2"/>
  <c r="K337" i="2" s="1"/>
  <c r="T336" i="2"/>
  <c r="R336" i="2"/>
  <c r="P336" i="2"/>
  <c r="O336" i="2"/>
  <c r="N336" i="2"/>
  <c r="M336" i="2"/>
  <c r="L336" i="2"/>
  <c r="K336" i="2"/>
  <c r="J336" i="2"/>
  <c r="I336" i="2"/>
  <c r="H336" i="2"/>
  <c r="S336" i="2" s="1"/>
  <c r="F336" i="2"/>
  <c r="Q336" i="2" s="1"/>
  <c r="T335" i="2"/>
  <c r="S335" i="2"/>
  <c r="R335" i="2"/>
  <c r="Q335" i="2"/>
  <c r="P335" i="2"/>
  <c r="O335" i="2"/>
  <c r="N335" i="2"/>
  <c r="M335" i="2"/>
  <c r="L335" i="2"/>
  <c r="J335" i="2"/>
  <c r="I335" i="2"/>
  <c r="G335" i="2"/>
  <c r="F335" i="2"/>
  <c r="K335" i="2" s="1"/>
  <c r="T334" i="2"/>
  <c r="S334" i="2"/>
  <c r="R334" i="2"/>
  <c r="Q334" i="2"/>
  <c r="P334" i="2"/>
  <c r="O334" i="2"/>
  <c r="N334" i="2"/>
  <c r="M334" i="2"/>
  <c r="L334" i="2"/>
  <c r="J334" i="2"/>
  <c r="I334" i="2"/>
  <c r="G334" i="2"/>
  <c r="F334" i="2"/>
  <c r="K334" i="2" s="1"/>
  <c r="T333" i="2"/>
  <c r="R333" i="2"/>
  <c r="P333" i="2"/>
  <c r="O333" i="2"/>
  <c r="N333" i="2"/>
  <c r="M333" i="2"/>
  <c r="L333" i="2"/>
  <c r="K333" i="2"/>
  <c r="J333" i="2"/>
  <c r="I333" i="2"/>
  <c r="H333" i="2"/>
  <c r="S333" i="2" s="1"/>
  <c r="F333" i="2"/>
  <c r="Q333" i="2" s="1"/>
  <c r="T332" i="2"/>
  <c r="R332" i="2"/>
  <c r="P332" i="2"/>
  <c r="O332" i="2"/>
  <c r="N332" i="2"/>
  <c r="M332" i="2"/>
  <c r="L332" i="2"/>
  <c r="K332" i="2"/>
  <c r="J332" i="2"/>
  <c r="I332" i="2"/>
  <c r="H332" i="2"/>
  <c r="S332" i="2" s="1"/>
  <c r="F332" i="2"/>
  <c r="Q332" i="2" s="1"/>
  <c r="T331" i="2"/>
  <c r="R331" i="2"/>
  <c r="P331" i="2"/>
  <c r="O331" i="2"/>
  <c r="N331" i="2"/>
  <c r="M331" i="2"/>
  <c r="L331" i="2"/>
  <c r="K331" i="2"/>
  <c r="J331" i="2"/>
  <c r="I331" i="2"/>
  <c r="H331" i="2"/>
  <c r="S331" i="2" s="1"/>
  <c r="F331" i="2"/>
  <c r="Q331" i="2" s="1"/>
  <c r="T330" i="2"/>
  <c r="R330" i="2"/>
  <c r="P330" i="2"/>
  <c r="O330" i="2"/>
  <c r="N330" i="2"/>
  <c r="M330" i="2"/>
  <c r="L330" i="2"/>
  <c r="K330" i="2"/>
  <c r="J330" i="2"/>
  <c r="I330" i="2"/>
  <c r="H330" i="2"/>
  <c r="S330" i="2" s="1"/>
  <c r="F330" i="2"/>
  <c r="Q330" i="2" s="1"/>
  <c r="T329" i="2"/>
  <c r="S329" i="2"/>
  <c r="R329" i="2"/>
  <c r="Q329" i="2"/>
  <c r="P329" i="2"/>
  <c r="O329" i="2"/>
  <c r="N329" i="2"/>
  <c r="M329" i="2"/>
  <c r="L329" i="2"/>
  <c r="J329" i="2"/>
  <c r="I329" i="2"/>
  <c r="G329" i="2"/>
  <c r="F329" i="2"/>
  <c r="K329" i="2" s="1"/>
  <c r="T328" i="2"/>
  <c r="S328" i="2"/>
  <c r="R328" i="2"/>
  <c r="Q328" i="2"/>
  <c r="P328" i="2"/>
  <c r="O328" i="2"/>
  <c r="N328" i="2"/>
  <c r="M328" i="2"/>
  <c r="L328" i="2"/>
  <c r="J328" i="2"/>
  <c r="I328" i="2"/>
  <c r="G328" i="2"/>
  <c r="F328" i="2"/>
  <c r="K328" i="2" s="1"/>
  <c r="T327" i="2"/>
  <c r="S327" i="2"/>
  <c r="R327" i="2"/>
  <c r="Q327" i="2"/>
  <c r="P327" i="2"/>
  <c r="O327" i="2"/>
  <c r="N327" i="2"/>
  <c r="M327" i="2"/>
  <c r="L327" i="2"/>
  <c r="J327" i="2"/>
  <c r="I327" i="2"/>
  <c r="G327" i="2"/>
  <c r="F327" i="2"/>
  <c r="K327" i="2" s="1"/>
  <c r="S326" i="2"/>
  <c r="Q326" i="2"/>
  <c r="P326" i="2"/>
  <c r="O326" i="2"/>
  <c r="N326" i="2"/>
  <c r="M326" i="2"/>
  <c r="L326" i="2"/>
  <c r="K326" i="2"/>
  <c r="J326" i="2"/>
  <c r="I326" i="2"/>
  <c r="H326" i="2"/>
  <c r="T326" i="2" s="1"/>
  <c r="F326" i="2"/>
  <c r="R326" i="2" s="1"/>
  <c r="T325" i="2"/>
  <c r="R325" i="2"/>
  <c r="P325" i="2"/>
  <c r="O325" i="2"/>
  <c r="N325" i="2"/>
  <c r="M325" i="2"/>
  <c r="L325" i="2"/>
  <c r="K325" i="2"/>
  <c r="J325" i="2"/>
  <c r="I325" i="2"/>
  <c r="H325" i="2"/>
  <c r="S325" i="2" s="1"/>
  <c r="F325" i="2"/>
  <c r="Q325" i="2" s="1"/>
  <c r="T324" i="2"/>
  <c r="R324" i="2"/>
  <c r="P324" i="2"/>
  <c r="O324" i="2"/>
  <c r="N324" i="2"/>
  <c r="M324" i="2"/>
  <c r="L324" i="2"/>
  <c r="K324" i="2"/>
  <c r="J324" i="2"/>
  <c r="I324" i="2"/>
  <c r="H324" i="2"/>
  <c r="S324" i="2" s="1"/>
  <c r="F324" i="2"/>
  <c r="Q324" i="2" s="1"/>
  <c r="T323" i="2"/>
  <c r="S323" i="2"/>
  <c r="R323" i="2"/>
  <c r="Q323" i="2"/>
  <c r="P323" i="2"/>
  <c r="O323" i="2"/>
  <c r="N323" i="2"/>
  <c r="M323" i="2"/>
  <c r="L323" i="2"/>
  <c r="J323" i="2"/>
  <c r="I323" i="2"/>
  <c r="G323" i="2"/>
  <c r="F323" i="2"/>
  <c r="K323" i="2" s="1"/>
  <c r="T322" i="2"/>
  <c r="S322" i="2"/>
  <c r="R322" i="2"/>
  <c r="Q322" i="2"/>
  <c r="P322" i="2"/>
  <c r="O322" i="2"/>
  <c r="N322" i="2"/>
  <c r="M322" i="2"/>
  <c r="L322" i="2"/>
  <c r="J322" i="2"/>
  <c r="I322" i="2"/>
  <c r="G322" i="2"/>
  <c r="F322" i="2"/>
  <c r="K322" i="2" s="1"/>
  <c r="T321" i="2"/>
  <c r="R321" i="2"/>
  <c r="P321" i="2"/>
  <c r="O321" i="2"/>
  <c r="N321" i="2"/>
  <c r="M321" i="2"/>
  <c r="L321" i="2"/>
  <c r="K321" i="2"/>
  <c r="J321" i="2"/>
  <c r="I321" i="2"/>
  <c r="H321" i="2"/>
  <c r="S321" i="2" s="1"/>
  <c r="F321" i="2"/>
  <c r="Q321" i="2" s="1"/>
  <c r="T320" i="2"/>
  <c r="R320" i="2"/>
  <c r="P320" i="2"/>
  <c r="O320" i="2"/>
  <c r="N320" i="2"/>
  <c r="M320" i="2"/>
  <c r="L320" i="2"/>
  <c r="K320" i="2"/>
  <c r="J320" i="2"/>
  <c r="I320" i="2"/>
  <c r="H320" i="2"/>
  <c r="S320" i="2" s="1"/>
  <c r="F320" i="2"/>
  <c r="Q320" i="2" s="1"/>
  <c r="T319" i="2"/>
  <c r="R319" i="2"/>
  <c r="P319" i="2"/>
  <c r="O319" i="2"/>
  <c r="N319" i="2"/>
  <c r="M319" i="2"/>
  <c r="L319" i="2"/>
  <c r="K319" i="2"/>
  <c r="J319" i="2"/>
  <c r="I319" i="2"/>
  <c r="H319" i="2"/>
  <c r="S319" i="2" s="1"/>
  <c r="F319" i="2"/>
  <c r="Q319" i="2" s="1"/>
  <c r="T318" i="2"/>
  <c r="S318" i="2"/>
  <c r="R318" i="2"/>
  <c r="Q318" i="2"/>
  <c r="P318" i="2"/>
  <c r="O318" i="2"/>
  <c r="N318" i="2"/>
  <c r="M318" i="2"/>
  <c r="L318" i="2"/>
  <c r="J318" i="2"/>
  <c r="I318" i="2"/>
  <c r="G318" i="2"/>
  <c r="F318" i="2"/>
  <c r="K318" i="2" s="1"/>
  <c r="T317" i="2"/>
  <c r="S317" i="2"/>
  <c r="R317" i="2"/>
  <c r="Q317" i="2"/>
  <c r="P317" i="2"/>
  <c r="O317" i="2"/>
  <c r="N317" i="2"/>
  <c r="M317" i="2"/>
  <c r="L317" i="2"/>
  <c r="J317" i="2"/>
  <c r="I317" i="2"/>
  <c r="G317" i="2"/>
  <c r="F317" i="2"/>
  <c r="K317" i="2" s="1"/>
  <c r="T316" i="2"/>
  <c r="S316" i="2"/>
  <c r="R316" i="2"/>
  <c r="Q316" i="2"/>
  <c r="P316" i="2"/>
  <c r="O316" i="2"/>
  <c r="N316" i="2"/>
  <c r="M316" i="2"/>
  <c r="L316" i="2"/>
  <c r="J316" i="2"/>
  <c r="I316" i="2"/>
  <c r="G316" i="2"/>
  <c r="F316" i="2"/>
  <c r="K316" i="2" s="1"/>
  <c r="T315" i="2"/>
  <c r="R315" i="2"/>
  <c r="P315" i="2"/>
  <c r="O315" i="2"/>
  <c r="N315" i="2"/>
  <c r="M315" i="2"/>
  <c r="L315" i="2"/>
  <c r="K315" i="2"/>
  <c r="J315" i="2"/>
  <c r="I315" i="2"/>
  <c r="H315" i="2"/>
  <c r="S315" i="2" s="1"/>
  <c r="F315" i="2"/>
  <c r="Q315" i="2" s="1"/>
  <c r="T314" i="2"/>
  <c r="S314" i="2"/>
  <c r="R314" i="2"/>
  <c r="Q314" i="2"/>
  <c r="P314" i="2"/>
  <c r="O314" i="2"/>
  <c r="N314" i="2"/>
  <c r="M314" i="2"/>
  <c r="L314" i="2"/>
  <c r="J314" i="2"/>
  <c r="I314" i="2"/>
  <c r="G314" i="2"/>
  <c r="F314" i="2"/>
  <c r="K314" i="2" s="1"/>
  <c r="T313" i="2"/>
  <c r="S313" i="2"/>
  <c r="R313" i="2"/>
  <c r="Q313" i="2"/>
  <c r="P313" i="2"/>
  <c r="O313" i="2"/>
  <c r="N313" i="2"/>
  <c r="M313" i="2"/>
  <c r="L313" i="2"/>
  <c r="J313" i="2"/>
  <c r="I313" i="2"/>
  <c r="G313" i="2"/>
  <c r="F313" i="2"/>
  <c r="K313" i="2" s="1"/>
  <c r="T312" i="2"/>
  <c r="R312" i="2"/>
  <c r="P312" i="2"/>
  <c r="O312" i="2"/>
  <c r="N312" i="2"/>
  <c r="M312" i="2"/>
  <c r="L312" i="2"/>
  <c r="K312" i="2"/>
  <c r="J312" i="2"/>
  <c r="I312" i="2"/>
  <c r="H312" i="2"/>
  <c r="S312" i="2" s="1"/>
  <c r="F312" i="2"/>
  <c r="Q312" i="2" s="1"/>
  <c r="T311" i="2"/>
  <c r="R311" i="2"/>
  <c r="P311" i="2"/>
  <c r="O311" i="2"/>
  <c r="N311" i="2"/>
  <c r="M311" i="2"/>
  <c r="L311" i="2"/>
  <c r="K311" i="2"/>
  <c r="J311" i="2"/>
  <c r="I311" i="2"/>
  <c r="H311" i="2"/>
  <c r="S311" i="2" s="1"/>
  <c r="F311" i="2"/>
  <c r="Q311" i="2" s="1"/>
  <c r="T310" i="2"/>
  <c r="R310" i="2"/>
  <c r="P310" i="2"/>
  <c r="O310" i="2"/>
  <c r="N310" i="2"/>
  <c r="M310" i="2"/>
  <c r="L310" i="2"/>
  <c r="K310" i="2"/>
  <c r="J310" i="2"/>
  <c r="I310" i="2"/>
  <c r="H310" i="2"/>
  <c r="S310" i="2" s="1"/>
  <c r="F310" i="2"/>
  <c r="Q310" i="2" s="1"/>
  <c r="T309" i="2"/>
  <c r="R309" i="2"/>
  <c r="P309" i="2"/>
  <c r="O309" i="2"/>
  <c r="N309" i="2"/>
  <c r="M309" i="2"/>
  <c r="L309" i="2"/>
  <c r="K309" i="2"/>
  <c r="J309" i="2"/>
  <c r="I309" i="2"/>
  <c r="H309" i="2"/>
  <c r="S309" i="2" s="1"/>
  <c r="F309" i="2"/>
  <c r="Q309" i="2" s="1"/>
  <c r="T308" i="2"/>
  <c r="S308" i="2"/>
  <c r="R308" i="2"/>
  <c r="Q308" i="2"/>
  <c r="P308" i="2"/>
  <c r="O308" i="2"/>
  <c r="N308" i="2"/>
  <c r="M308" i="2"/>
  <c r="L308" i="2"/>
  <c r="J308" i="2"/>
  <c r="I308" i="2"/>
  <c r="G308" i="2"/>
  <c r="F308" i="2"/>
  <c r="K308" i="2" s="1"/>
  <c r="T307" i="2"/>
  <c r="S307" i="2"/>
  <c r="R307" i="2"/>
  <c r="Q307" i="2"/>
  <c r="P307" i="2"/>
  <c r="O307" i="2"/>
  <c r="N307" i="2"/>
  <c r="M307" i="2"/>
  <c r="L307" i="2"/>
  <c r="J307" i="2"/>
  <c r="I307" i="2"/>
  <c r="G307" i="2"/>
  <c r="F307" i="2"/>
  <c r="K307" i="2" s="1"/>
  <c r="T306" i="2"/>
  <c r="S306" i="2"/>
  <c r="R306" i="2"/>
  <c r="Q306" i="2"/>
  <c r="P306" i="2"/>
  <c r="O306" i="2"/>
  <c r="N306" i="2"/>
  <c r="M306" i="2"/>
  <c r="L306" i="2"/>
  <c r="J306" i="2"/>
  <c r="I306" i="2"/>
  <c r="G306" i="2"/>
  <c r="F306" i="2"/>
  <c r="K306" i="2" s="1"/>
  <c r="T305" i="2"/>
  <c r="S305" i="2"/>
  <c r="R305" i="2"/>
  <c r="Q305" i="2"/>
  <c r="P305" i="2"/>
  <c r="O305" i="2"/>
  <c r="N305" i="2"/>
  <c r="M305" i="2"/>
  <c r="L305" i="2"/>
  <c r="J305" i="2"/>
  <c r="I305" i="2"/>
  <c r="G305" i="2"/>
  <c r="F305" i="2"/>
  <c r="K305" i="2" s="1"/>
  <c r="T304" i="2"/>
  <c r="R304" i="2"/>
  <c r="P304" i="2"/>
  <c r="O304" i="2"/>
  <c r="N304" i="2"/>
  <c r="M304" i="2"/>
  <c r="L304" i="2"/>
  <c r="K304" i="2"/>
  <c r="J304" i="2"/>
  <c r="I304" i="2"/>
  <c r="H304" i="2"/>
  <c r="S304" i="2" s="1"/>
  <c r="F304" i="2"/>
  <c r="Q304" i="2" s="1"/>
  <c r="T303" i="2"/>
  <c r="S303" i="2"/>
  <c r="R303" i="2"/>
  <c r="Q303" i="2"/>
  <c r="P303" i="2"/>
  <c r="O303" i="2"/>
  <c r="N303" i="2"/>
  <c r="M303" i="2"/>
  <c r="L303" i="2"/>
  <c r="J303" i="2"/>
  <c r="I303" i="2"/>
  <c r="G303" i="2"/>
  <c r="F303" i="2"/>
  <c r="K303" i="2" s="1"/>
  <c r="T302" i="2"/>
  <c r="S302" i="2"/>
  <c r="R302" i="2"/>
  <c r="Q302" i="2"/>
  <c r="P302" i="2"/>
  <c r="O302" i="2"/>
  <c r="N302" i="2"/>
  <c r="M302" i="2"/>
  <c r="L302" i="2"/>
  <c r="J302" i="2"/>
  <c r="I302" i="2"/>
  <c r="G302" i="2"/>
  <c r="F302" i="2"/>
  <c r="K302" i="2" s="1"/>
  <c r="T301" i="2"/>
  <c r="R301" i="2"/>
  <c r="P301" i="2"/>
  <c r="O301" i="2"/>
  <c r="N301" i="2"/>
  <c r="M301" i="2"/>
  <c r="L301" i="2"/>
  <c r="K301" i="2"/>
  <c r="J301" i="2"/>
  <c r="I301" i="2"/>
  <c r="H301" i="2"/>
  <c r="S301" i="2" s="1"/>
  <c r="F301" i="2"/>
  <c r="Q301" i="2" s="1"/>
  <c r="T300" i="2"/>
  <c r="R300" i="2"/>
  <c r="P300" i="2"/>
  <c r="O300" i="2"/>
  <c r="N300" i="2"/>
  <c r="M300" i="2"/>
  <c r="L300" i="2"/>
  <c r="K300" i="2"/>
  <c r="J300" i="2"/>
  <c r="I300" i="2"/>
  <c r="H300" i="2"/>
  <c r="S300" i="2" s="1"/>
  <c r="F300" i="2"/>
  <c r="Q300" i="2" s="1"/>
  <c r="T299" i="2"/>
  <c r="S299" i="2"/>
  <c r="R299" i="2"/>
  <c r="Q299" i="2"/>
  <c r="P299" i="2"/>
  <c r="O299" i="2"/>
  <c r="N299" i="2"/>
  <c r="M299" i="2"/>
  <c r="L299" i="2"/>
  <c r="J299" i="2"/>
  <c r="I299" i="2"/>
  <c r="G299" i="2"/>
  <c r="F299" i="2"/>
  <c r="K299" i="2" s="1"/>
  <c r="T298" i="2"/>
  <c r="S298" i="2"/>
  <c r="R298" i="2"/>
  <c r="Q298" i="2"/>
  <c r="P298" i="2"/>
  <c r="O298" i="2"/>
  <c r="N298" i="2"/>
  <c r="M298" i="2"/>
  <c r="L298" i="2"/>
  <c r="J298" i="2"/>
  <c r="I298" i="2"/>
  <c r="G298" i="2"/>
  <c r="F298" i="2"/>
  <c r="K298" i="2" s="1"/>
  <c r="T297" i="2"/>
  <c r="R297" i="2"/>
  <c r="P297" i="2"/>
  <c r="O297" i="2"/>
  <c r="N297" i="2"/>
  <c r="M297" i="2"/>
  <c r="L297" i="2"/>
  <c r="K297" i="2"/>
  <c r="J297" i="2"/>
  <c r="I297" i="2"/>
  <c r="H297" i="2"/>
  <c r="S297" i="2" s="1"/>
  <c r="F297" i="2"/>
  <c r="Q297" i="2" s="1"/>
  <c r="T296" i="2"/>
  <c r="R296" i="2"/>
  <c r="P296" i="2"/>
  <c r="O296" i="2"/>
  <c r="N296" i="2"/>
  <c r="M296" i="2"/>
  <c r="L296" i="2"/>
  <c r="K296" i="2"/>
  <c r="J296" i="2"/>
  <c r="I296" i="2"/>
  <c r="H296" i="2"/>
  <c r="S296" i="2" s="1"/>
  <c r="F296" i="2"/>
  <c r="Q296" i="2" s="1"/>
  <c r="T295" i="2"/>
  <c r="S295" i="2"/>
  <c r="R295" i="2"/>
  <c r="Q295" i="2"/>
  <c r="P295" i="2"/>
  <c r="O295" i="2"/>
  <c r="N295" i="2"/>
  <c r="M295" i="2"/>
  <c r="L295" i="2"/>
  <c r="J295" i="2"/>
  <c r="I295" i="2"/>
  <c r="G295" i="2"/>
  <c r="F295" i="2"/>
  <c r="K295" i="2" s="1"/>
  <c r="T294" i="2"/>
  <c r="S294" i="2"/>
  <c r="R294" i="2"/>
  <c r="Q294" i="2"/>
  <c r="P294" i="2"/>
  <c r="O294" i="2"/>
  <c r="N294" i="2"/>
  <c r="M294" i="2"/>
  <c r="L294" i="2"/>
  <c r="J294" i="2"/>
  <c r="I294" i="2"/>
  <c r="G294" i="2"/>
  <c r="F294" i="2"/>
  <c r="K294" i="2" s="1"/>
  <c r="T293" i="2"/>
  <c r="R293" i="2"/>
  <c r="P293" i="2"/>
  <c r="O293" i="2"/>
  <c r="N293" i="2"/>
  <c r="M293" i="2"/>
  <c r="L293" i="2"/>
  <c r="K293" i="2"/>
  <c r="J293" i="2"/>
  <c r="I293" i="2"/>
  <c r="H293" i="2"/>
  <c r="S293" i="2" s="1"/>
  <c r="F293" i="2"/>
  <c r="Q293" i="2" s="1"/>
  <c r="T292" i="2"/>
  <c r="S292" i="2"/>
  <c r="R292" i="2"/>
  <c r="Q292" i="2"/>
  <c r="P292" i="2"/>
  <c r="O292" i="2"/>
  <c r="N292" i="2"/>
  <c r="M292" i="2"/>
  <c r="L292" i="2"/>
  <c r="J292" i="2"/>
  <c r="I292" i="2"/>
  <c r="G292" i="2"/>
  <c r="F292" i="2"/>
  <c r="K292" i="2" s="1"/>
  <c r="T291" i="2"/>
  <c r="R291" i="2"/>
  <c r="P291" i="2"/>
  <c r="O291" i="2"/>
  <c r="N291" i="2"/>
  <c r="M291" i="2"/>
  <c r="L291" i="2"/>
  <c r="K291" i="2"/>
  <c r="J291" i="2"/>
  <c r="I291" i="2"/>
  <c r="H291" i="2"/>
  <c r="S291" i="2" s="1"/>
  <c r="F291" i="2"/>
  <c r="Q291" i="2" s="1"/>
  <c r="T290" i="2"/>
  <c r="R290" i="2"/>
  <c r="P290" i="2"/>
  <c r="O290" i="2"/>
  <c r="N290" i="2"/>
  <c r="M290" i="2"/>
  <c r="L290" i="2"/>
  <c r="K290" i="2"/>
  <c r="J290" i="2"/>
  <c r="I290" i="2"/>
  <c r="H290" i="2"/>
  <c r="S290" i="2" s="1"/>
  <c r="F290" i="2"/>
  <c r="Q290" i="2" s="1"/>
  <c r="T289" i="2"/>
  <c r="S289" i="2"/>
  <c r="R289" i="2"/>
  <c r="Q289" i="2"/>
  <c r="P289" i="2"/>
  <c r="O289" i="2"/>
  <c r="N289" i="2"/>
  <c r="M289" i="2"/>
  <c r="L289" i="2"/>
  <c r="J289" i="2"/>
  <c r="I289" i="2"/>
  <c r="G289" i="2"/>
  <c r="F289" i="2"/>
  <c r="K289" i="2" s="1"/>
  <c r="T288" i="2"/>
  <c r="S288" i="2"/>
  <c r="R288" i="2"/>
  <c r="Q288" i="2"/>
  <c r="P288" i="2"/>
  <c r="O288" i="2"/>
  <c r="N288" i="2"/>
  <c r="M288" i="2"/>
  <c r="L288" i="2"/>
  <c r="J288" i="2"/>
  <c r="I288" i="2"/>
  <c r="G288" i="2"/>
  <c r="F288" i="2"/>
  <c r="K288" i="2" s="1"/>
  <c r="S287" i="2"/>
  <c r="Q287" i="2"/>
  <c r="P287" i="2"/>
  <c r="O287" i="2"/>
  <c r="N287" i="2"/>
  <c r="M287" i="2"/>
  <c r="L287" i="2"/>
  <c r="K287" i="2"/>
  <c r="J287" i="2"/>
  <c r="I287" i="2"/>
  <c r="H287" i="2"/>
  <c r="T287" i="2" s="1"/>
  <c r="F287" i="2"/>
  <c r="R287" i="2" s="1"/>
  <c r="S286" i="2"/>
  <c r="Q286" i="2"/>
  <c r="P286" i="2"/>
  <c r="O286" i="2"/>
  <c r="N286" i="2"/>
  <c r="M286" i="2"/>
  <c r="L286" i="2"/>
  <c r="K286" i="2"/>
  <c r="J286" i="2"/>
  <c r="I286" i="2"/>
  <c r="H286" i="2"/>
  <c r="T286" i="2" s="1"/>
  <c r="F286" i="2"/>
  <c r="R286" i="2" s="1"/>
  <c r="T285" i="2"/>
  <c r="S285" i="2"/>
  <c r="R285" i="2"/>
  <c r="Q285" i="2"/>
  <c r="P285" i="2"/>
  <c r="O285" i="2"/>
  <c r="N285" i="2"/>
  <c r="M285" i="2"/>
  <c r="L285" i="2"/>
  <c r="J285" i="2"/>
  <c r="I285" i="2"/>
  <c r="G285" i="2"/>
  <c r="F285" i="2"/>
  <c r="K285" i="2" s="1"/>
  <c r="T284" i="2"/>
  <c r="R284" i="2"/>
  <c r="P284" i="2"/>
  <c r="O284" i="2"/>
  <c r="N284" i="2"/>
  <c r="M284" i="2"/>
  <c r="L284" i="2"/>
  <c r="K284" i="2"/>
  <c r="J284" i="2"/>
  <c r="I284" i="2"/>
  <c r="H284" i="2"/>
  <c r="S284" i="2" s="1"/>
  <c r="F284" i="2"/>
  <c r="Q284" i="2" s="1"/>
  <c r="T283" i="2"/>
  <c r="S283" i="2"/>
  <c r="R283" i="2"/>
  <c r="Q283" i="2"/>
  <c r="P283" i="2"/>
  <c r="O283" i="2"/>
  <c r="N283" i="2"/>
  <c r="M283" i="2"/>
  <c r="L283" i="2"/>
  <c r="J283" i="2"/>
  <c r="I283" i="2"/>
  <c r="G283" i="2"/>
  <c r="F283" i="2"/>
  <c r="K283" i="2" s="1"/>
  <c r="T282" i="2"/>
  <c r="S282" i="2"/>
  <c r="R282" i="2"/>
  <c r="Q282" i="2"/>
  <c r="P282" i="2"/>
  <c r="O282" i="2"/>
  <c r="N282" i="2"/>
  <c r="M282" i="2"/>
  <c r="L282" i="2"/>
  <c r="K282" i="2"/>
  <c r="J282" i="2"/>
  <c r="I282" i="2"/>
  <c r="H282" i="2"/>
  <c r="F282" i="2"/>
  <c r="T281" i="2"/>
  <c r="S281" i="2"/>
  <c r="R281" i="2"/>
  <c r="P281" i="2"/>
  <c r="O281" i="2"/>
  <c r="N281" i="2"/>
  <c r="M281" i="2"/>
  <c r="L281" i="2"/>
  <c r="K281" i="2"/>
  <c r="J281" i="2"/>
  <c r="I281" i="2"/>
  <c r="F281" i="2"/>
  <c r="Q281" i="2" s="1"/>
  <c r="T280" i="2"/>
  <c r="S280" i="2"/>
  <c r="R280" i="2"/>
  <c r="P280" i="2"/>
  <c r="O280" i="2"/>
  <c r="N280" i="2"/>
  <c r="M280" i="2"/>
  <c r="L280" i="2"/>
  <c r="K280" i="2"/>
  <c r="J280" i="2"/>
  <c r="I280" i="2"/>
  <c r="F280" i="2"/>
  <c r="Q280" i="2" s="1"/>
  <c r="T279" i="2"/>
  <c r="S279" i="2"/>
  <c r="R279" i="2"/>
  <c r="Q279" i="2"/>
  <c r="P279" i="2"/>
  <c r="O279" i="2"/>
  <c r="N279" i="2"/>
  <c r="M279" i="2"/>
  <c r="L279" i="2"/>
  <c r="J279" i="2"/>
  <c r="I279" i="2"/>
  <c r="G279" i="2"/>
  <c r="F279" i="2"/>
  <c r="K279" i="2" s="1"/>
  <c r="T278" i="2"/>
  <c r="S278" i="2"/>
  <c r="R278" i="2"/>
  <c r="Q278" i="2"/>
  <c r="P278" i="2"/>
  <c r="O278" i="2"/>
  <c r="N278" i="2"/>
  <c r="M278" i="2"/>
  <c r="L278" i="2"/>
  <c r="J278" i="2"/>
  <c r="I278" i="2"/>
  <c r="G278" i="2"/>
  <c r="F278" i="2"/>
  <c r="K278" i="2" s="1"/>
  <c r="T277" i="2"/>
  <c r="S277" i="2"/>
  <c r="R277" i="2"/>
  <c r="Q277" i="2"/>
  <c r="P277" i="2"/>
  <c r="O277" i="2"/>
  <c r="N277" i="2"/>
  <c r="M277" i="2"/>
  <c r="L277" i="2"/>
  <c r="J277" i="2"/>
  <c r="I277" i="2"/>
  <c r="G277" i="2"/>
  <c r="F277" i="2"/>
  <c r="K277" i="2" s="1"/>
  <c r="T276" i="2"/>
  <c r="S276" i="2"/>
  <c r="R276" i="2"/>
  <c r="P276" i="2"/>
  <c r="O276" i="2"/>
  <c r="N276" i="2"/>
  <c r="M276" i="2"/>
  <c r="L276" i="2"/>
  <c r="K276" i="2"/>
  <c r="J276" i="2"/>
  <c r="I276" i="2"/>
  <c r="F276" i="2"/>
  <c r="Q276" i="2" s="1"/>
  <c r="T275" i="2"/>
  <c r="S275" i="2"/>
  <c r="R275" i="2"/>
  <c r="Q275" i="2"/>
  <c r="P275" i="2"/>
  <c r="O275" i="2"/>
  <c r="N275" i="2"/>
  <c r="M275" i="2"/>
  <c r="L275" i="2"/>
  <c r="J275" i="2"/>
  <c r="I275" i="2"/>
  <c r="G275" i="2"/>
  <c r="F275" i="2"/>
  <c r="K275" i="2" s="1"/>
  <c r="T273" i="2"/>
  <c r="S273" i="2"/>
  <c r="R273" i="2"/>
  <c r="Q273" i="2"/>
  <c r="P273" i="2"/>
  <c r="O273" i="2"/>
  <c r="N273" i="2"/>
  <c r="M273" i="2"/>
  <c r="L273" i="2"/>
  <c r="J273" i="2"/>
  <c r="I273" i="2"/>
  <c r="G273" i="2"/>
  <c r="F273" i="2"/>
  <c r="K273" i="2" s="1"/>
  <c r="T272" i="2"/>
  <c r="R272" i="2"/>
  <c r="P272" i="2"/>
  <c r="O272" i="2"/>
  <c r="N272" i="2"/>
  <c r="M272" i="2"/>
  <c r="L272" i="2"/>
  <c r="K272" i="2"/>
  <c r="J272" i="2"/>
  <c r="I272" i="2"/>
  <c r="H272" i="2"/>
  <c r="S272" i="2" s="1"/>
  <c r="F272" i="2"/>
  <c r="Q272" i="2" s="1"/>
  <c r="T271" i="2"/>
  <c r="R271" i="2"/>
  <c r="P271" i="2"/>
  <c r="O271" i="2"/>
  <c r="N271" i="2"/>
  <c r="M271" i="2"/>
  <c r="L271" i="2"/>
  <c r="K271" i="2"/>
  <c r="J271" i="2"/>
  <c r="I271" i="2"/>
  <c r="H271" i="2"/>
  <c r="S271" i="2" s="1"/>
  <c r="F271" i="2"/>
  <c r="Q271" i="2" s="1"/>
  <c r="T270" i="2"/>
  <c r="S270" i="2"/>
  <c r="R270" i="2"/>
  <c r="Q270" i="2"/>
  <c r="P270" i="2"/>
  <c r="O270" i="2"/>
  <c r="N270" i="2"/>
  <c r="M270" i="2"/>
  <c r="L270" i="2"/>
  <c r="K270" i="2"/>
  <c r="J270" i="2"/>
  <c r="I270" i="2"/>
  <c r="H270" i="2"/>
  <c r="F270" i="2"/>
  <c r="T269" i="2"/>
  <c r="S269" i="2"/>
  <c r="R269" i="2"/>
  <c r="Q269" i="2"/>
  <c r="P269" i="2"/>
  <c r="O269" i="2"/>
  <c r="N269" i="2"/>
  <c r="M269" i="2"/>
  <c r="L269" i="2"/>
  <c r="K269" i="2"/>
  <c r="J269" i="2"/>
  <c r="I269" i="2"/>
  <c r="H269" i="2"/>
  <c r="F269" i="2"/>
  <c r="T268" i="2"/>
  <c r="R268" i="2"/>
  <c r="P268" i="2"/>
  <c r="O268" i="2"/>
  <c r="N268" i="2"/>
  <c r="M268" i="2"/>
  <c r="L268" i="2"/>
  <c r="K268" i="2"/>
  <c r="J268" i="2"/>
  <c r="I268" i="2"/>
  <c r="H268" i="2"/>
  <c r="S268" i="2" s="1"/>
  <c r="F268" i="2"/>
  <c r="Q268" i="2" s="1"/>
  <c r="T267" i="2"/>
  <c r="S267" i="2"/>
  <c r="R267" i="2"/>
  <c r="Q267" i="2"/>
  <c r="P267" i="2"/>
  <c r="O267" i="2"/>
  <c r="N267" i="2"/>
  <c r="M267" i="2"/>
  <c r="L267" i="2"/>
  <c r="J267" i="2"/>
  <c r="I267" i="2"/>
  <c r="G267" i="2"/>
  <c r="F267" i="2"/>
  <c r="K267" i="2" s="1"/>
  <c r="T266" i="2"/>
  <c r="S266" i="2"/>
  <c r="R266" i="2"/>
  <c r="Q266" i="2"/>
  <c r="P266" i="2"/>
  <c r="O266" i="2"/>
  <c r="N266" i="2"/>
  <c r="M266" i="2"/>
  <c r="L266" i="2"/>
  <c r="J266" i="2"/>
  <c r="I266" i="2"/>
  <c r="G266" i="2"/>
  <c r="F266" i="2"/>
  <c r="K266" i="2" s="1"/>
  <c r="T791" i="1"/>
  <c r="R791" i="1"/>
  <c r="P791" i="1"/>
  <c r="O791" i="1"/>
  <c r="N791" i="1"/>
  <c r="M791" i="1"/>
  <c r="L791" i="1"/>
  <c r="K791" i="1"/>
  <c r="J791" i="1"/>
  <c r="I791" i="1"/>
  <c r="H791" i="1"/>
  <c r="S791" i="1" s="1"/>
  <c r="F791" i="1"/>
  <c r="Q791" i="1" s="1"/>
  <c r="T790" i="1"/>
  <c r="S790" i="1"/>
  <c r="R790" i="1"/>
  <c r="Q790" i="1"/>
  <c r="P790" i="1"/>
  <c r="O790" i="1"/>
  <c r="N790" i="1"/>
  <c r="M790" i="1"/>
  <c r="L790" i="1"/>
  <c r="J790" i="1"/>
  <c r="I790" i="1"/>
  <c r="G790" i="1"/>
  <c r="F790" i="1"/>
  <c r="K790" i="1" s="1"/>
  <c r="T789" i="1"/>
  <c r="S789" i="1"/>
  <c r="R789" i="1"/>
  <c r="Q789" i="1"/>
  <c r="P789" i="1"/>
  <c r="O789" i="1"/>
  <c r="N789" i="1"/>
  <c r="M789" i="1"/>
  <c r="L789" i="1"/>
  <c r="J789" i="1"/>
  <c r="I789" i="1"/>
  <c r="G789" i="1"/>
  <c r="F789" i="1"/>
  <c r="K789" i="1" s="1"/>
  <c r="T788" i="1"/>
  <c r="R788" i="1"/>
  <c r="P788" i="1"/>
  <c r="O788" i="1"/>
  <c r="N788" i="1"/>
  <c r="M788" i="1"/>
  <c r="L788" i="1"/>
  <c r="K788" i="1"/>
  <c r="J788" i="1"/>
  <c r="I788" i="1"/>
  <c r="H788" i="1"/>
  <c r="S788" i="1" s="1"/>
  <c r="F788" i="1"/>
  <c r="Q788" i="1" s="1"/>
  <c r="T787" i="1"/>
  <c r="R787" i="1"/>
  <c r="P787" i="1"/>
  <c r="O787" i="1"/>
  <c r="N787" i="1"/>
  <c r="M787" i="1"/>
  <c r="L787" i="1"/>
  <c r="K787" i="1"/>
  <c r="J787" i="1"/>
  <c r="I787" i="1"/>
  <c r="H787" i="1"/>
  <c r="S787" i="1" s="1"/>
  <c r="F787" i="1"/>
  <c r="Q787" i="1" s="1"/>
  <c r="T786" i="1"/>
  <c r="R786" i="1"/>
  <c r="P786" i="1"/>
  <c r="O786" i="1"/>
  <c r="N786" i="1"/>
  <c r="M786" i="1"/>
  <c r="L786" i="1"/>
  <c r="K786" i="1"/>
  <c r="J786" i="1"/>
  <c r="I786" i="1"/>
  <c r="H786" i="1"/>
  <c r="S786" i="1" s="1"/>
  <c r="F786" i="1"/>
  <c r="Q786" i="1" s="1"/>
  <c r="T785" i="1"/>
  <c r="R785" i="1"/>
  <c r="P785" i="1"/>
  <c r="O785" i="1"/>
  <c r="N785" i="1"/>
  <c r="M785" i="1"/>
  <c r="L785" i="1"/>
  <c r="K785" i="1"/>
  <c r="J785" i="1"/>
  <c r="I785" i="1"/>
  <c r="H785" i="1"/>
  <c r="S785" i="1" s="1"/>
  <c r="F785" i="1"/>
  <c r="Q785" i="1" s="1"/>
  <c r="T784" i="1"/>
  <c r="S784" i="1"/>
  <c r="R784" i="1"/>
  <c r="Q784" i="1"/>
  <c r="P784" i="1"/>
  <c r="O784" i="1"/>
  <c r="N784" i="1"/>
  <c r="M784" i="1"/>
  <c r="L784" i="1"/>
  <c r="J784" i="1"/>
  <c r="I784" i="1"/>
  <c r="G784" i="1"/>
  <c r="F784" i="1"/>
  <c r="K784" i="1" s="1"/>
  <c r="T783" i="1"/>
  <c r="S783" i="1"/>
  <c r="R783" i="1"/>
  <c r="Q783" i="1"/>
  <c r="P783" i="1"/>
  <c r="O783" i="1"/>
  <c r="N783" i="1"/>
  <c r="M783" i="1"/>
  <c r="L783" i="1"/>
  <c r="J783" i="1"/>
  <c r="I783" i="1"/>
  <c r="G783" i="1"/>
  <c r="F783" i="1"/>
  <c r="K783" i="1" s="1"/>
  <c r="T782" i="1"/>
  <c r="R782" i="1"/>
  <c r="P782" i="1"/>
  <c r="O782" i="1"/>
  <c r="N782" i="1"/>
  <c r="M782" i="1"/>
  <c r="L782" i="1"/>
  <c r="K782" i="1"/>
  <c r="J782" i="1"/>
  <c r="I782" i="1"/>
  <c r="H782" i="1"/>
  <c r="S782" i="1" s="1"/>
  <c r="F782" i="1"/>
  <c r="Q782" i="1" s="1"/>
  <c r="T781" i="1"/>
  <c r="R781" i="1"/>
  <c r="P781" i="1"/>
  <c r="O781" i="1"/>
  <c r="N781" i="1"/>
  <c r="M781" i="1"/>
  <c r="L781" i="1"/>
  <c r="K781" i="1"/>
  <c r="J781" i="1"/>
  <c r="I781" i="1"/>
  <c r="H781" i="1"/>
  <c r="S781" i="1" s="1"/>
  <c r="F781" i="1"/>
  <c r="Q781" i="1" s="1"/>
  <c r="T780" i="1"/>
  <c r="R780" i="1"/>
  <c r="P780" i="1"/>
  <c r="O780" i="1"/>
  <c r="N780" i="1"/>
  <c r="M780" i="1"/>
  <c r="L780" i="1"/>
  <c r="K780" i="1"/>
  <c r="J780" i="1"/>
  <c r="I780" i="1"/>
  <c r="H780" i="1"/>
  <c r="S780" i="1" s="1"/>
  <c r="F780" i="1"/>
  <c r="Q780" i="1" s="1"/>
  <c r="T779" i="1"/>
  <c r="R779" i="1"/>
  <c r="P779" i="1"/>
  <c r="O779" i="1"/>
  <c r="N779" i="1"/>
  <c r="M779" i="1"/>
  <c r="L779" i="1"/>
  <c r="K779" i="1"/>
  <c r="J779" i="1"/>
  <c r="I779" i="1"/>
  <c r="H779" i="1"/>
  <c r="S779" i="1" s="1"/>
  <c r="F779" i="1"/>
  <c r="Q779" i="1" s="1"/>
  <c r="T778" i="1"/>
  <c r="R778" i="1"/>
  <c r="P778" i="1"/>
  <c r="O778" i="1"/>
  <c r="N778" i="1"/>
  <c r="M778" i="1"/>
  <c r="L778" i="1"/>
  <c r="K778" i="1"/>
  <c r="J778" i="1"/>
  <c r="I778" i="1"/>
  <c r="H778" i="1"/>
  <c r="S778" i="1" s="1"/>
  <c r="F778" i="1"/>
  <c r="Q778" i="1" s="1"/>
  <c r="T777" i="1"/>
  <c r="S777" i="1"/>
  <c r="R777" i="1"/>
  <c r="Q777" i="1"/>
  <c r="P777" i="1"/>
  <c r="O777" i="1"/>
  <c r="N777" i="1"/>
  <c r="M777" i="1"/>
  <c r="L777" i="1"/>
  <c r="J777" i="1"/>
  <c r="I777" i="1"/>
  <c r="G777" i="1"/>
  <c r="F777" i="1"/>
  <c r="K777" i="1" s="1"/>
  <c r="T776" i="1"/>
  <c r="S776" i="1"/>
  <c r="R776" i="1"/>
  <c r="Q776" i="1"/>
  <c r="P776" i="1"/>
  <c r="O776" i="1"/>
  <c r="N776" i="1"/>
  <c r="M776" i="1"/>
  <c r="L776" i="1"/>
  <c r="J776" i="1"/>
  <c r="I776" i="1"/>
  <c r="G776" i="1"/>
  <c r="F776" i="1"/>
  <c r="K776" i="1" s="1"/>
  <c r="T775" i="1"/>
  <c r="S775" i="1"/>
  <c r="R775" i="1"/>
  <c r="Q775" i="1"/>
  <c r="P775" i="1"/>
  <c r="O775" i="1"/>
  <c r="N775" i="1"/>
  <c r="M775" i="1"/>
  <c r="L775" i="1"/>
  <c r="J775" i="1"/>
  <c r="I775" i="1"/>
  <c r="G775" i="1"/>
  <c r="F775" i="1"/>
  <c r="K775" i="1" s="1"/>
  <c r="T774" i="1"/>
  <c r="R774" i="1"/>
  <c r="P774" i="1"/>
  <c r="O774" i="1"/>
  <c r="N774" i="1"/>
  <c r="M774" i="1"/>
  <c r="L774" i="1"/>
  <c r="K774" i="1"/>
  <c r="J774" i="1"/>
  <c r="I774" i="1"/>
  <c r="H774" i="1"/>
  <c r="S774" i="1" s="1"/>
  <c r="F774" i="1"/>
  <c r="Q774" i="1" s="1"/>
  <c r="T773" i="1"/>
  <c r="R773" i="1"/>
  <c r="P773" i="1"/>
  <c r="O773" i="1"/>
  <c r="N773" i="1"/>
  <c r="M773" i="1"/>
  <c r="L773" i="1"/>
  <c r="K773" i="1"/>
  <c r="J773" i="1"/>
  <c r="I773" i="1"/>
  <c r="H773" i="1"/>
  <c r="S773" i="1" s="1"/>
  <c r="F773" i="1"/>
  <c r="Q773" i="1" s="1"/>
  <c r="T772" i="1"/>
  <c r="S772" i="1"/>
  <c r="R772" i="1"/>
  <c r="Q772" i="1"/>
  <c r="P772" i="1"/>
  <c r="O772" i="1"/>
  <c r="N772" i="1"/>
  <c r="M772" i="1"/>
  <c r="L772" i="1"/>
  <c r="J772" i="1"/>
  <c r="I772" i="1"/>
  <c r="G772" i="1"/>
  <c r="F772" i="1"/>
  <c r="K772" i="1" s="1"/>
  <c r="T771" i="1"/>
  <c r="S771" i="1"/>
  <c r="R771" i="1"/>
  <c r="Q771" i="1"/>
  <c r="P771" i="1"/>
  <c r="O771" i="1"/>
  <c r="N771" i="1"/>
  <c r="M771" i="1"/>
  <c r="L771" i="1"/>
  <c r="J771" i="1"/>
  <c r="I771" i="1"/>
  <c r="G771" i="1"/>
  <c r="F771" i="1"/>
  <c r="K771" i="1" s="1"/>
  <c r="T770" i="1"/>
  <c r="S770" i="1"/>
  <c r="R770" i="1"/>
  <c r="Q770" i="1"/>
  <c r="P770" i="1"/>
  <c r="O770" i="1"/>
  <c r="N770" i="1"/>
  <c r="M770" i="1"/>
  <c r="L770" i="1"/>
  <c r="J770" i="1"/>
  <c r="I770" i="1"/>
  <c r="G770" i="1"/>
  <c r="F770" i="1"/>
  <c r="K770" i="1" s="1"/>
  <c r="T769" i="1"/>
  <c r="R769" i="1"/>
  <c r="P769" i="1"/>
  <c r="O769" i="1"/>
  <c r="N769" i="1"/>
  <c r="M769" i="1"/>
  <c r="L769" i="1"/>
  <c r="K769" i="1"/>
  <c r="J769" i="1"/>
  <c r="I769" i="1"/>
  <c r="H769" i="1"/>
  <c r="S769" i="1" s="1"/>
  <c r="F769" i="1"/>
  <c r="Q769" i="1" s="1"/>
  <c r="T768" i="1"/>
  <c r="R768" i="1"/>
  <c r="P768" i="1"/>
  <c r="O768" i="1"/>
  <c r="N768" i="1"/>
  <c r="M768" i="1"/>
  <c r="L768" i="1"/>
  <c r="K768" i="1"/>
  <c r="J768" i="1"/>
  <c r="I768" i="1"/>
  <c r="H768" i="1"/>
  <c r="S768" i="1" s="1"/>
  <c r="F768" i="1"/>
  <c r="Q768" i="1" s="1"/>
  <c r="T767" i="1"/>
  <c r="R767" i="1"/>
  <c r="P767" i="1"/>
  <c r="O767" i="1"/>
  <c r="N767" i="1"/>
  <c r="M767" i="1"/>
  <c r="L767" i="1"/>
  <c r="K767" i="1"/>
  <c r="J767" i="1"/>
  <c r="I767" i="1"/>
  <c r="H767" i="1"/>
  <c r="S767" i="1" s="1"/>
  <c r="F767" i="1"/>
  <c r="Q767" i="1" s="1"/>
  <c r="T766" i="1"/>
  <c r="R766" i="1"/>
  <c r="P766" i="1"/>
  <c r="O766" i="1"/>
  <c r="N766" i="1"/>
  <c r="M766" i="1"/>
  <c r="L766" i="1"/>
  <c r="K766" i="1"/>
  <c r="J766" i="1"/>
  <c r="I766" i="1"/>
  <c r="H766" i="1"/>
  <c r="S766" i="1" s="1"/>
  <c r="F766" i="1"/>
  <c r="Q766" i="1" s="1"/>
  <c r="T765" i="1"/>
  <c r="S765" i="1"/>
  <c r="R765" i="1"/>
  <c r="Q765" i="1"/>
  <c r="P765" i="1"/>
  <c r="O765" i="1"/>
  <c r="N765" i="1"/>
  <c r="M765" i="1"/>
  <c r="L765" i="1"/>
  <c r="J765" i="1"/>
  <c r="I765" i="1"/>
  <c r="G765" i="1"/>
  <c r="F765" i="1"/>
  <c r="K765" i="1" s="1"/>
  <c r="T764" i="1"/>
  <c r="S764" i="1"/>
  <c r="R764" i="1"/>
  <c r="Q764" i="1"/>
  <c r="P764" i="1"/>
  <c r="O764" i="1"/>
  <c r="N764" i="1"/>
  <c r="M764" i="1"/>
  <c r="L764" i="1"/>
  <c r="J764" i="1"/>
  <c r="I764" i="1"/>
  <c r="G764" i="1"/>
  <c r="F764" i="1"/>
  <c r="K764" i="1" s="1"/>
  <c r="T763" i="1"/>
  <c r="S763" i="1"/>
  <c r="R763" i="1"/>
  <c r="Q763" i="1"/>
  <c r="P763" i="1"/>
  <c r="O763" i="1"/>
  <c r="N763" i="1"/>
  <c r="M763" i="1"/>
  <c r="K763" i="1"/>
  <c r="J763" i="1"/>
  <c r="I763" i="1"/>
  <c r="G763" i="1"/>
  <c r="F763" i="1"/>
  <c r="L763" i="1" s="1"/>
  <c r="T762" i="1"/>
  <c r="R762" i="1"/>
  <c r="P762" i="1"/>
  <c r="O762" i="1"/>
  <c r="N762" i="1"/>
  <c r="M762" i="1"/>
  <c r="L762" i="1"/>
  <c r="K762" i="1"/>
  <c r="J762" i="1"/>
  <c r="I762" i="1"/>
  <c r="H762" i="1"/>
  <c r="S762" i="1" s="1"/>
  <c r="F762" i="1"/>
  <c r="Q762" i="1" s="1"/>
  <c r="T761" i="1"/>
  <c r="S761" i="1"/>
  <c r="R761" i="1"/>
  <c r="Q761" i="1"/>
  <c r="P761" i="1"/>
  <c r="O761" i="1"/>
  <c r="N761" i="1"/>
  <c r="M761" i="1"/>
  <c r="L761" i="1"/>
  <c r="J761" i="1"/>
  <c r="I761" i="1"/>
  <c r="G761" i="1"/>
  <c r="F761" i="1"/>
  <c r="K761" i="1" s="1"/>
  <c r="S760" i="1"/>
  <c r="Q760" i="1"/>
  <c r="P760" i="1"/>
  <c r="O760" i="1"/>
  <c r="N760" i="1"/>
  <c r="M760" i="1"/>
  <c r="L760" i="1"/>
  <c r="K760" i="1"/>
  <c r="J760" i="1"/>
  <c r="I760" i="1"/>
  <c r="H760" i="1"/>
  <c r="T760" i="1" s="1"/>
  <c r="F760" i="1"/>
  <c r="R760" i="1" s="1"/>
  <c r="T759" i="1"/>
  <c r="S759" i="1"/>
  <c r="R759" i="1"/>
  <c r="P759" i="1"/>
  <c r="O759" i="1"/>
  <c r="N759" i="1"/>
  <c r="M759" i="1"/>
  <c r="L759" i="1"/>
  <c r="K759" i="1"/>
  <c r="J759" i="1"/>
  <c r="I759" i="1"/>
  <c r="G759" i="1"/>
  <c r="F759" i="1"/>
  <c r="Q759" i="1" s="1"/>
  <c r="T758" i="1"/>
  <c r="S758" i="1"/>
  <c r="R758" i="1"/>
  <c r="P758" i="1"/>
  <c r="O758" i="1"/>
  <c r="N758" i="1"/>
  <c r="M758" i="1"/>
  <c r="L758" i="1"/>
  <c r="K758" i="1"/>
  <c r="J758" i="1"/>
  <c r="I758" i="1"/>
  <c r="F758" i="1"/>
  <c r="Q758" i="1" s="1"/>
  <c r="T757" i="1"/>
  <c r="R757" i="1"/>
  <c r="P757" i="1"/>
  <c r="O757" i="1"/>
  <c r="N757" i="1"/>
  <c r="M757" i="1"/>
  <c r="L757" i="1"/>
  <c r="K757" i="1"/>
  <c r="J757" i="1"/>
  <c r="I757" i="1"/>
  <c r="H757" i="1"/>
  <c r="S757" i="1" s="1"/>
  <c r="F757" i="1"/>
  <c r="Q757" i="1" s="1"/>
  <c r="T756" i="1"/>
  <c r="R756" i="1"/>
  <c r="P756" i="1"/>
  <c r="O756" i="1"/>
  <c r="N756" i="1"/>
  <c r="M756" i="1"/>
  <c r="L756" i="1"/>
  <c r="K756" i="1"/>
  <c r="J756" i="1"/>
  <c r="I756" i="1"/>
  <c r="H756" i="1"/>
  <c r="S756" i="1" s="1"/>
  <c r="F756" i="1"/>
  <c r="Q756" i="1" s="1"/>
  <c r="T755" i="1"/>
  <c r="R755" i="1"/>
  <c r="P755" i="1"/>
  <c r="O755" i="1"/>
  <c r="N755" i="1"/>
  <c r="M755" i="1"/>
  <c r="L755" i="1"/>
  <c r="K755" i="1"/>
  <c r="J755" i="1"/>
  <c r="I755" i="1"/>
  <c r="H755" i="1"/>
  <c r="S755" i="1" s="1"/>
  <c r="F755" i="1"/>
  <c r="Q755" i="1" s="1"/>
  <c r="T754" i="1"/>
  <c r="S754" i="1"/>
  <c r="R754" i="1"/>
  <c r="Q754" i="1"/>
  <c r="P754" i="1"/>
  <c r="O754" i="1"/>
  <c r="N754" i="1"/>
  <c r="M754" i="1"/>
  <c r="L754" i="1"/>
  <c r="J754" i="1"/>
  <c r="I754" i="1"/>
  <c r="G754" i="1"/>
  <c r="F754" i="1"/>
  <c r="K754" i="1" s="1"/>
  <c r="T753" i="1"/>
  <c r="S753" i="1"/>
  <c r="R753" i="1"/>
  <c r="Q753" i="1"/>
  <c r="P753" i="1"/>
  <c r="O753" i="1"/>
  <c r="N753" i="1"/>
  <c r="M753" i="1"/>
  <c r="L753" i="1"/>
  <c r="J753" i="1"/>
  <c r="I753" i="1"/>
  <c r="G753" i="1"/>
  <c r="F753" i="1"/>
  <c r="K753" i="1" s="1"/>
  <c r="T752" i="1"/>
  <c r="R752" i="1"/>
  <c r="P752" i="1"/>
  <c r="O752" i="1"/>
  <c r="N752" i="1"/>
  <c r="M752" i="1"/>
  <c r="L752" i="1"/>
  <c r="K752" i="1"/>
  <c r="J752" i="1"/>
  <c r="I752" i="1"/>
  <c r="H752" i="1"/>
  <c r="S752" i="1" s="1"/>
  <c r="F752" i="1"/>
  <c r="Q752" i="1" s="1"/>
  <c r="T751" i="1"/>
  <c r="R751" i="1"/>
  <c r="P751" i="1"/>
  <c r="O751" i="1"/>
  <c r="N751" i="1"/>
  <c r="M751" i="1"/>
  <c r="L751" i="1"/>
  <c r="K751" i="1"/>
  <c r="J751" i="1"/>
  <c r="I751" i="1"/>
  <c r="H751" i="1"/>
  <c r="S751" i="1" s="1"/>
  <c r="F751" i="1"/>
  <c r="Q751" i="1" s="1"/>
  <c r="T750" i="1"/>
  <c r="R750" i="1"/>
  <c r="P750" i="1"/>
  <c r="O750" i="1"/>
  <c r="N750" i="1"/>
  <c r="M750" i="1"/>
  <c r="L750" i="1"/>
  <c r="K750" i="1"/>
  <c r="J750" i="1"/>
  <c r="I750" i="1"/>
  <c r="H750" i="1"/>
  <c r="S750" i="1" s="1"/>
  <c r="F750" i="1"/>
  <c r="Q750" i="1" s="1"/>
  <c r="T749" i="1"/>
  <c r="R749" i="1"/>
  <c r="P749" i="1"/>
  <c r="O749" i="1"/>
  <c r="N749" i="1"/>
  <c r="M749" i="1"/>
  <c r="L749" i="1"/>
  <c r="K749" i="1"/>
  <c r="J749" i="1"/>
  <c r="I749" i="1"/>
  <c r="H749" i="1"/>
  <c r="S749" i="1" s="1"/>
  <c r="F749" i="1"/>
  <c r="Q749" i="1" s="1"/>
  <c r="T748" i="1"/>
  <c r="R748" i="1"/>
  <c r="P748" i="1"/>
  <c r="O748" i="1"/>
  <c r="N748" i="1"/>
  <c r="M748" i="1"/>
  <c r="L748" i="1"/>
  <c r="K748" i="1"/>
  <c r="J748" i="1"/>
  <c r="I748" i="1"/>
  <c r="H748" i="1"/>
  <c r="S748" i="1" s="1"/>
  <c r="F748" i="1"/>
  <c r="Q748" i="1" s="1"/>
  <c r="T747" i="1"/>
  <c r="S747" i="1"/>
  <c r="R747" i="1"/>
  <c r="Q747" i="1"/>
  <c r="P747" i="1"/>
  <c r="O747" i="1"/>
  <c r="N747" i="1"/>
  <c r="M747" i="1"/>
  <c r="L747" i="1"/>
  <c r="J747" i="1"/>
  <c r="I747" i="1"/>
  <c r="G747" i="1"/>
  <c r="F747" i="1"/>
  <c r="K747" i="1" s="1"/>
  <c r="T746" i="1"/>
  <c r="S746" i="1"/>
  <c r="R746" i="1"/>
  <c r="Q746" i="1"/>
  <c r="P746" i="1"/>
  <c r="O746" i="1"/>
  <c r="N746" i="1"/>
  <c r="M746" i="1"/>
  <c r="L746" i="1"/>
  <c r="J746" i="1"/>
  <c r="I746" i="1"/>
  <c r="G746" i="1"/>
  <c r="F746" i="1"/>
  <c r="K746" i="1" s="1"/>
  <c r="T745" i="1"/>
  <c r="S745" i="1"/>
  <c r="R745" i="1"/>
  <c r="Q745" i="1"/>
  <c r="P745" i="1"/>
  <c r="O745" i="1"/>
  <c r="N745" i="1"/>
  <c r="M745" i="1"/>
  <c r="L745" i="1"/>
  <c r="J745" i="1"/>
  <c r="I745" i="1"/>
  <c r="G745" i="1"/>
  <c r="F745" i="1"/>
  <c r="K745" i="1" s="1"/>
  <c r="T744" i="1"/>
  <c r="S744" i="1"/>
  <c r="R744" i="1"/>
  <c r="Q744" i="1"/>
  <c r="P744" i="1"/>
  <c r="O744" i="1"/>
  <c r="N744" i="1"/>
  <c r="M744" i="1"/>
  <c r="L744" i="1"/>
  <c r="J744" i="1"/>
  <c r="I744" i="1"/>
  <c r="G744" i="1"/>
  <c r="F744" i="1"/>
  <c r="K744" i="1" s="1"/>
  <c r="T743" i="1"/>
  <c r="S743" i="1"/>
  <c r="R743" i="1"/>
  <c r="Q743" i="1"/>
  <c r="P743" i="1"/>
  <c r="O743" i="1"/>
  <c r="N743" i="1"/>
  <c r="M743" i="1"/>
  <c r="L743" i="1"/>
  <c r="J743" i="1"/>
  <c r="I743" i="1"/>
  <c r="G743" i="1"/>
  <c r="F743" i="1"/>
  <c r="K743" i="1" s="1"/>
  <c r="S742" i="1"/>
  <c r="Q742" i="1"/>
  <c r="P742" i="1"/>
  <c r="O742" i="1"/>
  <c r="N742" i="1"/>
  <c r="M742" i="1"/>
  <c r="L742" i="1"/>
  <c r="K742" i="1"/>
  <c r="J742" i="1"/>
  <c r="I742" i="1"/>
  <c r="H742" i="1"/>
  <c r="T742" i="1" s="1"/>
  <c r="F742" i="1"/>
  <c r="R742" i="1" s="1"/>
  <c r="T741" i="1"/>
  <c r="R741" i="1"/>
  <c r="P741" i="1"/>
  <c r="O741" i="1"/>
  <c r="N741" i="1"/>
  <c r="M741" i="1"/>
  <c r="L741" i="1"/>
  <c r="K741" i="1"/>
  <c r="J741" i="1"/>
  <c r="I741" i="1"/>
  <c r="H741" i="1"/>
  <c r="S741" i="1" s="1"/>
  <c r="F741" i="1"/>
  <c r="Q741" i="1" s="1"/>
  <c r="T740" i="1"/>
  <c r="R740" i="1"/>
  <c r="P740" i="1"/>
  <c r="O740" i="1"/>
  <c r="N740" i="1"/>
  <c r="M740" i="1"/>
  <c r="L740" i="1"/>
  <c r="K740" i="1"/>
  <c r="J740" i="1"/>
  <c r="I740" i="1"/>
  <c r="H740" i="1"/>
  <c r="S740" i="1" s="1"/>
  <c r="F740" i="1"/>
  <c r="Q740" i="1" s="1"/>
  <c r="T739" i="1"/>
  <c r="R739" i="1"/>
  <c r="P739" i="1"/>
  <c r="O739" i="1"/>
  <c r="N739" i="1"/>
  <c r="M739" i="1"/>
  <c r="L739" i="1"/>
  <c r="K739" i="1"/>
  <c r="J739" i="1"/>
  <c r="I739" i="1"/>
  <c r="H739" i="1"/>
  <c r="S739" i="1" s="1"/>
  <c r="F739" i="1"/>
  <c r="Q739" i="1" s="1"/>
  <c r="T738" i="1"/>
  <c r="S738" i="1"/>
  <c r="R738" i="1"/>
  <c r="Q738" i="1"/>
  <c r="P738" i="1"/>
  <c r="O738" i="1"/>
  <c r="N738" i="1"/>
  <c r="M738" i="1"/>
  <c r="L738" i="1"/>
  <c r="J738" i="1"/>
  <c r="I738" i="1"/>
  <c r="G738" i="1"/>
  <c r="F738" i="1"/>
  <c r="K738" i="1" s="1"/>
  <c r="T737" i="1"/>
  <c r="S737" i="1"/>
  <c r="R737" i="1"/>
  <c r="Q737" i="1"/>
  <c r="P737" i="1"/>
  <c r="O737" i="1"/>
  <c r="N737" i="1"/>
  <c r="M737" i="1"/>
  <c r="L737" i="1"/>
  <c r="J737" i="1"/>
  <c r="I737" i="1"/>
  <c r="G737" i="1"/>
  <c r="F737" i="1"/>
  <c r="K737" i="1" s="1"/>
  <c r="T736" i="1"/>
  <c r="S736" i="1"/>
  <c r="R736" i="1"/>
  <c r="Q736" i="1"/>
  <c r="P736" i="1"/>
  <c r="O736" i="1"/>
  <c r="N736" i="1"/>
  <c r="M736" i="1"/>
  <c r="L736" i="1"/>
  <c r="J736" i="1"/>
  <c r="I736" i="1"/>
  <c r="G736" i="1"/>
  <c r="F736" i="1"/>
  <c r="K736" i="1" s="1"/>
  <c r="T735" i="1"/>
  <c r="S735" i="1"/>
  <c r="R735" i="1"/>
  <c r="Q735" i="1"/>
  <c r="P735" i="1"/>
  <c r="O735" i="1"/>
  <c r="N735" i="1"/>
  <c r="M735" i="1"/>
  <c r="L735" i="1"/>
  <c r="J735" i="1"/>
  <c r="I735" i="1"/>
  <c r="G735" i="1"/>
  <c r="F735" i="1"/>
  <c r="K735" i="1" s="1"/>
  <c r="T734" i="1"/>
  <c r="S734" i="1"/>
  <c r="R734" i="1"/>
  <c r="Q734" i="1"/>
  <c r="P734" i="1"/>
  <c r="O734" i="1"/>
  <c r="N734" i="1"/>
  <c r="M734" i="1"/>
  <c r="L734" i="1"/>
  <c r="J734" i="1"/>
  <c r="I734" i="1"/>
  <c r="G734" i="1"/>
  <c r="F734" i="1"/>
  <c r="K734" i="1" s="1"/>
  <c r="T733" i="1"/>
  <c r="R733" i="1"/>
  <c r="P733" i="1"/>
  <c r="O733" i="1"/>
  <c r="N733" i="1"/>
  <c r="M733" i="1"/>
  <c r="L733" i="1"/>
  <c r="K733" i="1"/>
  <c r="J733" i="1"/>
  <c r="I733" i="1"/>
  <c r="H733" i="1"/>
  <c r="S733" i="1" s="1"/>
  <c r="F733" i="1"/>
  <c r="Q733" i="1" s="1"/>
  <c r="T732" i="1"/>
  <c r="R732" i="1"/>
  <c r="P732" i="1"/>
  <c r="O732" i="1"/>
  <c r="N732" i="1"/>
  <c r="M732" i="1"/>
  <c r="L732" i="1"/>
  <c r="K732" i="1"/>
  <c r="J732" i="1"/>
  <c r="I732" i="1"/>
  <c r="H732" i="1"/>
  <c r="S732" i="1" s="1"/>
  <c r="F732" i="1"/>
  <c r="Q732" i="1" s="1"/>
  <c r="T731" i="1"/>
  <c r="S731" i="1"/>
  <c r="R731" i="1"/>
  <c r="Q731" i="1"/>
  <c r="P731" i="1"/>
  <c r="O731" i="1"/>
  <c r="N731" i="1"/>
  <c r="M731" i="1"/>
  <c r="L731" i="1"/>
  <c r="J731" i="1"/>
  <c r="I731" i="1"/>
  <c r="G731" i="1"/>
  <c r="F731" i="1"/>
  <c r="K731" i="1" s="1"/>
  <c r="T730" i="1"/>
  <c r="S730" i="1"/>
  <c r="R730" i="1"/>
  <c r="Q730" i="1"/>
  <c r="P730" i="1"/>
  <c r="O730" i="1"/>
  <c r="N730" i="1"/>
  <c r="M730" i="1"/>
  <c r="L730" i="1"/>
  <c r="J730" i="1"/>
  <c r="I730" i="1"/>
  <c r="G730" i="1"/>
  <c r="F730" i="1"/>
  <c r="K730" i="1" s="1"/>
  <c r="T729" i="1"/>
  <c r="R729" i="1"/>
  <c r="P729" i="1"/>
  <c r="O729" i="1"/>
  <c r="N729" i="1"/>
  <c r="M729" i="1"/>
  <c r="L729" i="1"/>
  <c r="K729" i="1"/>
  <c r="J729" i="1"/>
  <c r="I729" i="1"/>
  <c r="H729" i="1"/>
  <c r="S729" i="1" s="1"/>
  <c r="F729" i="1"/>
  <c r="Q729" i="1" s="1"/>
  <c r="T728" i="1"/>
  <c r="R728" i="1"/>
  <c r="P728" i="1"/>
  <c r="O728" i="1"/>
  <c r="N728" i="1"/>
  <c r="M728" i="1"/>
  <c r="L728" i="1"/>
  <c r="K728" i="1"/>
  <c r="J728" i="1"/>
  <c r="I728" i="1"/>
  <c r="H728" i="1"/>
  <c r="S728" i="1" s="1"/>
  <c r="F728" i="1"/>
  <c r="Q728" i="1" s="1"/>
  <c r="T727" i="1"/>
  <c r="S727" i="1"/>
  <c r="R727" i="1"/>
  <c r="P727" i="1"/>
  <c r="O727" i="1"/>
  <c r="N727" i="1"/>
  <c r="M727" i="1"/>
  <c r="L727" i="1"/>
  <c r="K727" i="1"/>
  <c r="J727" i="1"/>
  <c r="I727" i="1"/>
  <c r="G727" i="1"/>
  <c r="F727" i="1"/>
  <c r="Q727" i="1" s="1"/>
  <c r="T726" i="1"/>
  <c r="S726" i="1"/>
  <c r="R726" i="1"/>
  <c r="P726" i="1"/>
  <c r="O726" i="1"/>
  <c r="N726" i="1"/>
  <c r="M726" i="1"/>
  <c r="L726" i="1"/>
  <c r="K726" i="1"/>
  <c r="J726" i="1"/>
  <c r="I726" i="1"/>
  <c r="F726" i="1"/>
  <c r="Q726" i="1" s="1"/>
  <c r="T725" i="1"/>
  <c r="S725" i="1"/>
  <c r="R725" i="1"/>
  <c r="P725" i="1"/>
  <c r="O725" i="1"/>
  <c r="N725" i="1"/>
  <c r="M725" i="1"/>
  <c r="L725" i="1"/>
  <c r="K725" i="1"/>
  <c r="J725" i="1"/>
  <c r="I725" i="1"/>
  <c r="F725" i="1"/>
  <c r="Q725" i="1" s="1"/>
  <c r="T724" i="1"/>
  <c r="S724" i="1"/>
  <c r="R724" i="1"/>
  <c r="Q724" i="1"/>
  <c r="P724" i="1"/>
  <c r="O724" i="1"/>
  <c r="N724" i="1"/>
  <c r="M724" i="1"/>
  <c r="L724" i="1"/>
  <c r="J724" i="1"/>
  <c r="I724" i="1"/>
  <c r="G724" i="1"/>
  <c r="F724" i="1"/>
  <c r="K724" i="1" s="1"/>
  <c r="T723" i="1"/>
  <c r="R723" i="1"/>
  <c r="P723" i="1"/>
  <c r="O723" i="1"/>
  <c r="N723" i="1"/>
  <c r="M723" i="1"/>
  <c r="L723" i="1"/>
  <c r="K723" i="1"/>
  <c r="J723" i="1"/>
  <c r="I723" i="1"/>
  <c r="H723" i="1"/>
  <c r="S723" i="1" s="1"/>
  <c r="F723" i="1"/>
  <c r="Q723" i="1" s="1"/>
  <c r="T722" i="1"/>
  <c r="S722" i="1"/>
  <c r="R722" i="1"/>
  <c r="Q722" i="1"/>
  <c r="P722" i="1"/>
  <c r="O722" i="1"/>
  <c r="N722" i="1"/>
  <c r="M722" i="1"/>
  <c r="L722" i="1"/>
  <c r="J722" i="1"/>
  <c r="I722" i="1"/>
  <c r="G722" i="1"/>
  <c r="F722" i="1"/>
  <c r="K722" i="1" s="1"/>
  <c r="T721" i="1"/>
  <c r="S721" i="1"/>
  <c r="R721" i="1"/>
  <c r="Q721" i="1"/>
  <c r="P721" i="1"/>
  <c r="O721" i="1"/>
  <c r="N721" i="1"/>
  <c r="M721" i="1"/>
  <c r="L721" i="1"/>
  <c r="J721" i="1"/>
  <c r="I721" i="1"/>
  <c r="G721" i="1"/>
  <c r="F721" i="1"/>
  <c r="K721" i="1" s="1"/>
  <c r="T720" i="1"/>
  <c r="S720" i="1"/>
  <c r="R720" i="1"/>
  <c r="Q720" i="1"/>
  <c r="P720" i="1"/>
  <c r="O720" i="1"/>
  <c r="N720" i="1"/>
  <c r="M720" i="1"/>
  <c r="L720" i="1"/>
  <c r="J720" i="1"/>
  <c r="I720" i="1"/>
  <c r="G720" i="1"/>
  <c r="F720" i="1"/>
  <c r="K720" i="1" s="1"/>
  <c r="T719" i="1"/>
  <c r="S719" i="1"/>
  <c r="R719" i="1"/>
  <c r="Q719" i="1"/>
  <c r="P719" i="1"/>
  <c r="O719" i="1"/>
  <c r="N719" i="1"/>
  <c r="M719" i="1"/>
  <c r="L719" i="1"/>
  <c r="J719" i="1"/>
  <c r="I719" i="1"/>
  <c r="G719" i="1"/>
  <c r="F719" i="1"/>
  <c r="K719" i="1" s="1"/>
  <c r="T718" i="1"/>
  <c r="S718" i="1"/>
  <c r="R718" i="1"/>
  <c r="P718" i="1"/>
  <c r="O718" i="1"/>
  <c r="N718" i="1"/>
  <c r="M718" i="1"/>
  <c r="L718" i="1"/>
  <c r="K718" i="1"/>
  <c r="J718" i="1"/>
  <c r="I718" i="1"/>
  <c r="F718" i="1"/>
  <c r="Q718" i="1" s="1"/>
  <c r="T717" i="1"/>
  <c r="S717" i="1"/>
  <c r="R717" i="1"/>
  <c r="P717" i="1"/>
  <c r="O717" i="1"/>
  <c r="N717" i="1"/>
  <c r="M717" i="1"/>
  <c r="L717" i="1"/>
  <c r="K717" i="1"/>
  <c r="J717" i="1"/>
  <c r="I717" i="1"/>
  <c r="F717" i="1"/>
  <c r="Q717" i="1" s="1"/>
  <c r="T716" i="1"/>
  <c r="S716" i="1"/>
  <c r="R716" i="1"/>
  <c r="P716" i="1"/>
  <c r="O716" i="1"/>
  <c r="N716" i="1"/>
  <c r="M716" i="1"/>
  <c r="L716" i="1"/>
  <c r="K716" i="1"/>
  <c r="J716" i="1"/>
  <c r="I716" i="1"/>
  <c r="F716" i="1"/>
  <c r="Q716" i="1" s="1"/>
  <c r="T715" i="1"/>
  <c r="S715" i="1"/>
  <c r="R715" i="1"/>
  <c r="Q715" i="1"/>
  <c r="P715" i="1"/>
  <c r="O715" i="1"/>
  <c r="N715" i="1"/>
  <c r="M715" i="1"/>
  <c r="L715" i="1"/>
  <c r="J715" i="1"/>
  <c r="I715" i="1"/>
  <c r="G715" i="1"/>
  <c r="F715" i="1"/>
  <c r="K715" i="1" s="1"/>
  <c r="T714" i="1"/>
  <c r="R714" i="1"/>
  <c r="P714" i="1"/>
  <c r="O714" i="1"/>
  <c r="N714" i="1"/>
  <c r="M714" i="1"/>
  <c r="L714" i="1"/>
  <c r="K714" i="1"/>
  <c r="J714" i="1"/>
  <c r="I714" i="1"/>
  <c r="H714" i="1"/>
  <c r="S714" i="1" s="1"/>
  <c r="F714" i="1"/>
  <c r="Q714" i="1" s="1"/>
  <c r="T713" i="1"/>
  <c r="R713" i="1"/>
  <c r="P713" i="1"/>
  <c r="O713" i="1"/>
  <c r="N713" i="1"/>
  <c r="M713" i="1"/>
  <c r="L713" i="1"/>
  <c r="K713" i="1"/>
  <c r="J713" i="1"/>
  <c r="I713" i="1"/>
  <c r="H713" i="1"/>
  <c r="S713" i="1" s="1"/>
  <c r="F713" i="1"/>
  <c r="Q713" i="1" s="1"/>
  <c r="T712" i="1"/>
  <c r="S712" i="1"/>
  <c r="Q712" i="1"/>
  <c r="P712" i="1"/>
  <c r="O712" i="1"/>
  <c r="N712" i="1"/>
  <c r="M712" i="1"/>
  <c r="L712" i="1"/>
  <c r="K712" i="1"/>
  <c r="J712" i="1"/>
  <c r="I712" i="1"/>
  <c r="F712" i="1"/>
  <c r="R712" i="1" s="1"/>
  <c r="T711" i="1"/>
  <c r="S711" i="1"/>
  <c r="R711" i="1"/>
  <c r="P711" i="1"/>
  <c r="O711" i="1"/>
  <c r="N711" i="1"/>
  <c r="M711" i="1"/>
  <c r="L711" i="1"/>
  <c r="K711" i="1"/>
  <c r="J711" i="1"/>
  <c r="I711" i="1"/>
  <c r="F711" i="1"/>
  <c r="Q711" i="1" s="1"/>
  <c r="T710" i="1"/>
  <c r="S710" i="1"/>
  <c r="R710" i="1"/>
  <c r="P710" i="1"/>
  <c r="O710" i="1"/>
  <c r="N710" i="1"/>
  <c r="M710" i="1"/>
  <c r="L710" i="1"/>
  <c r="K710" i="1"/>
  <c r="J710" i="1"/>
  <c r="I710" i="1"/>
  <c r="F710" i="1"/>
  <c r="Q710" i="1" s="1"/>
  <c r="T709" i="1"/>
  <c r="S709" i="1"/>
  <c r="R709" i="1"/>
  <c r="Q709" i="1"/>
  <c r="P709" i="1"/>
  <c r="O709" i="1"/>
  <c r="N709" i="1"/>
  <c r="M709" i="1"/>
  <c r="L709" i="1"/>
  <c r="J709" i="1"/>
  <c r="I709" i="1"/>
  <c r="G709" i="1"/>
  <c r="F709" i="1"/>
  <c r="K709" i="1" s="1"/>
  <c r="T708" i="1"/>
  <c r="S708" i="1"/>
  <c r="R708" i="1"/>
  <c r="Q708" i="1"/>
  <c r="P708" i="1"/>
  <c r="O708" i="1"/>
  <c r="N708" i="1"/>
  <c r="M708" i="1"/>
  <c r="L708" i="1"/>
  <c r="J708" i="1"/>
  <c r="I708" i="1"/>
  <c r="G708" i="1"/>
  <c r="F708" i="1"/>
  <c r="K708" i="1" s="1"/>
  <c r="T707" i="1"/>
  <c r="S707" i="1"/>
  <c r="R707" i="1"/>
  <c r="Q707" i="1"/>
  <c r="P707" i="1"/>
  <c r="O707" i="1"/>
  <c r="N707" i="1"/>
  <c r="M707" i="1"/>
  <c r="L707" i="1"/>
  <c r="K707" i="1"/>
  <c r="J707" i="1"/>
  <c r="I707" i="1"/>
  <c r="H707" i="1"/>
  <c r="F707" i="1"/>
  <c r="T706" i="1"/>
  <c r="S706" i="1"/>
  <c r="R706" i="1"/>
  <c r="P706" i="1"/>
  <c r="O706" i="1"/>
  <c r="N706" i="1"/>
  <c r="M706" i="1"/>
  <c r="L706" i="1"/>
  <c r="K706" i="1"/>
  <c r="J706" i="1"/>
  <c r="I706" i="1"/>
  <c r="F706" i="1"/>
  <c r="Q706" i="1" s="1"/>
  <c r="T705" i="1"/>
  <c r="S705" i="1"/>
  <c r="R705" i="1"/>
  <c r="P705" i="1"/>
  <c r="O705" i="1"/>
  <c r="N705" i="1"/>
  <c r="M705" i="1"/>
  <c r="L705" i="1"/>
  <c r="K705" i="1"/>
  <c r="J705" i="1"/>
  <c r="I705" i="1"/>
  <c r="F705" i="1"/>
  <c r="Q705" i="1" s="1"/>
  <c r="T704" i="1"/>
  <c r="S704" i="1"/>
  <c r="R704" i="1"/>
  <c r="Q704" i="1"/>
  <c r="P704" i="1"/>
  <c r="O704" i="1"/>
  <c r="N704" i="1"/>
  <c r="M704" i="1"/>
  <c r="L704" i="1"/>
  <c r="J704" i="1"/>
  <c r="I704" i="1"/>
  <c r="G704" i="1"/>
  <c r="F704" i="1"/>
  <c r="K704" i="1" s="1"/>
  <c r="T703" i="1"/>
  <c r="S703" i="1"/>
  <c r="R703" i="1"/>
  <c r="Q703" i="1"/>
  <c r="P703" i="1"/>
  <c r="O703" i="1"/>
  <c r="N703" i="1"/>
  <c r="M703" i="1"/>
  <c r="L703" i="1"/>
  <c r="J703" i="1"/>
  <c r="I703" i="1"/>
  <c r="G703" i="1"/>
  <c r="F703" i="1"/>
  <c r="K703" i="1" s="1"/>
  <c r="T702" i="1"/>
  <c r="S702" i="1"/>
  <c r="R702" i="1"/>
  <c r="Q702" i="1"/>
  <c r="P702" i="1"/>
  <c r="O702" i="1"/>
  <c r="N702" i="1"/>
  <c r="M702" i="1"/>
  <c r="L702" i="1"/>
  <c r="J702" i="1"/>
  <c r="I702" i="1"/>
  <c r="G702" i="1"/>
  <c r="F702" i="1"/>
  <c r="K702" i="1" s="1"/>
  <c r="T701" i="1"/>
  <c r="S701" i="1"/>
  <c r="R701" i="1"/>
  <c r="Q701" i="1"/>
  <c r="P701" i="1"/>
  <c r="O701" i="1"/>
  <c r="N701" i="1"/>
  <c r="M701" i="1"/>
  <c r="L701" i="1"/>
  <c r="J701" i="1"/>
  <c r="I701" i="1"/>
  <c r="G701" i="1"/>
  <c r="F701" i="1"/>
  <c r="K701" i="1" s="1"/>
  <c r="T700" i="1"/>
  <c r="S700" i="1"/>
  <c r="R700" i="1"/>
  <c r="Q700" i="1"/>
  <c r="P700" i="1"/>
  <c r="O700" i="1"/>
  <c r="N700" i="1"/>
  <c r="M700" i="1"/>
  <c r="L700" i="1"/>
  <c r="J700" i="1"/>
  <c r="I700" i="1"/>
  <c r="G700" i="1"/>
  <c r="F700" i="1"/>
  <c r="K700" i="1" s="1"/>
  <c r="T699" i="1"/>
  <c r="S699" i="1"/>
  <c r="R699" i="1"/>
  <c r="Q699" i="1"/>
  <c r="P699" i="1"/>
  <c r="O699" i="1"/>
  <c r="N699" i="1"/>
  <c r="M699" i="1"/>
  <c r="L699" i="1"/>
  <c r="K699" i="1"/>
  <c r="J699" i="1"/>
  <c r="I699" i="1"/>
  <c r="H699" i="1"/>
  <c r="F699" i="1"/>
  <c r="O698" i="1"/>
  <c r="N698" i="1"/>
  <c r="M698" i="1"/>
  <c r="K698" i="1"/>
  <c r="J698" i="1"/>
  <c r="I698" i="1"/>
  <c r="H698" i="1"/>
  <c r="T697" i="1"/>
  <c r="R697" i="1"/>
  <c r="P697" i="1"/>
  <c r="O697" i="1"/>
  <c r="N697" i="1"/>
  <c r="M697" i="1"/>
  <c r="L697" i="1"/>
  <c r="K697" i="1"/>
  <c r="J697" i="1"/>
  <c r="I697" i="1"/>
  <c r="H697" i="1"/>
  <c r="S697" i="1" s="1"/>
  <c r="F697" i="1"/>
  <c r="Q697" i="1" s="1"/>
  <c r="T695" i="1"/>
  <c r="R695" i="1"/>
  <c r="P695" i="1"/>
  <c r="O695" i="1"/>
  <c r="N695" i="1"/>
  <c r="M695" i="1"/>
  <c r="L695" i="1"/>
  <c r="K695" i="1"/>
  <c r="J695" i="1"/>
  <c r="I695" i="1"/>
  <c r="H695" i="1"/>
  <c r="S695" i="1" s="1"/>
  <c r="F695" i="1"/>
  <c r="Q695" i="1" s="1"/>
  <c r="T694" i="1"/>
  <c r="R694" i="1"/>
  <c r="P694" i="1"/>
  <c r="O694" i="1"/>
  <c r="N694" i="1"/>
  <c r="M694" i="1"/>
  <c r="L694" i="1"/>
  <c r="K694" i="1"/>
  <c r="J694" i="1"/>
  <c r="I694" i="1"/>
  <c r="H694" i="1"/>
  <c r="S694" i="1" s="1"/>
  <c r="F694" i="1"/>
  <c r="Q694" i="1" s="1"/>
  <c r="T693" i="1"/>
  <c r="S693" i="1"/>
  <c r="R693" i="1"/>
  <c r="Q693" i="1"/>
  <c r="P693" i="1"/>
  <c r="O693" i="1"/>
  <c r="N693" i="1"/>
  <c r="M693" i="1"/>
  <c r="L693" i="1"/>
  <c r="J693" i="1"/>
  <c r="I693" i="1"/>
  <c r="G693" i="1"/>
  <c r="F693" i="1"/>
  <c r="K693" i="1" s="1"/>
  <c r="T692" i="1"/>
  <c r="S692" i="1"/>
  <c r="R692" i="1"/>
  <c r="Q692" i="1"/>
  <c r="P692" i="1"/>
  <c r="O692" i="1"/>
  <c r="N692" i="1"/>
  <c r="M692" i="1"/>
  <c r="L692" i="1"/>
  <c r="J692" i="1"/>
  <c r="I692" i="1"/>
  <c r="G692" i="1"/>
  <c r="F692" i="1"/>
  <c r="K692" i="1" s="1"/>
  <c r="T690" i="1"/>
  <c r="S690" i="1"/>
  <c r="R690" i="1"/>
  <c r="Q690" i="1"/>
  <c r="P690" i="1"/>
  <c r="O690" i="1"/>
  <c r="N690" i="1"/>
  <c r="M690" i="1"/>
  <c r="L690" i="1"/>
  <c r="J690" i="1"/>
  <c r="I690" i="1"/>
  <c r="G690" i="1"/>
  <c r="F690" i="1"/>
  <c r="K690" i="1" s="1"/>
  <c r="T688" i="1"/>
  <c r="S688" i="1"/>
  <c r="R688" i="1"/>
  <c r="Q688" i="1"/>
  <c r="P688" i="1"/>
  <c r="O688" i="1"/>
  <c r="N688" i="1"/>
  <c r="M688" i="1"/>
  <c r="L688" i="1"/>
  <c r="J688" i="1"/>
  <c r="I688" i="1"/>
  <c r="G688" i="1"/>
  <c r="F688" i="1"/>
  <c r="K688" i="1" s="1"/>
  <c r="T686" i="1"/>
  <c r="S686" i="1"/>
  <c r="R686" i="1"/>
  <c r="Q686" i="1"/>
  <c r="P686" i="1"/>
  <c r="O686" i="1"/>
  <c r="N686" i="1"/>
  <c r="M686" i="1"/>
  <c r="L686" i="1"/>
  <c r="K686" i="1"/>
  <c r="J686" i="1"/>
  <c r="I686" i="1"/>
  <c r="H686" i="1"/>
  <c r="F686" i="1"/>
  <c r="S685" i="1"/>
  <c r="Q685" i="1"/>
  <c r="P685" i="1"/>
  <c r="O685" i="1"/>
  <c r="N685" i="1"/>
  <c r="M685" i="1"/>
  <c r="L685" i="1"/>
  <c r="K685" i="1"/>
  <c r="J685" i="1"/>
  <c r="I685" i="1"/>
  <c r="H685" i="1"/>
  <c r="T685" i="1" s="1"/>
  <c r="F685" i="1"/>
  <c r="R685" i="1" s="1"/>
  <c r="T684" i="1"/>
  <c r="R684" i="1"/>
  <c r="P684" i="1"/>
  <c r="O684" i="1"/>
  <c r="N684" i="1"/>
  <c r="M684" i="1"/>
  <c r="L684" i="1"/>
  <c r="K684" i="1"/>
  <c r="J684" i="1"/>
  <c r="I684" i="1"/>
  <c r="H684" i="1"/>
  <c r="S684" i="1" s="1"/>
  <c r="F684" i="1"/>
  <c r="Q684" i="1" s="1"/>
  <c r="T683" i="1"/>
  <c r="R683" i="1"/>
  <c r="P683" i="1"/>
  <c r="O683" i="1"/>
  <c r="N683" i="1"/>
  <c r="M683" i="1"/>
  <c r="L683" i="1"/>
  <c r="K683" i="1"/>
  <c r="J683" i="1"/>
  <c r="I683" i="1"/>
  <c r="H683" i="1"/>
  <c r="S683" i="1" s="1"/>
  <c r="F683" i="1"/>
  <c r="Q683" i="1" s="1"/>
  <c r="T682" i="1"/>
  <c r="S682" i="1"/>
  <c r="R682" i="1"/>
  <c r="Q682" i="1"/>
  <c r="P682" i="1"/>
  <c r="O682" i="1"/>
  <c r="N682" i="1"/>
  <c r="M682" i="1"/>
  <c r="L682" i="1"/>
  <c r="J682" i="1"/>
  <c r="I682" i="1"/>
  <c r="G682" i="1"/>
  <c r="F682" i="1"/>
  <c r="K682" i="1" s="1"/>
  <c r="T681" i="1"/>
  <c r="S681" i="1"/>
  <c r="R681" i="1"/>
  <c r="Q681" i="1"/>
  <c r="P681" i="1"/>
  <c r="O681" i="1"/>
  <c r="N681" i="1"/>
  <c r="M681" i="1"/>
  <c r="L681" i="1"/>
  <c r="J681" i="1"/>
  <c r="I681" i="1"/>
  <c r="G681" i="1"/>
  <c r="F681" i="1"/>
  <c r="K681" i="1" s="1"/>
  <c r="T680" i="1"/>
  <c r="S680" i="1"/>
  <c r="R680" i="1"/>
  <c r="Q680" i="1"/>
  <c r="P680" i="1"/>
  <c r="O680" i="1"/>
  <c r="N680" i="1"/>
  <c r="M680" i="1"/>
  <c r="L680" i="1"/>
  <c r="K680" i="1"/>
  <c r="J680" i="1"/>
  <c r="I680" i="1"/>
  <c r="H680" i="1"/>
  <c r="F680" i="1"/>
  <c r="T679" i="1"/>
  <c r="S679" i="1"/>
  <c r="R679" i="1"/>
  <c r="Q679" i="1"/>
  <c r="P679" i="1"/>
  <c r="O679" i="1"/>
  <c r="N679" i="1"/>
  <c r="M679" i="1"/>
  <c r="L679" i="1"/>
  <c r="K679" i="1"/>
  <c r="J679" i="1"/>
  <c r="I679" i="1"/>
  <c r="H679" i="1"/>
  <c r="F679" i="1"/>
  <c r="T678" i="1"/>
  <c r="R678" i="1"/>
  <c r="P678" i="1"/>
  <c r="O678" i="1"/>
  <c r="N678" i="1"/>
  <c r="M678" i="1"/>
  <c r="L678" i="1"/>
  <c r="K678" i="1"/>
  <c r="J678" i="1"/>
  <c r="I678" i="1"/>
  <c r="H678" i="1"/>
  <c r="S678" i="1" s="1"/>
  <c r="F678" i="1"/>
  <c r="Q678" i="1" s="1"/>
  <c r="T677" i="1"/>
  <c r="R677" i="1"/>
  <c r="P677" i="1"/>
  <c r="O677" i="1"/>
  <c r="N677" i="1"/>
  <c r="M677" i="1"/>
  <c r="L677" i="1"/>
  <c r="K677" i="1"/>
  <c r="J677" i="1"/>
  <c r="I677" i="1"/>
  <c r="H677" i="1"/>
  <c r="S677" i="1" s="1"/>
  <c r="F677" i="1"/>
  <c r="Q677" i="1" s="1"/>
  <c r="T676" i="1"/>
  <c r="R676" i="1"/>
  <c r="P676" i="1"/>
  <c r="O676" i="1"/>
  <c r="N676" i="1"/>
  <c r="M676" i="1"/>
  <c r="L676" i="1"/>
  <c r="K676" i="1"/>
  <c r="J676" i="1"/>
  <c r="I676" i="1"/>
  <c r="H676" i="1"/>
  <c r="S676" i="1" s="1"/>
  <c r="F676" i="1"/>
  <c r="Q676" i="1" s="1"/>
  <c r="T675" i="1"/>
  <c r="S675" i="1"/>
  <c r="R675" i="1"/>
  <c r="Q675" i="1"/>
  <c r="P675" i="1"/>
  <c r="O675" i="1"/>
  <c r="N675" i="1"/>
  <c r="M675" i="1"/>
  <c r="L675" i="1"/>
  <c r="J675" i="1"/>
  <c r="I675" i="1"/>
  <c r="G675" i="1"/>
  <c r="F675" i="1"/>
  <c r="K675" i="1" s="1"/>
  <c r="AK39" i="5"/>
  <c r="AG37" i="5"/>
  <c r="AH32" i="5"/>
  <c r="AH26" i="5"/>
  <c r="AG21" i="5"/>
  <c r="AH16" i="5"/>
  <c r="AH10" i="5"/>
  <c r="AG5" i="5"/>
  <c r="AB42" i="5"/>
  <c r="AA37" i="5"/>
  <c r="AB26" i="5"/>
  <c r="AA21" i="5"/>
  <c r="AB32" i="5"/>
  <c r="AB13" i="5"/>
  <c r="AB10" i="5"/>
  <c r="AA5" i="5"/>
  <c r="L792" i="3" l="1"/>
  <c r="M792" i="3" s="1"/>
  <c r="G792" i="3"/>
  <c r="L791" i="3"/>
  <c r="M791" i="3" s="1"/>
  <c r="G791" i="3"/>
  <c r="L790" i="3"/>
  <c r="M790" i="3" s="1"/>
  <c r="G790" i="3"/>
  <c r="L789" i="3"/>
  <c r="M789" i="3" s="1"/>
  <c r="G789" i="3"/>
  <c r="L788" i="3"/>
  <c r="M788" i="3" s="1"/>
  <c r="G788" i="3"/>
  <c r="L787" i="3"/>
  <c r="M787" i="3" s="1"/>
  <c r="F787" i="3"/>
  <c r="G787" i="3" s="1"/>
  <c r="L786" i="3"/>
  <c r="M786" i="3" s="1"/>
  <c r="F786" i="3"/>
  <c r="G786" i="3" s="1"/>
  <c r="L785" i="3"/>
  <c r="M785" i="3" s="1"/>
  <c r="G785" i="3"/>
  <c r="L784" i="3"/>
  <c r="M784" i="3" s="1"/>
  <c r="G784" i="3"/>
  <c r="L783" i="3"/>
  <c r="M783" i="3" s="1"/>
  <c r="G783" i="3"/>
  <c r="L782" i="3"/>
  <c r="M782" i="3" s="1"/>
  <c r="G782" i="3"/>
  <c r="L781" i="3"/>
  <c r="M781" i="3" s="1"/>
  <c r="G781" i="3"/>
  <c r="L780" i="3"/>
  <c r="M780" i="3" s="1"/>
  <c r="G780" i="3"/>
  <c r="L779" i="3"/>
  <c r="M779" i="3" s="1"/>
  <c r="G779" i="3"/>
  <c r="L778" i="3"/>
  <c r="M778" i="3" s="1"/>
  <c r="G778" i="3"/>
  <c r="L777" i="3"/>
  <c r="M777" i="3" s="1"/>
  <c r="G777" i="3"/>
  <c r="L776" i="3"/>
  <c r="M776" i="3" s="1"/>
  <c r="G776" i="3"/>
  <c r="L775" i="3"/>
  <c r="M775" i="3" s="1"/>
  <c r="F775" i="3"/>
  <c r="G775" i="3" s="1"/>
  <c r="L774" i="3"/>
  <c r="M774" i="3" s="1"/>
  <c r="G774" i="3"/>
  <c r="L773" i="3"/>
  <c r="M773" i="3" s="1"/>
  <c r="G773" i="3"/>
  <c r="L772" i="3"/>
  <c r="M772" i="3" s="1"/>
  <c r="G772" i="3"/>
  <c r="L771" i="3"/>
  <c r="M771" i="3" s="1"/>
  <c r="G771" i="3"/>
  <c r="L770" i="3"/>
  <c r="M770" i="3" s="1"/>
  <c r="G770" i="3"/>
  <c r="L769" i="3"/>
  <c r="M769" i="3" s="1"/>
  <c r="F769" i="3"/>
  <c r="G769" i="3" s="1"/>
  <c r="L768" i="3"/>
  <c r="M768" i="3" s="1"/>
  <c r="F768" i="3"/>
  <c r="G768" i="3" s="1"/>
  <c r="L767" i="3"/>
  <c r="M767" i="3" s="1"/>
  <c r="F767" i="3"/>
  <c r="G767" i="3" s="1"/>
  <c r="L766" i="3"/>
  <c r="M766" i="3" s="1"/>
  <c r="F766" i="3"/>
  <c r="G766" i="3" s="1"/>
  <c r="L765" i="3"/>
  <c r="M765" i="3" s="1"/>
  <c r="G765" i="3"/>
  <c r="L764" i="3"/>
  <c r="M764" i="3" s="1"/>
  <c r="G764" i="3"/>
  <c r="L763" i="3"/>
  <c r="M763" i="3" s="1"/>
  <c r="G763" i="3"/>
  <c r="L762" i="3"/>
  <c r="M762" i="3" s="1"/>
  <c r="F762" i="3"/>
  <c r="G762" i="3" s="1"/>
  <c r="L761" i="3"/>
  <c r="M761" i="3" s="1"/>
  <c r="G761" i="3"/>
  <c r="L760" i="3"/>
  <c r="M760" i="3" s="1"/>
  <c r="F760" i="3"/>
  <c r="G760" i="3" s="1"/>
  <c r="L759" i="3"/>
  <c r="M759" i="3" s="1"/>
  <c r="G759" i="3"/>
  <c r="L758" i="3"/>
  <c r="M758" i="3" s="1"/>
  <c r="G758" i="3"/>
  <c r="L757" i="3"/>
  <c r="M757" i="3" s="1"/>
  <c r="G757" i="3"/>
  <c r="L756" i="3"/>
  <c r="M756" i="3" s="1"/>
  <c r="G756" i="3"/>
  <c r="L755" i="3"/>
  <c r="M755" i="3" s="1"/>
  <c r="G755" i="3"/>
  <c r="L754" i="3"/>
  <c r="M754" i="3" s="1"/>
  <c r="G754" i="3"/>
  <c r="L753" i="3"/>
  <c r="M753" i="3" s="1"/>
  <c r="F753" i="3"/>
  <c r="G753" i="3" s="1"/>
  <c r="L752" i="3"/>
  <c r="M752" i="3" s="1"/>
  <c r="G752" i="3"/>
  <c r="L751" i="3"/>
  <c r="M751" i="3" s="1"/>
  <c r="G751" i="3"/>
  <c r="L750" i="3"/>
  <c r="M750" i="3" s="1"/>
  <c r="G750" i="3"/>
  <c r="L749" i="3"/>
  <c r="M749" i="3" s="1"/>
  <c r="G749" i="3"/>
  <c r="L748" i="3"/>
  <c r="M748" i="3" s="1"/>
  <c r="G748" i="3"/>
  <c r="L747" i="3"/>
  <c r="M747" i="3" s="1"/>
  <c r="G747" i="3"/>
  <c r="L746" i="3"/>
  <c r="M746" i="3" s="1"/>
  <c r="G746" i="3"/>
  <c r="L745" i="3"/>
  <c r="M745" i="3" s="1"/>
  <c r="F745" i="3"/>
  <c r="G745" i="3" s="1"/>
  <c r="L744" i="3"/>
  <c r="M744" i="3" s="1"/>
  <c r="G744" i="3"/>
  <c r="L743" i="3"/>
  <c r="M743" i="3" s="1"/>
  <c r="G743" i="3"/>
  <c r="L742" i="3"/>
  <c r="M742" i="3" s="1"/>
  <c r="G742" i="3"/>
  <c r="L741" i="3"/>
  <c r="M741" i="3" s="1"/>
  <c r="G741" i="3"/>
  <c r="L740" i="3"/>
  <c r="M740" i="3" s="1"/>
  <c r="G740" i="3"/>
  <c r="L739" i="3"/>
  <c r="M739" i="3" s="1"/>
  <c r="G739" i="3"/>
  <c r="L738" i="3"/>
  <c r="M738" i="3" s="1"/>
  <c r="G738" i="3"/>
  <c r="L737" i="3"/>
  <c r="M737" i="3" s="1"/>
  <c r="G737" i="3"/>
  <c r="L736" i="3"/>
  <c r="M736" i="3" s="1"/>
  <c r="G736" i="3"/>
  <c r="L735" i="3"/>
  <c r="M735" i="3" s="1"/>
  <c r="G735" i="3"/>
  <c r="L734" i="3"/>
  <c r="M734" i="3" s="1"/>
  <c r="F734" i="3"/>
  <c r="G734" i="3" s="1"/>
  <c r="L733" i="3"/>
  <c r="M733" i="3" s="1"/>
  <c r="G733" i="3"/>
  <c r="L732" i="3"/>
  <c r="M732" i="3" s="1"/>
  <c r="G732" i="3"/>
  <c r="L731" i="3"/>
  <c r="M731" i="3" s="1"/>
  <c r="G731" i="3"/>
  <c r="L730" i="3"/>
  <c r="M730" i="3" s="1"/>
  <c r="G730" i="3"/>
  <c r="L729" i="3"/>
  <c r="M729" i="3" s="1"/>
  <c r="F729" i="3"/>
  <c r="G729" i="3" s="1"/>
  <c r="L728" i="3"/>
  <c r="M728" i="3" s="1"/>
  <c r="G728" i="3"/>
  <c r="L727" i="3"/>
  <c r="M727" i="3" s="1"/>
  <c r="G727" i="3"/>
  <c r="L726" i="3"/>
  <c r="M726" i="3" s="1"/>
  <c r="G726" i="3"/>
  <c r="L725" i="3"/>
  <c r="M725" i="3" s="1"/>
  <c r="F725" i="3"/>
  <c r="G725" i="3" s="1"/>
  <c r="L724" i="3"/>
  <c r="M724" i="3" s="1"/>
  <c r="F724" i="3"/>
  <c r="G724" i="3" s="1"/>
  <c r="L723" i="3"/>
  <c r="M723" i="3" s="1"/>
  <c r="G723" i="3"/>
  <c r="L722" i="3"/>
  <c r="M722" i="3" s="1"/>
  <c r="G722" i="3"/>
  <c r="L721" i="3"/>
  <c r="M721" i="3" s="1"/>
  <c r="F721" i="3"/>
  <c r="G721" i="3" s="1"/>
  <c r="L720" i="3"/>
  <c r="M720" i="3" s="1"/>
  <c r="G720" i="3"/>
  <c r="L719" i="3"/>
  <c r="M719" i="3" s="1"/>
  <c r="F719" i="3"/>
  <c r="G719" i="3" s="1"/>
  <c r="L718" i="3"/>
  <c r="M718" i="3" s="1"/>
  <c r="G718" i="3"/>
  <c r="L717" i="3"/>
  <c r="M717" i="3" s="1"/>
  <c r="F717" i="3"/>
  <c r="G717" i="3" s="1"/>
  <c r="L716" i="3"/>
  <c r="M716" i="3" s="1"/>
  <c r="G716" i="3"/>
  <c r="L715" i="3"/>
  <c r="M715" i="3" s="1"/>
  <c r="G715" i="3"/>
  <c r="L714" i="3"/>
  <c r="M714" i="3" s="1"/>
  <c r="F714" i="3"/>
  <c r="G714" i="3" s="1"/>
  <c r="L713" i="3"/>
  <c r="M713" i="3" s="1"/>
  <c r="F713" i="3"/>
  <c r="G713" i="3" s="1"/>
  <c r="L712" i="3"/>
  <c r="M712" i="3" s="1"/>
  <c r="G712" i="3"/>
  <c r="L711" i="3"/>
  <c r="M711" i="3" s="1"/>
  <c r="G711" i="3"/>
  <c r="L710" i="3"/>
  <c r="M710" i="3" s="1"/>
  <c r="F710" i="3"/>
  <c r="G710" i="3" s="1"/>
  <c r="L709" i="3"/>
  <c r="M709" i="3" s="1"/>
  <c r="G709" i="3"/>
  <c r="L708" i="3"/>
  <c r="M708" i="3" s="1"/>
  <c r="G708" i="3"/>
  <c r="L707" i="3"/>
  <c r="M707" i="3" s="1"/>
  <c r="F707" i="3"/>
  <c r="G707" i="3" s="1"/>
  <c r="L706" i="3"/>
  <c r="M706" i="3" s="1"/>
  <c r="G706" i="3"/>
  <c r="L705" i="3"/>
  <c r="M705" i="3" s="1"/>
  <c r="G705" i="3"/>
  <c r="L704" i="3"/>
  <c r="M704" i="3" s="1"/>
  <c r="G704" i="3"/>
  <c r="L703" i="3"/>
  <c r="M703" i="3" s="1"/>
  <c r="G703" i="3"/>
  <c r="L702" i="3"/>
  <c r="M702" i="3" s="1"/>
  <c r="G702" i="3"/>
  <c r="L701" i="3"/>
  <c r="M701" i="3" s="1"/>
  <c r="G701" i="3"/>
  <c r="L700" i="3"/>
  <c r="M700" i="3" s="1"/>
  <c r="G700" i="3"/>
  <c r="L699" i="3"/>
  <c r="M699" i="3" s="1"/>
  <c r="G699" i="3"/>
  <c r="L698" i="3"/>
  <c r="M698" i="3" s="1"/>
  <c r="G698" i="3"/>
  <c r="L697" i="3"/>
  <c r="M697" i="3" s="1"/>
  <c r="F697" i="3"/>
  <c r="G697" i="3" s="1"/>
  <c r="L696" i="3"/>
  <c r="M696" i="3" s="1"/>
  <c r="F696" i="3"/>
  <c r="G696" i="3" s="1"/>
  <c r="L695" i="3"/>
  <c r="M695" i="3" s="1"/>
  <c r="G695" i="3"/>
  <c r="M694" i="3"/>
  <c r="F694" i="3"/>
  <c r="G694" i="3" s="1"/>
  <c r="L693" i="3"/>
  <c r="M693" i="3" s="1"/>
  <c r="G693" i="3"/>
  <c r="M692" i="3"/>
  <c r="F692" i="3"/>
  <c r="G692" i="3" s="1"/>
  <c r="L691" i="3"/>
  <c r="M691" i="3" s="1"/>
  <c r="F691" i="3"/>
  <c r="G691" i="3" s="1"/>
  <c r="L690" i="3"/>
  <c r="M690" i="3" s="1"/>
  <c r="F690" i="3"/>
  <c r="G690" i="3" s="1"/>
  <c r="L689" i="3"/>
  <c r="M689" i="3" s="1"/>
  <c r="F689" i="3"/>
  <c r="G689" i="3" s="1"/>
  <c r="L688" i="3"/>
  <c r="M688" i="3" s="1"/>
  <c r="F688" i="3"/>
  <c r="G688" i="3" s="1"/>
  <c r="L687" i="3"/>
  <c r="M687" i="3" s="1"/>
  <c r="F687" i="3"/>
  <c r="G687" i="3" s="1"/>
  <c r="L686" i="3"/>
  <c r="M686" i="3" s="1"/>
  <c r="G686" i="3"/>
  <c r="L685" i="3"/>
  <c r="M685" i="3" s="1"/>
  <c r="F685" i="3"/>
  <c r="G685" i="3" s="1"/>
  <c r="L684" i="3"/>
  <c r="M684" i="3" s="1"/>
  <c r="G684" i="3"/>
  <c r="L683" i="3"/>
  <c r="M683" i="3" s="1"/>
  <c r="G683" i="3"/>
  <c r="L682" i="3"/>
  <c r="M682" i="3" s="1"/>
  <c r="G682" i="3"/>
  <c r="L681" i="3"/>
  <c r="M681" i="3" s="1"/>
  <c r="F681" i="3"/>
  <c r="G681" i="3" s="1"/>
  <c r="L680" i="3"/>
  <c r="M680" i="3" s="1"/>
  <c r="G680" i="3"/>
  <c r="L679" i="3"/>
  <c r="M679" i="3" s="1"/>
  <c r="G679" i="3"/>
  <c r="L678" i="3"/>
  <c r="M678" i="3" s="1"/>
  <c r="G678" i="3"/>
  <c r="L677" i="3"/>
  <c r="M677" i="3" s="1"/>
  <c r="G677" i="3"/>
  <c r="L676" i="3"/>
  <c r="M676" i="3" s="1"/>
  <c r="G676" i="3"/>
  <c r="L675" i="3"/>
  <c r="M675" i="3" s="1"/>
  <c r="G675" i="3"/>
  <c r="L674" i="3"/>
  <c r="M674" i="3" s="1"/>
  <c r="G674" i="3"/>
  <c r="L673" i="3"/>
  <c r="M673" i="3" s="1"/>
  <c r="G673" i="3"/>
  <c r="L672" i="3"/>
  <c r="M672" i="3" s="1"/>
  <c r="G672" i="3"/>
  <c r="L671" i="3"/>
  <c r="M671" i="3" s="1"/>
  <c r="F671" i="3"/>
  <c r="G671" i="3" s="1"/>
  <c r="L670" i="3"/>
  <c r="M670" i="3" s="1"/>
  <c r="G670" i="3"/>
  <c r="L669" i="3"/>
  <c r="M669" i="3" s="1"/>
  <c r="G669" i="3"/>
  <c r="L668" i="3"/>
  <c r="M668" i="3" s="1"/>
  <c r="G668" i="3"/>
  <c r="L667" i="3"/>
  <c r="M667" i="3" s="1"/>
  <c r="G667" i="3"/>
  <c r="L666" i="3"/>
  <c r="M666" i="3" s="1"/>
  <c r="F666" i="3"/>
  <c r="G666" i="3" s="1"/>
  <c r="L665" i="3"/>
  <c r="M665" i="3" s="1"/>
  <c r="F665" i="3"/>
  <c r="G665" i="3" s="1"/>
  <c r="L664" i="3"/>
  <c r="M664" i="3" s="1"/>
  <c r="G664" i="3"/>
  <c r="L663" i="3"/>
  <c r="M663" i="3" s="1"/>
  <c r="G663" i="3"/>
  <c r="L662" i="3"/>
  <c r="M662" i="3" s="1"/>
  <c r="F662" i="3"/>
  <c r="G662" i="3" s="1"/>
  <c r="L661" i="3"/>
  <c r="M661" i="3" s="1"/>
  <c r="G661" i="3"/>
  <c r="L660" i="3"/>
  <c r="M660" i="3" s="1"/>
  <c r="F660" i="3"/>
  <c r="G660" i="3" s="1"/>
  <c r="L659" i="3"/>
  <c r="M659" i="3" s="1"/>
  <c r="F659" i="3"/>
  <c r="G659" i="3" s="1"/>
  <c r="L658" i="3"/>
  <c r="M658" i="3" s="1"/>
  <c r="F658" i="3"/>
  <c r="G658" i="3" s="1"/>
  <c r="L657" i="3"/>
  <c r="M657" i="3" s="1"/>
  <c r="G657" i="3"/>
  <c r="L656" i="3"/>
  <c r="M656" i="3" s="1"/>
  <c r="G656" i="3"/>
  <c r="L655" i="3"/>
  <c r="M655" i="3" s="1"/>
  <c r="F655" i="3"/>
  <c r="G655" i="3" s="1"/>
  <c r="L654" i="3"/>
  <c r="M654" i="3" s="1"/>
  <c r="F654" i="3"/>
  <c r="G654" i="3" s="1"/>
  <c r="T265" i="2"/>
  <c r="S265" i="2"/>
  <c r="R265" i="2"/>
  <c r="P265" i="2"/>
  <c r="O265" i="2"/>
  <c r="N265" i="2"/>
  <c r="M265" i="2"/>
  <c r="L265" i="2"/>
  <c r="K265" i="2"/>
  <c r="J265" i="2"/>
  <c r="I265" i="2"/>
  <c r="G265" i="2"/>
  <c r="F265" i="2"/>
  <c r="Q265" i="2" s="1"/>
  <c r="T264" i="2"/>
  <c r="S264" i="2"/>
  <c r="R264" i="2"/>
  <c r="Q264" i="2"/>
  <c r="P264" i="2"/>
  <c r="O264" i="2"/>
  <c r="N264" i="2"/>
  <c r="M264" i="2"/>
  <c r="L264" i="2"/>
  <c r="J264" i="2"/>
  <c r="I264" i="2"/>
  <c r="G264" i="2"/>
  <c r="F264" i="2"/>
  <c r="K264" i="2" s="1"/>
  <c r="T263" i="2"/>
  <c r="S263" i="2"/>
  <c r="R263" i="2"/>
  <c r="Q263" i="2"/>
  <c r="P263" i="2"/>
  <c r="O263" i="2"/>
  <c r="N263" i="2"/>
  <c r="M263" i="2"/>
  <c r="L263" i="2"/>
  <c r="K263" i="2"/>
  <c r="J263" i="2"/>
  <c r="I263" i="2"/>
  <c r="G263" i="2"/>
  <c r="F263" i="2"/>
  <c r="T262" i="2"/>
  <c r="S262" i="2"/>
  <c r="R262" i="2"/>
  <c r="Q262" i="2"/>
  <c r="P262" i="2"/>
  <c r="O262" i="2"/>
  <c r="N262" i="2"/>
  <c r="M262" i="2"/>
  <c r="L262" i="2"/>
  <c r="K262" i="2"/>
  <c r="J262" i="2"/>
  <c r="I262" i="2"/>
  <c r="G262" i="2"/>
  <c r="F262" i="2"/>
  <c r="T261" i="2"/>
  <c r="S261" i="2"/>
  <c r="R261" i="2"/>
  <c r="P261" i="2"/>
  <c r="O261" i="2"/>
  <c r="N261" i="2"/>
  <c r="M261" i="2"/>
  <c r="L261" i="2"/>
  <c r="K261" i="2"/>
  <c r="J261" i="2"/>
  <c r="I261" i="2"/>
  <c r="G261" i="2"/>
  <c r="F261" i="2"/>
  <c r="Q261" i="2" s="1"/>
  <c r="T260" i="2"/>
  <c r="S260" i="2"/>
  <c r="R260" i="2"/>
  <c r="Q260" i="2"/>
  <c r="P260" i="2"/>
  <c r="O260" i="2"/>
  <c r="N260" i="2"/>
  <c r="M260" i="2"/>
  <c r="L260" i="2"/>
  <c r="J260" i="2"/>
  <c r="I260" i="2"/>
  <c r="G260" i="2"/>
  <c r="F260" i="2"/>
  <c r="K260" i="2" s="1"/>
  <c r="T259" i="2"/>
  <c r="S259" i="2"/>
  <c r="R259" i="2"/>
  <c r="P259" i="2"/>
  <c r="O259" i="2"/>
  <c r="N259" i="2"/>
  <c r="M259" i="2"/>
  <c r="L259" i="2"/>
  <c r="K259" i="2"/>
  <c r="J259" i="2"/>
  <c r="I259" i="2"/>
  <c r="G259" i="2"/>
  <c r="F259" i="2"/>
  <c r="Q259" i="2" s="1"/>
  <c r="T258" i="2"/>
  <c r="S258" i="2"/>
  <c r="R258" i="2"/>
  <c r="P258" i="2"/>
  <c r="O258" i="2"/>
  <c r="N258" i="2"/>
  <c r="M258" i="2"/>
  <c r="L258" i="2"/>
  <c r="K258" i="2"/>
  <c r="J258" i="2"/>
  <c r="I258" i="2"/>
  <c r="G258" i="2"/>
  <c r="F258" i="2"/>
  <c r="Q258" i="2" s="1"/>
  <c r="T257" i="2"/>
  <c r="S257" i="2"/>
  <c r="R257" i="2"/>
  <c r="Q257" i="2"/>
  <c r="P257" i="2"/>
  <c r="O257" i="2"/>
  <c r="N257" i="2"/>
  <c r="M257" i="2"/>
  <c r="L257" i="2"/>
  <c r="J257" i="2"/>
  <c r="I257" i="2"/>
  <c r="G257" i="2"/>
  <c r="F257" i="2"/>
  <c r="K257" i="2" s="1"/>
  <c r="T256" i="2"/>
  <c r="S256" i="2"/>
  <c r="R256" i="2"/>
  <c r="Q256" i="2"/>
  <c r="P256" i="2"/>
  <c r="O256" i="2"/>
  <c r="N256" i="2"/>
  <c r="M256" i="2"/>
  <c r="L256" i="2"/>
  <c r="J256" i="2"/>
  <c r="I256" i="2"/>
  <c r="G256" i="2"/>
  <c r="F256" i="2"/>
  <c r="K256" i="2" s="1"/>
  <c r="T674" i="1"/>
  <c r="S674" i="1"/>
  <c r="R674" i="1"/>
  <c r="P674" i="1"/>
  <c r="O674" i="1"/>
  <c r="N674" i="1"/>
  <c r="M674" i="1"/>
  <c r="L674" i="1"/>
  <c r="K674" i="1"/>
  <c r="J674" i="1"/>
  <c r="I674" i="1"/>
  <c r="G674" i="1"/>
  <c r="F674" i="1"/>
  <c r="Q674" i="1" s="1"/>
  <c r="T673" i="1"/>
  <c r="S673" i="1"/>
  <c r="R673" i="1"/>
  <c r="Q673" i="1"/>
  <c r="P673" i="1"/>
  <c r="O673" i="1"/>
  <c r="N673" i="1"/>
  <c r="M673" i="1"/>
  <c r="L673" i="1"/>
  <c r="J673" i="1"/>
  <c r="I673" i="1"/>
  <c r="G673" i="1"/>
  <c r="F673" i="1"/>
  <c r="K673" i="1" s="1"/>
  <c r="T672" i="1"/>
  <c r="S672" i="1"/>
  <c r="R672" i="1"/>
  <c r="Q672" i="1"/>
  <c r="P672" i="1"/>
  <c r="O672" i="1"/>
  <c r="N672" i="1"/>
  <c r="M672" i="1"/>
  <c r="L672" i="1"/>
  <c r="J672" i="1"/>
  <c r="I672" i="1"/>
  <c r="G672" i="1"/>
  <c r="F672" i="1"/>
  <c r="K672" i="1" s="1"/>
  <c r="T671" i="1"/>
  <c r="S671" i="1"/>
  <c r="R671" i="1"/>
  <c r="Q671" i="1"/>
  <c r="P671" i="1"/>
  <c r="O671" i="1"/>
  <c r="N671" i="1"/>
  <c r="M671" i="1"/>
  <c r="L671" i="1"/>
  <c r="J671" i="1"/>
  <c r="I671" i="1"/>
  <c r="G671" i="1"/>
  <c r="F671" i="1"/>
  <c r="K671" i="1" s="1"/>
  <c r="T670" i="1"/>
  <c r="S670" i="1"/>
  <c r="R670" i="1"/>
  <c r="Q670" i="1"/>
  <c r="P670" i="1"/>
  <c r="O670" i="1"/>
  <c r="N670" i="1"/>
  <c r="M670" i="1"/>
  <c r="K670" i="1"/>
  <c r="J670" i="1"/>
  <c r="I670" i="1"/>
  <c r="G670" i="1"/>
  <c r="F670" i="1"/>
  <c r="L670" i="1" s="1"/>
  <c r="T669" i="1"/>
  <c r="S669" i="1"/>
  <c r="R669" i="1"/>
  <c r="P669" i="1"/>
  <c r="O669" i="1"/>
  <c r="N669" i="1"/>
  <c r="M669" i="1"/>
  <c r="L669" i="1"/>
  <c r="K669" i="1"/>
  <c r="J669" i="1"/>
  <c r="I669" i="1"/>
  <c r="G669" i="1"/>
  <c r="F669" i="1"/>
  <c r="Q669" i="1" s="1"/>
  <c r="T668" i="1"/>
  <c r="S668" i="1"/>
  <c r="R668" i="1"/>
  <c r="P668" i="1"/>
  <c r="O668" i="1"/>
  <c r="N668" i="1"/>
  <c r="M668" i="1"/>
  <c r="L668" i="1"/>
  <c r="K668" i="1"/>
  <c r="J668" i="1"/>
  <c r="I668" i="1"/>
  <c r="F668" i="1"/>
  <c r="Q668" i="1" s="1"/>
  <c r="T667" i="1"/>
  <c r="S667" i="1"/>
  <c r="R667" i="1"/>
  <c r="Q667" i="1"/>
  <c r="P667" i="1"/>
  <c r="O667" i="1"/>
  <c r="N667" i="1"/>
  <c r="M667" i="1"/>
  <c r="L667" i="1"/>
  <c r="J667" i="1"/>
  <c r="I667" i="1"/>
  <c r="G667" i="1"/>
  <c r="F667" i="1"/>
  <c r="K667" i="1" s="1"/>
  <c r="T666" i="1"/>
  <c r="S666" i="1"/>
  <c r="R666" i="1"/>
  <c r="Q666" i="1"/>
  <c r="P666" i="1"/>
  <c r="O666" i="1"/>
  <c r="N666" i="1"/>
  <c r="M666" i="1"/>
  <c r="L666" i="1"/>
  <c r="J666" i="1"/>
  <c r="I666" i="1"/>
  <c r="G666" i="1"/>
  <c r="F666" i="1"/>
  <c r="K666" i="1" s="1"/>
  <c r="T665" i="1"/>
  <c r="S665" i="1"/>
  <c r="R665" i="1"/>
  <c r="P665" i="1"/>
  <c r="O665" i="1"/>
  <c r="N665" i="1"/>
  <c r="M665" i="1"/>
  <c r="L665" i="1"/>
  <c r="K665" i="1"/>
  <c r="J665" i="1"/>
  <c r="I665" i="1"/>
  <c r="G665" i="1"/>
  <c r="F665" i="1"/>
  <c r="Q665" i="1" s="1"/>
  <c r="T664" i="1"/>
  <c r="S664" i="1"/>
  <c r="R664" i="1"/>
  <c r="P664" i="1"/>
  <c r="O664" i="1"/>
  <c r="N664" i="1"/>
  <c r="M664" i="1"/>
  <c r="L664" i="1"/>
  <c r="K664" i="1"/>
  <c r="J664" i="1"/>
  <c r="I664" i="1"/>
  <c r="G664" i="1"/>
  <c r="F664" i="1"/>
  <c r="Q664" i="1" s="1"/>
  <c r="T663" i="1"/>
  <c r="S663" i="1"/>
  <c r="R663" i="1"/>
  <c r="Q663" i="1"/>
  <c r="P663" i="1"/>
  <c r="O663" i="1"/>
  <c r="N663" i="1"/>
  <c r="M663" i="1"/>
  <c r="L663" i="1"/>
  <c r="J663" i="1"/>
  <c r="I663" i="1"/>
  <c r="G663" i="1"/>
  <c r="F663" i="1"/>
  <c r="K663" i="1" s="1"/>
  <c r="T662" i="1"/>
  <c r="S662" i="1"/>
  <c r="R662" i="1"/>
  <c r="P662" i="1"/>
  <c r="O662" i="1"/>
  <c r="N662" i="1"/>
  <c r="M662" i="1"/>
  <c r="L662" i="1"/>
  <c r="K662" i="1"/>
  <c r="J662" i="1"/>
  <c r="I662" i="1"/>
  <c r="G662" i="1"/>
  <c r="F662" i="1"/>
  <c r="Q662" i="1" s="1"/>
  <c r="T661" i="1"/>
  <c r="S661" i="1"/>
  <c r="R661" i="1"/>
  <c r="P661" i="1"/>
  <c r="O661" i="1"/>
  <c r="N661" i="1"/>
  <c r="M661" i="1"/>
  <c r="L661" i="1"/>
  <c r="K661" i="1"/>
  <c r="J661" i="1"/>
  <c r="I661" i="1"/>
  <c r="G661" i="1"/>
  <c r="F661" i="1"/>
  <c r="Q661" i="1" s="1"/>
  <c r="T660" i="1"/>
  <c r="S660" i="1"/>
  <c r="R660" i="1"/>
  <c r="Q660" i="1"/>
  <c r="P660" i="1"/>
  <c r="O660" i="1"/>
  <c r="N660" i="1"/>
  <c r="M660" i="1"/>
  <c r="L660" i="1"/>
  <c r="K660" i="1"/>
  <c r="J660" i="1"/>
  <c r="I660" i="1"/>
  <c r="G660" i="1"/>
  <c r="F660" i="1"/>
  <c r="T659" i="1"/>
  <c r="S659" i="1"/>
  <c r="R659" i="1"/>
  <c r="P659" i="1"/>
  <c r="O659" i="1"/>
  <c r="N659" i="1"/>
  <c r="M659" i="1"/>
  <c r="L659" i="1"/>
  <c r="K659" i="1"/>
  <c r="J659" i="1"/>
  <c r="I659" i="1"/>
  <c r="G659" i="1"/>
  <c r="F659" i="1"/>
  <c r="Q659" i="1" s="1"/>
  <c r="T658" i="1"/>
  <c r="S658" i="1"/>
  <c r="R658" i="1"/>
  <c r="Q658" i="1"/>
  <c r="P658" i="1"/>
  <c r="O658" i="1"/>
  <c r="N658" i="1"/>
  <c r="M658" i="1"/>
  <c r="L658" i="1"/>
  <c r="J658" i="1"/>
  <c r="I658" i="1"/>
  <c r="G658" i="1"/>
  <c r="F658" i="1"/>
  <c r="K658" i="1" s="1"/>
  <c r="T657" i="1"/>
  <c r="S657" i="1"/>
  <c r="R657" i="1"/>
  <c r="Q657" i="1"/>
  <c r="P657" i="1"/>
  <c r="O657" i="1"/>
  <c r="N657" i="1"/>
  <c r="M657" i="1"/>
  <c r="L657" i="1"/>
  <c r="K657" i="1"/>
  <c r="J657" i="1"/>
  <c r="I657" i="1"/>
  <c r="G657" i="1"/>
  <c r="F657" i="1"/>
  <c r="T656" i="1"/>
  <c r="S656" i="1"/>
  <c r="R656" i="1"/>
  <c r="Q656" i="1"/>
  <c r="P656" i="1"/>
  <c r="O656" i="1"/>
  <c r="N656" i="1"/>
  <c r="M656" i="1"/>
  <c r="L656" i="1"/>
  <c r="K656" i="1"/>
  <c r="J656" i="1"/>
  <c r="I656" i="1"/>
  <c r="G656" i="1"/>
  <c r="F656" i="1"/>
  <c r="T655" i="1"/>
  <c r="S655" i="1"/>
  <c r="R655" i="1"/>
  <c r="Q655" i="1"/>
  <c r="P655" i="1"/>
  <c r="O655" i="1"/>
  <c r="N655" i="1"/>
  <c r="M655" i="1"/>
  <c r="L655" i="1"/>
  <c r="K655" i="1"/>
  <c r="J655" i="1"/>
  <c r="I655" i="1"/>
  <c r="G655" i="1"/>
  <c r="F655" i="1"/>
  <c r="T654" i="1"/>
  <c r="S654" i="1"/>
  <c r="R654" i="1"/>
  <c r="Q654" i="1"/>
  <c r="P654" i="1"/>
  <c r="O654" i="1"/>
  <c r="N654" i="1"/>
  <c r="M654" i="1"/>
  <c r="L654" i="1"/>
  <c r="K654" i="1"/>
  <c r="J654" i="1"/>
  <c r="I654" i="1"/>
  <c r="G654" i="1"/>
  <c r="F654" i="1"/>
  <c r="T653" i="1"/>
  <c r="S653" i="1"/>
  <c r="R653" i="1"/>
  <c r="Q653" i="1"/>
  <c r="P653" i="1"/>
  <c r="O653" i="1"/>
  <c r="N653" i="1"/>
  <c r="M653" i="1"/>
  <c r="L653" i="1"/>
  <c r="K653" i="1"/>
  <c r="J653" i="1"/>
  <c r="I653" i="1"/>
  <c r="G653" i="1"/>
  <c r="F653" i="1"/>
  <c r="T652" i="1"/>
  <c r="S652" i="1"/>
  <c r="R652" i="1"/>
  <c r="Q652" i="1"/>
  <c r="P652" i="1"/>
  <c r="O652" i="1"/>
  <c r="N652" i="1"/>
  <c r="M652" i="1"/>
  <c r="L652" i="1"/>
  <c r="K652" i="1"/>
  <c r="J652" i="1"/>
  <c r="I652" i="1"/>
  <c r="G652" i="1"/>
  <c r="F652" i="1"/>
  <c r="T651" i="1"/>
  <c r="S651" i="1"/>
  <c r="R651" i="1"/>
  <c r="Q651" i="1"/>
  <c r="P651" i="1"/>
  <c r="O651" i="1"/>
  <c r="N651" i="1"/>
  <c r="M651" i="1"/>
  <c r="L651" i="1"/>
  <c r="K651" i="1"/>
  <c r="J651" i="1"/>
  <c r="I651" i="1"/>
  <c r="G651" i="1"/>
  <c r="F651" i="1"/>
  <c r="T650" i="1"/>
  <c r="S650" i="1"/>
  <c r="R650" i="1"/>
  <c r="Q650" i="1"/>
  <c r="P650" i="1"/>
  <c r="O650" i="1"/>
  <c r="N650" i="1"/>
  <c r="M650" i="1"/>
  <c r="L650" i="1"/>
  <c r="K650" i="1"/>
  <c r="J650" i="1"/>
  <c r="I650" i="1"/>
  <c r="G650" i="1"/>
  <c r="F650" i="1"/>
  <c r="T649" i="1"/>
  <c r="S649" i="1"/>
  <c r="R649" i="1"/>
  <c r="P649" i="1"/>
  <c r="O649" i="1"/>
  <c r="N649" i="1"/>
  <c r="M649" i="1"/>
  <c r="L649" i="1"/>
  <c r="K649" i="1"/>
  <c r="J649" i="1"/>
  <c r="I649" i="1"/>
  <c r="G649" i="1"/>
  <c r="F649" i="1"/>
  <c r="Q649" i="1" s="1"/>
  <c r="T648" i="1"/>
  <c r="S648" i="1"/>
  <c r="R648" i="1"/>
  <c r="P648" i="1"/>
  <c r="O648" i="1"/>
  <c r="N648" i="1"/>
  <c r="M648" i="1"/>
  <c r="L648" i="1"/>
  <c r="K648" i="1"/>
  <c r="J648" i="1"/>
  <c r="I648" i="1"/>
  <c r="G648" i="1"/>
  <c r="F648" i="1"/>
  <c r="Q648" i="1" s="1"/>
  <c r="T647" i="1"/>
  <c r="S647" i="1"/>
  <c r="R647" i="1"/>
  <c r="P647" i="1"/>
  <c r="O647" i="1"/>
  <c r="N647" i="1"/>
  <c r="M647" i="1"/>
  <c r="L647" i="1"/>
  <c r="K647" i="1"/>
  <c r="J647" i="1"/>
  <c r="I647" i="1"/>
  <c r="G647" i="1"/>
  <c r="F647" i="1"/>
  <c r="Q647" i="1" s="1"/>
  <c r="T646" i="1"/>
  <c r="S646" i="1"/>
  <c r="R646" i="1"/>
  <c r="Q646" i="1"/>
  <c r="P646" i="1"/>
  <c r="O646" i="1"/>
  <c r="N646" i="1"/>
  <c r="M646" i="1"/>
  <c r="L646" i="1"/>
  <c r="J646" i="1"/>
  <c r="I646" i="1"/>
  <c r="G646" i="1"/>
  <c r="F646" i="1"/>
  <c r="K646" i="1" s="1"/>
  <c r="T645" i="1"/>
  <c r="S645" i="1"/>
  <c r="R645" i="1"/>
  <c r="Q645" i="1"/>
  <c r="P645" i="1"/>
  <c r="O645" i="1"/>
  <c r="N645" i="1"/>
  <c r="M645" i="1"/>
  <c r="K645" i="1"/>
  <c r="J645" i="1"/>
  <c r="I645" i="1"/>
  <c r="G645" i="1"/>
  <c r="F645" i="1"/>
  <c r="L645" i="1" s="1"/>
  <c r="T644" i="1"/>
  <c r="S644" i="1"/>
  <c r="R644" i="1"/>
  <c r="Q644" i="1"/>
  <c r="P644" i="1"/>
  <c r="O644" i="1"/>
  <c r="N644" i="1"/>
  <c r="M644" i="1"/>
  <c r="L644" i="1"/>
  <c r="J644" i="1"/>
  <c r="I644" i="1"/>
  <c r="G644" i="1"/>
  <c r="F644" i="1"/>
  <c r="K644" i="1" s="1"/>
  <c r="T643" i="1"/>
  <c r="S643" i="1"/>
  <c r="R643" i="1"/>
  <c r="P643" i="1"/>
  <c r="O643" i="1"/>
  <c r="N643" i="1"/>
  <c r="M643" i="1"/>
  <c r="L643" i="1"/>
  <c r="K643" i="1"/>
  <c r="J643" i="1"/>
  <c r="I643" i="1"/>
  <c r="G643" i="1"/>
  <c r="F643" i="1"/>
  <c r="Q643" i="1" s="1"/>
  <c r="T642" i="1"/>
  <c r="S642" i="1"/>
  <c r="R642" i="1"/>
  <c r="Q642" i="1"/>
  <c r="P642" i="1"/>
  <c r="O642" i="1"/>
  <c r="N642" i="1"/>
  <c r="M642" i="1"/>
  <c r="L642" i="1"/>
  <c r="K642" i="1"/>
  <c r="J642" i="1"/>
  <c r="I642" i="1"/>
  <c r="G642" i="1"/>
  <c r="F642" i="1"/>
  <c r="T641" i="1"/>
  <c r="S641" i="1"/>
  <c r="R641" i="1"/>
  <c r="P641" i="1"/>
  <c r="O641" i="1"/>
  <c r="N641" i="1"/>
  <c r="M641" i="1"/>
  <c r="L641" i="1"/>
  <c r="K641" i="1"/>
  <c r="J641" i="1"/>
  <c r="I641" i="1"/>
  <c r="G641" i="1"/>
  <c r="F641" i="1"/>
  <c r="Q641" i="1" s="1"/>
  <c r="T640" i="1"/>
  <c r="S640" i="1"/>
  <c r="R640" i="1"/>
  <c r="P640" i="1"/>
  <c r="O640" i="1"/>
  <c r="N640" i="1"/>
  <c r="M640" i="1"/>
  <c r="L640" i="1"/>
  <c r="K640" i="1"/>
  <c r="J640" i="1"/>
  <c r="I640" i="1"/>
  <c r="G640" i="1"/>
  <c r="F640" i="1"/>
  <c r="Q640" i="1" s="1"/>
  <c r="T639" i="1"/>
  <c r="S639" i="1"/>
  <c r="R639" i="1"/>
  <c r="Q639" i="1"/>
  <c r="P639" i="1"/>
  <c r="O639" i="1"/>
  <c r="N639" i="1"/>
  <c r="M639" i="1"/>
  <c r="L639" i="1"/>
  <c r="J639" i="1"/>
  <c r="I639" i="1"/>
  <c r="G639" i="1"/>
  <c r="F639" i="1"/>
  <c r="K639" i="1" s="1"/>
  <c r="T638" i="1"/>
  <c r="S638" i="1"/>
  <c r="R638" i="1"/>
  <c r="P638" i="1"/>
  <c r="O638" i="1"/>
  <c r="N638" i="1"/>
  <c r="M638" i="1"/>
  <c r="L638" i="1"/>
  <c r="K638" i="1"/>
  <c r="J638" i="1"/>
  <c r="I638" i="1"/>
  <c r="G638" i="1"/>
  <c r="F638" i="1"/>
  <c r="Q638" i="1" s="1"/>
  <c r="T637" i="1"/>
  <c r="S637" i="1"/>
  <c r="R637" i="1"/>
  <c r="P637" i="1"/>
  <c r="O637" i="1"/>
  <c r="N637" i="1"/>
  <c r="M637" i="1"/>
  <c r="L637" i="1"/>
  <c r="K637" i="1"/>
  <c r="J637" i="1"/>
  <c r="I637" i="1"/>
  <c r="G637" i="1"/>
  <c r="F637" i="1"/>
  <c r="Q637" i="1" s="1"/>
  <c r="T636" i="1"/>
  <c r="S636" i="1"/>
  <c r="R636" i="1"/>
  <c r="Q636" i="1"/>
  <c r="P636" i="1"/>
  <c r="O636" i="1"/>
  <c r="N636" i="1"/>
  <c r="M636" i="1"/>
  <c r="L636" i="1"/>
  <c r="J636" i="1"/>
  <c r="I636" i="1"/>
  <c r="G636" i="1"/>
  <c r="F636" i="1"/>
  <c r="K636" i="1" s="1"/>
  <c r="T635" i="1"/>
  <c r="S635" i="1"/>
  <c r="R635" i="1"/>
  <c r="Q635" i="1"/>
  <c r="P635" i="1"/>
  <c r="O635" i="1"/>
  <c r="N635" i="1"/>
  <c r="M635" i="1"/>
  <c r="L635" i="1"/>
  <c r="K635" i="1"/>
  <c r="J635" i="1"/>
  <c r="I635" i="1"/>
  <c r="G635" i="1"/>
  <c r="F635" i="1"/>
  <c r="T634" i="1"/>
  <c r="S634" i="1"/>
  <c r="Q634" i="1"/>
  <c r="P634" i="1"/>
  <c r="O634" i="1"/>
  <c r="N634" i="1"/>
  <c r="M634" i="1"/>
  <c r="L634" i="1"/>
  <c r="K634" i="1"/>
  <c r="J634" i="1"/>
  <c r="I634" i="1"/>
  <c r="G634" i="1"/>
  <c r="F634" i="1"/>
  <c r="R634" i="1" s="1"/>
  <c r="T633" i="1"/>
  <c r="S633" i="1"/>
  <c r="R633" i="1"/>
  <c r="P633" i="1"/>
  <c r="O633" i="1"/>
  <c r="N633" i="1"/>
  <c r="M633" i="1"/>
  <c r="L633" i="1"/>
  <c r="K633" i="1"/>
  <c r="J633" i="1"/>
  <c r="I633" i="1"/>
  <c r="G633" i="1"/>
  <c r="F633" i="1"/>
  <c r="Q633" i="1" s="1"/>
  <c r="T632" i="1"/>
  <c r="S632" i="1"/>
  <c r="R632" i="1"/>
  <c r="P632" i="1"/>
  <c r="O632" i="1"/>
  <c r="N632" i="1"/>
  <c r="M632" i="1"/>
  <c r="L632" i="1"/>
  <c r="K632" i="1"/>
  <c r="J632" i="1"/>
  <c r="I632" i="1"/>
  <c r="G632" i="1"/>
  <c r="F632" i="1"/>
  <c r="Q632" i="1" s="1"/>
  <c r="T631" i="1"/>
  <c r="S631" i="1"/>
  <c r="R631" i="1"/>
  <c r="P631" i="1"/>
  <c r="O631" i="1"/>
  <c r="N631" i="1"/>
  <c r="M631" i="1"/>
  <c r="L631" i="1"/>
  <c r="K631" i="1"/>
  <c r="J631" i="1"/>
  <c r="I631" i="1"/>
  <c r="G631" i="1"/>
  <c r="F631" i="1"/>
  <c r="Q631" i="1" s="1"/>
  <c r="T630" i="1"/>
  <c r="S630" i="1"/>
  <c r="R630" i="1"/>
  <c r="Q630" i="1"/>
  <c r="P630" i="1"/>
  <c r="O630" i="1"/>
  <c r="N630" i="1"/>
  <c r="M630" i="1"/>
  <c r="L630" i="1"/>
  <c r="J630" i="1"/>
  <c r="I630" i="1"/>
  <c r="G630" i="1"/>
  <c r="F630" i="1"/>
  <c r="K630" i="1" s="1"/>
  <c r="T629" i="1"/>
  <c r="S629" i="1"/>
  <c r="R629" i="1"/>
  <c r="P629" i="1"/>
  <c r="O629" i="1"/>
  <c r="N629" i="1"/>
  <c r="M629" i="1"/>
  <c r="L629" i="1"/>
  <c r="K629" i="1"/>
  <c r="J629" i="1"/>
  <c r="I629" i="1"/>
  <c r="G629" i="1"/>
  <c r="F629" i="1"/>
  <c r="Q629" i="1" s="1"/>
  <c r="T628" i="1"/>
  <c r="S628" i="1"/>
  <c r="R628" i="1"/>
  <c r="Q628" i="1"/>
  <c r="P628" i="1"/>
  <c r="O628" i="1"/>
  <c r="N628" i="1"/>
  <c r="M628" i="1"/>
  <c r="L628" i="1"/>
  <c r="J628" i="1"/>
  <c r="I628" i="1"/>
  <c r="G628" i="1"/>
  <c r="F628" i="1"/>
  <c r="K628" i="1" s="1"/>
  <c r="T627" i="1"/>
  <c r="S627" i="1"/>
  <c r="R627" i="1"/>
  <c r="Q627" i="1"/>
  <c r="P627" i="1"/>
  <c r="O627" i="1"/>
  <c r="N627" i="1"/>
  <c r="M627" i="1"/>
  <c r="L627" i="1"/>
  <c r="J627" i="1"/>
  <c r="I627" i="1"/>
  <c r="G627" i="1"/>
  <c r="F627" i="1"/>
  <c r="K627" i="1" s="1"/>
  <c r="T626" i="1"/>
  <c r="S626" i="1"/>
  <c r="R626" i="1"/>
  <c r="Q626" i="1"/>
  <c r="P626" i="1"/>
  <c r="O626" i="1"/>
  <c r="N626" i="1"/>
  <c r="M626" i="1"/>
  <c r="L626" i="1"/>
  <c r="J626" i="1"/>
  <c r="I626" i="1"/>
  <c r="G626" i="1"/>
  <c r="F626" i="1"/>
  <c r="K626" i="1" s="1"/>
  <c r="T625" i="1"/>
  <c r="S625" i="1"/>
  <c r="R625" i="1"/>
  <c r="P625" i="1"/>
  <c r="O625" i="1"/>
  <c r="N625" i="1"/>
  <c r="M625" i="1"/>
  <c r="L625" i="1"/>
  <c r="K625" i="1"/>
  <c r="J625" i="1"/>
  <c r="I625" i="1"/>
  <c r="G625" i="1"/>
  <c r="F625" i="1"/>
  <c r="Q625" i="1" s="1"/>
  <c r="T624" i="1"/>
  <c r="S624" i="1"/>
  <c r="R624" i="1"/>
  <c r="P624" i="1"/>
  <c r="O624" i="1"/>
  <c r="N624" i="1"/>
  <c r="M624" i="1"/>
  <c r="L624" i="1"/>
  <c r="K624" i="1"/>
  <c r="J624" i="1"/>
  <c r="I624" i="1"/>
  <c r="G624" i="1"/>
  <c r="F624" i="1"/>
  <c r="Q624" i="1" s="1"/>
  <c r="T623" i="1"/>
  <c r="S623" i="1"/>
  <c r="R623" i="1"/>
  <c r="Q623" i="1"/>
  <c r="P623" i="1"/>
  <c r="O623" i="1"/>
  <c r="N623" i="1"/>
  <c r="M623" i="1"/>
  <c r="L623" i="1"/>
  <c r="K623" i="1"/>
  <c r="J623" i="1"/>
  <c r="I623" i="1"/>
  <c r="G623" i="1"/>
  <c r="F623" i="1"/>
  <c r="T622" i="1"/>
  <c r="S622" i="1"/>
  <c r="R622" i="1"/>
  <c r="Q622" i="1"/>
  <c r="P622" i="1"/>
  <c r="O622" i="1"/>
  <c r="N622" i="1"/>
  <c r="M622" i="1"/>
  <c r="L622" i="1"/>
  <c r="K622" i="1"/>
  <c r="J622" i="1"/>
  <c r="I622" i="1"/>
  <c r="G622" i="1"/>
  <c r="F622" i="1"/>
  <c r="T621" i="1"/>
  <c r="S621" i="1"/>
  <c r="R621" i="1"/>
  <c r="P621" i="1"/>
  <c r="O621" i="1"/>
  <c r="N621" i="1"/>
  <c r="M621" i="1"/>
  <c r="L621" i="1"/>
  <c r="K621" i="1"/>
  <c r="J621" i="1"/>
  <c r="I621" i="1"/>
  <c r="G621" i="1"/>
  <c r="F621" i="1"/>
  <c r="Q621" i="1" s="1"/>
  <c r="T620" i="1"/>
  <c r="S620" i="1"/>
  <c r="R620" i="1"/>
  <c r="P620" i="1"/>
  <c r="O620" i="1"/>
  <c r="N620" i="1"/>
  <c r="M620" i="1"/>
  <c r="L620" i="1"/>
  <c r="K620" i="1"/>
  <c r="J620" i="1"/>
  <c r="I620" i="1"/>
  <c r="G620" i="1"/>
  <c r="F620" i="1"/>
  <c r="Q620" i="1" s="1"/>
  <c r="T619" i="1"/>
  <c r="S619" i="1"/>
  <c r="R619" i="1"/>
  <c r="Q619" i="1"/>
  <c r="P619" i="1"/>
  <c r="O619" i="1"/>
  <c r="N619" i="1"/>
  <c r="M619" i="1"/>
  <c r="L619" i="1"/>
  <c r="J619" i="1"/>
  <c r="I619" i="1"/>
  <c r="G619" i="1"/>
  <c r="F619" i="1"/>
  <c r="K619" i="1" s="1"/>
  <c r="T618" i="1"/>
  <c r="S618" i="1"/>
  <c r="R618" i="1"/>
  <c r="Q618" i="1"/>
  <c r="P618" i="1"/>
  <c r="O618" i="1"/>
  <c r="N618" i="1"/>
  <c r="M618" i="1"/>
  <c r="L618" i="1"/>
  <c r="J618" i="1"/>
  <c r="I618" i="1"/>
  <c r="G618" i="1"/>
  <c r="F618" i="1"/>
  <c r="K618" i="1" s="1"/>
  <c r="T617" i="1"/>
  <c r="S617" i="1"/>
  <c r="R617" i="1"/>
  <c r="P617" i="1"/>
  <c r="O617" i="1"/>
  <c r="N617" i="1"/>
  <c r="M617" i="1"/>
  <c r="L617" i="1"/>
  <c r="K617" i="1"/>
  <c r="J617" i="1"/>
  <c r="I617" i="1"/>
  <c r="G617" i="1"/>
  <c r="F617" i="1"/>
  <c r="Q617" i="1" s="1"/>
  <c r="T616" i="1"/>
  <c r="S616" i="1"/>
  <c r="R616" i="1"/>
  <c r="Q616" i="1"/>
  <c r="P616" i="1"/>
  <c r="O616" i="1"/>
  <c r="N616" i="1"/>
  <c r="M616" i="1"/>
  <c r="L616" i="1"/>
  <c r="J616" i="1"/>
  <c r="I616" i="1"/>
  <c r="G616" i="1"/>
  <c r="F616" i="1"/>
  <c r="K616" i="1" s="1"/>
  <c r="T615" i="1"/>
  <c r="S615" i="1"/>
  <c r="R615" i="1"/>
  <c r="Q615" i="1"/>
  <c r="P615" i="1"/>
  <c r="O615" i="1"/>
  <c r="N615" i="1"/>
  <c r="M615" i="1"/>
  <c r="L615" i="1"/>
  <c r="K615" i="1"/>
  <c r="J615" i="1"/>
  <c r="I615" i="1"/>
  <c r="G615" i="1"/>
  <c r="F615" i="1"/>
  <c r="T614" i="1"/>
  <c r="S614" i="1"/>
  <c r="R614" i="1"/>
  <c r="Q614" i="1"/>
  <c r="P614" i="1"/>
  <c r="O614" i="1"/>
  <c r="N614" i="1"/>
  <c r="M614" i="1"/>
  <c r="L614" i="1"/>
  <c r="K614" i="1"/>
  <c r="J614" i="1"/>
  <c r="I614" i="1"/>
  <c r="G614" i="1"/>
  <c r="F614" i="1"/>
  <c r="T613" i="1"/>
  <c r="S613" i="1"/>
  <c r="R613" i="1"/>
  <c r="P613" i="1"/>
  <c r="O613" i="1"/>
  <c r="N613" i="1"/>
  <c r="M613" i="1"/>
  <c r="L613" i="1"/>
  <c r="K613" i="1"/>
  <c r="J613" i="1"/>
  <c r="I613" i="1"/>
  <c r="G613" i="1"/>
  <c r="F613" i="1"/>
  <c r="Q613" i="1" s="1"/>
  <c r="T612" i="1"/>
  <c r="S612" i="1"/>
  <c r="R612" i="1"/>
  <c r="Q612" i="1"/>
  <c r="P612" i="1"/>
  <c r="O612" i="1"/>
  <c r="N612" i="1"/>
  <c r="M612" i="1"/>
  <c r="L612" i="1"/>
  <c r="J612" i="1"/>
  <c r="I612" i="1"/>
  <c r="G612" i="1"/>
  <c r="F612" i="1"/>
  <c r="K612" i="1" s="1"/>
  <c r="T611" i="1"/>
  <c r="S611" i="1"/>
  <c r="R611" i="1"/>
  <c r="Q611" i="1"/>
  <c r="P611" i="1"/>
  <c r="O611" i="1"/>
  <c r="N611" i="1"/>
  <c r="M611" i="1"/>
  <c r="L611" i="1"/>
  <c r="J611" i="1"/>
  <c r="I611" i="1"/>
  <c r="G611" i="1"/>
  <c r="F611" i="1"/>
  <c r="K611" i="1" s="1"/>
  <c r="T610" i="1"/>
  <c r="S610" i="1"/>
  <c r="R610" i="1"/>
  <c r="Q610" i="1"/>
  <c r="P610" i="1"/>
  <c r="O610" i="1"/>
  <c r="N610" i="1"/>
  <c r="M610" i="1"/>
  <c r="L610" i="1"/>
  <c r="J610" i="1"/>
  <c r="I610" i="1"/>
  <c r="G610" i="1"/>
  <c r="F610" i="1"/>
  <c r="K610" i="1" s="1"/>
  <c r="L653" i="3" l="1"/>
  <c r="M653" i="3" s="1"/>
  <c r="G653" i="3"/>
  <c r="L652" i="3"/>
  <c r="M652" i="3" s="1"/>
  <c r="G652" i="3"/>
  <c r="L651" i="3"/>
  <c r="M651" i="3" s="1"/>
  <c r="G651" i="3"/>
  <c r="L650" i="3"/>
  <c r="M650" i="3" s="1"/>
  <c r="F650" i="3"/>
  <c r="G650" i="3" s="1"/>
  <c r="L649" i="3"/>
  <c r="M649" i="3" s="1"/>
  <c r="G649" i="3"/>
  <c r="L648" i="3"/>
  <c r="M648" i="3" s="1"/>
  <c r="G648" i="3"/>
  <c r="L647" i="3"/>
  <c r="M647" i="3" s="1"/>
  <c r="G647" i="3"/>
  <c r="L646" i="3"/>
  <c r="M646" i="3" s="1"/>
  <c r="G646" i="3"/>
  <c r="L645" i="3"/>
  <c r="M645" i="3" s="1"/>
  <c r="G645" i="3"/>
  <c r="L644" i="3"/>
  <c r="M644" i="3" s="1"/>
  <c r="G644" i="3"/>
  <c r="L643" i="3"/>
  <c r="M643" i="3" s="1"/>
  <c r="F643" i="3"/>
  <c r="G643" i="3" s="1"/>
  <c r="L642" i="3"/>
  <c r="M642" i="3" s="1"/>
  <c r="F642" i="3"/>
  <c r="G642" i="3" s="1"/>
  <c r="L641" i="3"/>
  <c r="M641" i="3" s="1"/>
  <c r="F641" i="3"/>
  <c r="G641" i="3" s="1"/>
  <c r="L640" i="3"/>
  <c r="M640" i="3" s="1"/>
  <c r="F640" i="3"/>
  <c r="G640" i="3" s="1"/>
  <c r="L639" i="3"/>
  <c r="M639" i="3" s="1"/>
  <c r="F639" i="3"/>
  <c r="G639" i="3" s="1"/>
  <c r="L638" i="3"/>
  <c r="M638" i="3" s="1"/>
  <c r="F638" i="3"/>
  <c r="G638" i="3" s="1"/>
  <c r="L637" i="3"/>
  <c r="M637" i="3" s="1"/>
  <c r="G637" i="3"/>
  <c r="L636" i="3"/>
  <c r="M636" i="3" s="1"/>
  <c r="G636" i="3"/>
  <c r="L635" i="3"/>
  <c r="M635" i="3" s="1"/>
  <c r="G635" i="3"/>
  <c r="L634" i="3"/>
  <c r="M634" i="3" s="1"/>
  <c r="G634" i="3"/>
  <c r="L633" i="3"/>
  <c r="M633" i="3" s="1"/>
  <c r="G633" i="3"/>
  <c r="L632" i="3"/>
  <c r="M632" i="3" s="1"/>
  <c r="G632" i="3"/>
  <c r="L631" i="3"/>
  <c r="M631" i="3" s="1"/>
  <c r="F631" i="3"/>
  <c r="G631" i="3" s="1"/>
  <c r="L630" i="3"/>
  <c r="M630" i="3" s="1"/>
  <c r="F630" i="3"/>
  <c r="G630" i="3" s="1"/>
  <c r="L629" i="3"/>
  <c r="M629" i="3" s="1"/>
  <c r="F629" i="3"/>
  <c r="G629" i="3" s="1"/>
  <c r="L628" i="3"/>
  <c r="M628" i="3" s="1"/>
  <c r="G628" i="3"/>
  <c r="L627" i="3"/>
  <c r="M627" i="3" s="1"/>
  <c r="G627" i="3"/>
  <c r="L626" i="3"/>
  <c r="M626" i="3" s="1"/>
  <c r="F626" i="3"/>
  <c r="G626" i="3" s="1"/>
  <c r="L625" i="3"/>
  <c r="M625" i="3" s="1"/>
  <c r="F625" i="3"/>
  <c r="G625" i="3" s="1"/>
  <c r="L624" i="3"/>
  <c r="M624" i="3" s="1"/>
  <c r="F624" i="3"/>
  <c r="G624" i="3" s="1"/>
  <c r="L623" i="3"/>
  <c r="M623" i="3" s="1"/>
  <c r="G623" i="3"/>
  <c r="L622" i="3"/>
  <c r="M622" i="3" s="1"/>
  <c r="F622" i="3"/>
  <c r="G622" i="3" s="1"/>
  <c r="L621" i="3"/>
  <c r="M621" i="3" s="1"/>
  <c r="G621" i="3"/>
  <c r="L620" i="3"/>
  <c r="M620" i="3" s="1"/>
  <c r="F620" i="3"/>
  <c r="G620" i="3" s="1"/>
  <c r="L619" i="3"/>
  <c r="M619" i="3" s="1"/>
  <c r="F619" i="3"/>
  <c r="G619" i="3" s="1"/>
  <c r="L618" i="3"/>
  <c r="M618" i="3" s="1"/>
  <c r="F618" i="3"/>
  <c r="G618" i="3" s="1"/>
  <c r="L617" i="3"/>
  <c r="M617" i="3" s="1"/>
  <c r="F617" i="3"/>
  <c r="G617" i="3" s="1"/>
  <c r="L616" i="3"/>
  <c r="M616" i="3" s="1"/>
  <c r="G616" i="3"/>
  <c r="L615" i="3"/>
  <c r="M615" i="3" s="1"/>
  <c r="G615" i="3"/>
  <c r="L614" i="3"/>
  <c r="M614" i="3" s="1"/>
  <c r="G614" i="3"/>
  <c r="L613" i="3"/>
  <c r="M613" i="3" s="1"/>
  <c r="G613" i="3"/>
  <c r="L612" i="3"/>
  <c r="M612" i="3" s="1"/>
  <c r="G612" i="3"/>
  <c r="L611" i="3"/>
  <c r="M611" i="3" s="1"/>
  <c r="F611" i="3"/>
  <c r="G611" i="3" s="1"/>
  <c r="L610" i="3"/>
  <c r="M610" i="3" s="1"/>
  <c r="F610" i="3"/>
  <c r="G610" i="3" s="1"/>
  <c r="L609" i="3"/>
  <c r="M609" i="3" s="1"/>
  <c r="F609" i="3"/>
  <c r="G609" i="3" s="1"/>
  <c r="L608" i="3"/>
  <c r="M608" i="3" s="1"/>
  <c r="G608" i="3"/>
  <c r="L607" i="3"/>
  <c r="M607" i="3" s="1"/>
  <c r="G607" i="3"/>
  <c r="L606" i="3"/>
  <c r="M606" i="3" s="1"/>
  <c r="F606" i="3"/>
  <c r="G606" i="3" s="1"/>
  <c r="L605" i="3"/>
  <c r="M605" i="3" s="1"/>
  <c r="F605" i="3"/>
  <c r="G605" i="3" s="1"/>
  <c r="L604" i="3"/>
  <c r="M604" i="3" s="1"/>
  <c r="F604" i="3"/>
  <c r="G604" i="3" s="1"/>
  <c r="L603" i="3"/>
  <c r="M603" i="3" s="1"/>
  <c r="G603" i="3"/>
  <c r="L602" i="3"/>
  <c r="M602" i="3" s="1"/>
  <c r="F602" i="3"/>
  <c r="G602" i="3" s="1"/>
  <c r="L601" i="3"/>
  <c r="M601" i="3" s="1"/>
  <c r="G601" i="3"/>
  <c r="L600" i="3"/>
  <c r="M600" i="3" s="1"/>
  <c r="G600" i="3"/>
  <c r="L599" i="3"/>
  <c r="M599" i="3" s="1"/>
  <c r="F599" i="3"/>
  <c r="G599" i="3" s="1"/>
  <c r="L598" i="3"/>
  <c r="M598" i="3" s="1"/>
  <c r="F598" i="3"/>
  <c r="G598" i="3" s="1"/>
  <c r="L597" i="3"/>
  <c r="M597" i="3" s="1"/>
  <c r="F597" i="3"/>
  <c r="G597" i="3" s="1"/>
  <c r="L596" i="3"/>
  <c r="M596" i="3" s="1"/>
  <c r="G596" i="3"/>
  <c r="L595" i="3"/>
  <c r="M595" i="3" s="1"/>
  <c r="G595" i="3"/>
  <c r="L594" i="3"/>
  <c r="M594" i="3" s="1"/>
  <c r="G594" i="3"/>
  <c r="L593" i="3"/>
  <c r="M593" i="3" s="1"/>
  <c r="F593" i="3"/>
  <c r="G593" i="3" s="1"/>
  <c r="L592" i="3"/>
  <c r="M592" i="3" s="1"/>
  <c r="G592" i="3"/>
  <c r="L591" i="3"/>
  <c r="M591" i="3" s="1"/>
  <c r="F591" i="3"/>
  <c r="G591" i="3" s="1"/>
  <c r="L590" i="3"/>
  <c r="M590" i="3" s="1"/>
  <c r="G590" i="3"/>
  <c r="L589" i="3"/>
  <c r="M589" i="3" s="1"/>
  <c r="F589" i="3"/>
  <c r="G589" i="3" s="1"/>
  <c r="L588" i="3"/>
  <c r="M588" i="3" s="1"/>
  <c r="G588" i="3"/>
  <c r="L587" i="3"/>
  <c r="M587" i="3" s="1"/>
  <c r="G587" i="3"/>
  <c r="L586" i="3"/>
  <c r="M586" i="3" s="1"/>
  <c r="G586" i="3"/>
  <c r="L585" i="3"/>
  <c r="M585" i="3" s="1"/>
  <c r="G585" i="3"/>
  <c r="L584" i="3"/>
  <c r="M584" i="3" s="1"/>
  <c r="G584" i="3"/>
  <c r="L583" i="3"/>
  <c r="M583" i="3" s="1"/>
  <c r="G583" i="3"/>
  <c r="L582" i="3"/>
  <c r="M582" i="3" s="1"/>
  <c r="G582" i="3"/>
  <c r="L581" i="3"/>
  <c r="M581" i="3" s="1"/>
  <c r="F581" i="3"/>
  <c r="G581" i="3" s="1"/>
  <c r="L580" i="3"/>
  <c r="M580" i="3" s="1"/>
  <c r="F580" i="3"/>
  <c r="G580" i="3" s="1"/>
  <c r="L579" i="3"/>
  <c r="M579" i="3" s="1"/>
  <c r="G579" i="3"/>
  <c r="L578" i="3"/>
  <c r="M578" i="3" s="1"/>
  <c r="F578" i="3"/>
  <c r="G578" i="3" s="1"/>
  <c r="L577" i="3"/>
  <c r="M577" i="3" s="1"/>
  <c r="G577" i="3"/>
  <c r="L576" i="3"/>
  <c r="M576" i="3" s="1"/>
  <c r="F576" i="3"/>
  <c r="G576" i="3" s="1"/>
  <c r="L575" i="3"/>
  <c r="M575" i="3" s="1"/>
  <c r="F575" i="3"/>
  <c r="G575" i="3" s="1"/>
  <c r="L574" i="3"/>
  <c r="M574" i="3" s="1"/>
  <c r="F574" i="3"/>
  <c r="G574" i="3" s="1"/>
  <c r="L573" i="3"/>
  <c r="M573" i="3" s="1"/>
  <c r="F573" i="3"/>
  <c r="G573" i="3" s="1"/>
  <c r="L572" i="3"/>
  <c r="M572" i="3" s="1"/>
  <c r="F572" i="3"/>
  <c r="G572" i="3" s="1"/>
  <c r="L571" i="3"/>
  <c r="M571" i="3" s="1"/>
  <c r="F571" i="3"/>
  <c r="G571" i="3" s="1"/>
  <c r="L570" i="3"/>
  <c r="M570" i="3" s="1"/>
  <c r="F570" i="3"/>
  <c r="G570" i="3" s="1"/>
  <c r="L569" i="3"/>
  <c r="M569" i="3" s="1"/>
  <c r="G569" i="3"/>
  <c r="L568" i="3"/>
  <c r="M568" i="3" s="1"/>
  <c r="G568" i="3"/>
  <c r="L567" i="3"/>
  <c r="M567" i="3" s="1"/>
  <c r="F567" i="3"/>
  <c r="G567" i="3" s="1"/>
  <c r="L566" i="3"/>
  <c r="M566" i="3" s="1"/>
  <c r="G566" i="3"/>
  <c r="L565" i="3"/>
  <c r="M565" i="3" s="1"/>
  <c r="F565" i="3"/>
  <c r="G565" i="3" s="1"/>
  <c r="L564" i="3"/>
  <c r="M564" i="3" s="1"/>
  <c r="F564" i="3"/>
  <c r="G564" i="3" s="1"/>
  <c r="L563" i="3"/>
  <c r="M563" i="3" s="1"/>
  <c r="F563" i="3"/>
  <c r="G563" i="3" s="1"/>
  <c r="L562" i="3"/>
  <c r="M562" i="3" s="1"/>
  <c r="F562" i="3"/>
  <c r="G562" i="3" s="1"/>
  <c r="L561" i="3"/>
  <c r="M561" i="3" s="1"/>
  <c r="G561" i="3"/>
  <c r="L560" i="3"/>
  <c r="M560" i="3" s="1"/>
  <c r="F560" i="3"/>
  <c r="G560" i="3" s="1"/>
  <c r="L559" i="3"/>
  <c r="M559" i="3" s="1"/>
  <c r="F559" i="3"/>
  <c r="G559" i="3" s="1"/>
  <c r="L558" i="3"/>
  <c r="M558" i="3" s="1"/>
  <c r="F558" i="3"/>
  <c r="G558" i="3" s="1"/>
  <c r="L557" i="3"/>
  <c r="M557" i="3" s="1"/>
  <c r="F557" i="3"/>
  <c r="G557" i="3" s="1"/>
  <c r="L556" i="3"/>
  <c r="M556" i="3" s="1"/>
  <c r="G556" i="3"/>
  <c r="M555" i="3"/>
  <c r="F555" i="3"/>
  <c r="G555" i="3" s="1"/>
  <c r="C555" i="3"/>
  <c r="L554" i="3"/>
  <c r="M554" i="3" s="1"/>
  <c r="G554" i="3"/>
  <c r="L553" i="3"/>
  <c r="M553" i="3" s="1"/>
  <c r="G553" i="3"/>
  <c r="L552" i="3"/>
  <c r="M552" i="3" s="1"/>
  <c r="F552" i="3"/>
  <c r="G552" i="3" s="1"/>
  <c r="L551" i="3"/>
  <c r="M551" i="3" s="1"/>
  <c r="F551" i="3"/>
  <c r="G551" i="3" s="1"/>
  <c r="L550" i="3"/>
  <c r="M550" i="3" s="1"/>
  <c r="E550" i="3"/>
  <c r="F550" i="3" s="1"/>
  <c r="G550" i="3" s="1"/>
  <c r="L549" i="3"/>
  <c r="M549" i="3" s="1"/>
  <c r="G549" i="3"/>
  <c r="L548" i="3"/>
  <c r="M548" i="3" s="1"/>
  <c r="G548" i="3"/>
  <c r="L547" i="3"/>
  <c r="M547" i="3" s="1"/>
  <c r="G547" i="3"/>
  <c r="L546" i="3"/>
  <c r="M546" i="3" s="1"/>
  <c r="F546" i="3"/>
  <c r="G546" i="3" s="1"/>
  <c r="L545" i="3"/>
  <c r="M545" i="3" s="1"/>
  <c r="F545" i="3"/>
  <c r="G545" i="3" s="1"/>
  <c r="L544" i="3"/>
  <c r="M544" i="3" s="1"/>
  <c r="G544" i="3"/>
  <c r="L543" i="3"/>
  <c r="M543" i="3" s="1"/>
  <c r="F543" i="3"/>
  <c r="G543" i="3" s="1"/>
  <c r="L542" i="3"/>
  <c r="M542" i="3" s="1"/>
  <c r="G542" i="3"/>
  <c r="L541" i="3"/>
  <c r="M541" i="3" s="1"/>
  <c r="G541" i="3"/>
  <c r="L540" i="3"/>
  <c r="M540" i="3" s="1"/>
  <c r="G540" i="3"/>
  <c r="L539" i="3"/>
  <c r="M539" i="3" s="1"/>
  <c r="G539" i="3"/>
  <c r="L538" i="3"/>
  <c r="M538" i="3" s="1"/>
  <c r="F538" i="3"/>
  <c r="G538" i="3" s="1"/>
  <c r="L537" i="3"/>
  <c r="M537" i="3" s="1"/>
  <c r="F537" i="3"/>
  <c r="G537" i="3" s="1"/>
  <c r="L536" i="3"/>
  <c r="M536" i="3" s="1"/>
  <c r="G536" i="3"/>
  <c r="L535" i="3"/>
  <c r="M535" i="3" s="1"/>
  <c r="G535" i="3"/>
  <c r="L534" i="3"/>
  <c r="M534" i="3" s="1"/>
  <c r="G534" i="3"/>
  <c r="L533" i="3"/>
  <c r="M533" i="3" s="1"/>
  <c r="G533" i="3"/>
  <c r="L532" i="3"/>
  <c r="M532" i="3" s="1"/>
  <c r="F532" i="3"/>
  <c r="G532" i="3" s="1"/>
  <c r="L531" i="3"/>
  <c r="M531" i="3" s="1"/>
  <c r="G531" i="3"/>
  <c r="L530" i="3"/>
  <c r="M530" i="3" s="1"/>
  <c r="G530" i="3"/>
  <c r="L529" i="3"/>
  <c r="M529" i="3" s="1"/>
  <c r="G529" i="3"/>
  <c r="L528" i="3"/>
  <c r="M528" i="3" s="1"/>
  <c r="G528" i="3"/>
  <c r="L527" i="3"/>
  <c r="M527" i="3" s="1"/>
  <c r="G527" i="3"/>
  <c r="L526" i="3"/>
  <c r="M526" i="3" s="1"/>
  <c r="F526" i="3"/>
  <c r="G526" i="3" s="1"/>
  <c r="L525" i="3"/>
  <c r="M525" i="3" s="1"/>
  <c r="G525" i="3"/>
  <c r="L524" i="3"/>
  <c r="M524" i="3" s="1"/>
  <c r="G524" i="3"/>
  <c r="L523" i="3"/>
  <c r="M523" i="3" s="1"/>
  <c r="G523" i="3"/>
  <c r="L522" i="3"/>
  <c r="M522" i="3" s="1"/>
  <c r="G522" i="3"/>
  <c r="L521" i="3"/>
  <c r="M521" i="3" s="1"/>
  <c r="G521" i="3"/>
  <c r="L520" i="3"/>
  <c r="M520" i="3" s="1"/>
  <c r="F520" i="3"/>
  <c r="G520" i="3" s="1"/>
  <c r="L519" i="3"/>
  <c r="M519" i="3" s="1"/>
  <c r="F519" i="3"/>
  <c r="G519" i="3" s="1"/>
  <c r="L518" i="3"/>
  <c r="M518" i="3" s="1"/>
  <c r="F518" i="3"/>
  <c r="G518" i="3" s="1"/>
  <c r="L517" i="3"/>
  <c r="M517" i="3" s="1"/>
  <c r="G517" i="3"/>
  <c r="M516" i="3"/>
  <c r="L516" i="3"/>
  <c r="G516" i="3"/>
  <c r="L515" i="3"/>
  <c r="M515" i="3" s="1"/>
  <c r="G515" i="3"/>
  <c r="L514" i="3"/>
  <c r="M514" i="3" s="1"/>
  <c r="G514" i="3"/>
  <c r="L513" i="3"/>
  <c r="M513" i="3" s="1"/>
  <c r="F513" i="3"/>
  <c r="G513" i="3" s="1"/>
  <c r="L512" i="3"/>
  <c r="M512" i="3" s="1"/>
  <c r="F512" i="3"/>
  <c r="G512" i="3" s="1"/>
  <c r="L511" i="3"/>
  <c r="M511" i="3" s="1"/>
  <c r="G511" i="3"/>
  <c r="L510" i="3"/>
  <c r="M510" i="3" s="1"/>
  <c r="G510" i="3"/>
  <c r="L509" i="3"/>
  <c r="M509" i="3" s="1"/>
  <c r="F509" i="3"/>
  <c r="G509" i="3" s="1"/>
  <c r="L508" i="3"/>
  <c r="M508" i="3" s="1"/>
  <c r="G508" i="3"/>
  <c r="L507" i="3"/>
  <c r="M507" i="3" s="1"/>
  <c r="G507" i="3"/>
  <c r="L506" i="3"/>
  <c r="M506" i="3" s="1"/>
  <c r="G506" i="3"/>
  <c r="L505" i="3"/>
  <c r="M505" i="3" s="1"/>
  <c r="F505" i="3"/>
  <c r="G505" i="3" s="1"/>
  <c r="L504" i="3"/>
  <c r="M504" i="3" s="1"/>
  <c r="G504" i="3"/>
  <c r="L503" i="3"/>
  <c r="M503" i="3" s="1"/>
  <c r="F503" i="3"/>
  <c r="G503" i="3" s="1"/>
  <c r="L502" i="3"/>
  <c r="M502" i="3" s="1"/>
  <c r="F502" i="3"/>
  <c r="G502" i="3" s="1"/>
  <c r="L501" i="3"/>
  <c r="M501" i="3" s="1"/>
  <c r="F501" i="3"/>
  <c r="G501" i="3" s="1"/>
  <c r="L500" i="3"/>
  <c r="M500" i="3" s="1"/>
  <c r="G500" i="3"/>
  <c r="L499" i="3"/>
  <c r="M499" i="3" s="1"/>
  <c r="F499" i="3"/>
  <c r="G499" i="3" s="1"/>
  <c r="L498" i="3"/>
  <c r="M498" i="3" s="1"/>
  <c r="F498" i="3"/>
  <c r="G498" i="3" s="1"/>
  <c r="L497" i="3"/>
  <c r="M497" i="3" s="1"/>
  <c r="G497" i="3"/>
  <c r="L496" i="3"/>
  <c r="M496" i="3" s="1"/>
  <c r="F496" i="3"/>
  <c r="G496" i="3" s="1"/>
  <c r="L495" i="3"/>
  <c r="M495" i="3" s="1"/>
  <c r="G495" i="3"/>
  <c r="L494" i="3"/>
  <c r="M494" i="3" s="1"/>
  <c r="F494" i="3"/>
  <c r="G494" i="3" s="1"/>
  <c r="L493" i="3"/>
  <c r="M493" i="3" s="1"/>
  <c r="G493" i="3"/>
  <c r="L492" i="3"/>
  <c r="M492" i="3" s="1"/>
  <c r="G492" i="3"/>
  <c r="L491" i="3"/>
  <c r="M491" i="3" s="1"/>
  <c r="G491" i="3"/>
  <c r="L490" i="3"/>
  <c r="M490" i="3" s="1"/>
  <c r="F490" i="3"/>
  <c r="G490" i="3" s="1"/>
  <c r="L489" i="3"/>
  <c r="M489" i="3" s="1"/>
  <c r="G489" i="3"/>
  <c r="L488" i="3"/>
  <c r="M488" i="3" s="1"/>
  <c r="G488" i="3"/>
  <c r="L487" i="3"/>
  <c r="M487" i="3" s="1"/>
  <c r="G487" i="3"/>
  <c r="L486" i="3"/>
  <c r="M486" i="3" s="1"/>
  <c r="G486" i="3"/>
  <c r="L485" i="3"/>
  <c r="M485" i="3" s="1"/>
  <c r="G485" i="3"/>
  <c r="L484" i="3"/>
  <c r="M484" i="3" s="1"/>
  <c r="F484" i="3"/>
  <c r="G484" i="3" s="1"/>
  <c r="L483" i="3"/>
  <c r="M483" i="3" s="1"/>
  <c r="G483" i="3"/>
  <c r="L482" i="3"/>
  <c r="M482" i="3" s="1"/>
  <c r="G482" i="3"/>
  <c r="L481" i="3"/>
  <c r="M481" i="3" s="1"/>
  <c r="G481" i="3"/>
  <c r="L480" i="3"/>
  <c r="M480" i="3" s="1"/>
  <c r="G480" i="3"/>
  <c r="L479" i="3"/>
  <c r="M479" i="3" s="1"/>
  <c r="G479" i="3"/>
  <c r="L478" i="3"/>
  <c r="M478" i="3" s="1"/>
  <c r="G478" i="3"/>
  <c r="L477" i="3"/>
  <c r="M477" i="3" s="1"/>
  <c r="F477" i="3"/>
  <c r="G477" i="3" s="1"/>
  <c r="L476" i="3"/>
  <c r="M476" i="3" s="1"/>
  <c r="G476" i="3"/>
  <c r="L475" i="3"/>
  <c r="M475" i="3" s="1"/>
  <c r="G475" i="3"/>
  <c r="L474" i="3"/>
  <c r="M474" i="3" s="1"/>
  <c r="F474" i="3"/>
  <c r="G474" i="3" s="1"/>
  <c r="L473" i="3"/>
  <c r="M473" i="3" s="1"/>
  <c r="G473" i="3"/>
  <c r="L472" i="3"/>
  <c r="M472" i="3" s="1"/>
  <c r="G472" i="3"/>
  <c r="L471" i="3"/>
  <c r="M471" i="3" s="1"/>
  <c r="G471" i="3"/>
  <c r="L470" i="3"/>
  <c r="M470" i="3" s="1"/>
  <c r="G470" i="3"/>
  <c r="L469" i="3"/>
  <c r="M469" i="3" s="1"/>
  <c r="G469" i="3"/>
  <c r="T255" i="2"/>
  <c r="S255" i="2"/>
  <c r="R255" i="2"/>
  <c r="Q255" i="2"/>
  <c r="P255" i="2"/>
  <c r="O255" i="2"/>
  <c r="N255" i="2"/>
  <c r="M255" i="2"/>
  <c r="L255" i="2"/>
  <c r="K255" i="2"/>
  <c r="J255" i="2"/>
  <c r="I255" i="2"/>
  <c r="G255" i="2"/>
  <c r="F255" i="2"/>
  <c r="T254" i="2"/>
  <c r="S254" i="2"/>
  <c r="Q254" i="2"/>
  <c r="P254" i="2"/>
  <c r="O254" i="2"/>
  <c r="N254" i="2"/>
  <c r="M254" i="2"/>
  <c r="L254" i="2"/>
  <c r="K254" i="2"/>
  <c r="J254" i="2"/>
  <c r="I254" i="2"/>
  <c r="G254" i="2"/>
  <c r="F254" i="2"/>
  <c r="R254" i="2" s="1"/>
  <c r="T253" i="2"/>
  <c r="S253" i="2"/>
  <c r="R253" i="2"/>
  <c r="P253" i="2"/>
  <c r="O253" i="2"/>
  <c r="N253" i="2"/>
  <c r="M253" i="2"/>
  <c r="L253" i="2"/>
  <c r="K253" i="2"/>
  <c r="J253" i="2"/>
  <c r="I253" i="2"/>
  <c r="G253" i="2"/>
  <c r="F253" i="2"/>
  <c r="Q253" i="2" s="1"/>
  <c r="T252" i="2"/>
  <c r="S252" i="2"/>
  <c r="R252" i="2"/>
  <c r="P252" i="2"/>
  <c r="O252" i="2"/>
  <c r="N252" i="2"/>
  <c r="M252" i="2"/>
  <c r="L252" i="2"/>
  <c r="K252" i="2"/>
  <c r="J252" i="2"/>
  <c r="I252" i="2"/>
  <c r="G252" i="2"/>
  <c r="F252" i="2"/>
  <c r="Q252" i="2" s="1"/>
  <c r="T251" i="2"/>
  <c r="S251" i="2"/>
  <c r="R251" i="2"/>
  <c r="Q251" i="2"/>
  <c r="P251" i="2"/>
  <c r="O251" i="2"/>
  <c r="N251" i="2"/>
  <c r="M251" i="2"/>
  <c r="L251" i="2"/>
  <c r="J251" i="2"/>
  <c r="I251" i="2"/>
  <c r="G251" i="2"/>
  <c r="F251" i="2"/>
  <c r="K251" i="2" s="1"/>
  <c r="T250" i="2"/>
  <c r="S250" i="2"/>
  <c r="R250" i="2"/>
  <c r="Q250" i="2"/>
  <c r="P250" i="2"/>
  <c r="O250" i="2"/>
  <c r="N250" i="2"/>
  <c r="M250" i="2"/>
  <c r="L250" i="2"/>
  <c r="K250" i="2"/>
  <c r="J250" i="2"/>
  <c r="I250" i="2"/>
  <c r="G250" i="2"/>
  <c r="F250" i="2"/>
  <c r="T249" i="2"/>
  <c r="S249" i="2"/>
  <c r="Q249" i="2"/>
  <c r="P249" i="2"/>
  <c r="O249" i="2"/>
  <c r="N249" i="2"/>
  <c r="M249" i="2"/>
  <c r="L249" i="2"/>
  <c r="K249" i="2"/>
  <c r="J249" i="2"/>
  <c r="I249" i="2"/>
  <c r="G249" i="2"/>
  <c r="F249" i="2"/>
  <c r="R249" i="2" s="1"/>
  <c r="T248" i="2"/>
  <c r="S248" i="2"/>
  <c r="R248" i="2"/>
  <c r="Q248" i="2"/>
  <c r="P248" i="2"/>
  <c r="O248" i="2"/>
  <c r="N248" i="2"/>
  <c r="M248" i="2"/>
  <c r="L248" i="2"/>
  <c r="J248" i="2"/>
  <c r="I248" i="2"/>
  <c r="G248" i="2"/>
  <c r="F248" i="2"/>
  <c r="K248" i="2" s="1"/>
  <c r="T247" i="2"/>
  <c r="S247" i="2"/>
  <c r="R247" i="2"/>
  <c r="P247" i="2"/>
  <c r="O247" i="2"/>
  <c r="N247" i="2"/>
  <c r="M247" i="2"/>
  <c r="L247" i="2"/>
  <c r="K247" i="2"/>
  <c r="J247" i="2"/>
  <c r="I247" i="2"/>
  <c r="G247" i="2"/>
  <c r="F247" i="2"/>
  <c r="Q247" i="2" s="1"/>
  <c r="T246" i="2"/>
  <c r="S246" i="2"/>
  <c r="R246" i="2"/>
  <c r="P246" i="2"/>
  <c r="O246" i="2"/>
  <c r="N246" i="2"/>
  <c r="M246" i="2"/>
  <c r="L246" i="2"/>
  <c r="K246" i="2"/>
  <c r="J246" i="2"/>
  <c r="I246" i="2"/>
  <c r="F246" i="2"/>
  <c r="Q246" i="2" s="1"/>
  <c r="T245" i="2"/>
  <c r="S245" i="2"/>
  <c r="R245" i="2"/>
  <c r="Q245" i="2"/>
  <c r="P245" i="2"/>
  <c r="O245" i="2"/>
  <c r="N245" i="2"/>
  <c r="M245" i="2"/>
  <c r="L245" i="2"/>
  <c r="K245" i="2"/>
  <c r="J245" i="2"/>
  <c r="I245" i="2"/>
  <c r="G245" i="2"/>
  <c r="F245" i="2"/>
  <c r="T244" i="2"/>
  <c r="S244" i="2"/>
  <c r="Q244" i="2"/>
  <c r="P244" i="2"/>
  <c r="O244" i="2"/>
  <c r="N244" i="2"/>
  <c r="M244" i="2"/>
  <c r="L244" i="2"/>
  <c r="K244" i="2"/>
  <c r="J244" i="2"/>
  <c r="I244" i="2"/>
  <c r="G244" i="2"/>
  <c r="F244" i="2"/>
  <c r="R244" i="2" s="1"/>
  <c r="T243" i="2"/>
  <c r="S243" i="2"/>
  <c r="R243" i="2"/>
  <c r="P243" i="2"/>
  <c r="O243" i="2"/>
  <c r="N243" i="2"/>
  <c r="M243" i="2"/>
  <c r="L243" i="2"/>
  <c r="K243" i="2"/>
  <c r="J243" i="2"/>
  <c r="I243" i="2"/>
  <c r="F243" i="2"/>
  <c r="Q243" i="2" s="1"/>
  <c r="T242" i="2"/>
  <c r="S242" i="2"/>
  <c r="R242" i="2"/>
  <c r="P242" i="2"/>
  <c r="O242" i="2"/>
  <c r="N242" i="2"/>
  <c r="M242" i="2"/>
  <c r="L242" i="2"/>
  <c r="K242" i="2"/>
  <c r="J242" i="2"/>
  <c r="I242" i="2"/>
  <c r="G242" i="2"/>
  <c r="F242" i="2"/>
  <c r="Q242" i="2" s="1"/>
  <c r="T241" i="2"/>
  <c r="S241" i="2"/>
  <c r="R241" i="2"/>
  <c r="Q241" i="2"/>
  <c r="P241" i="2"/>
  <c r="O241" i="2"/>
  <c r="N241" i="2"/>
  <c r="M241" i="2"/>
  <c r="L241" i="2"/>
  <c r="J241" i="2"/>
  <c r="I241" i="2"/>
  <c r="H241" i="2"/>
  <c r="G241" i="2" s="1"/>
  <c r="F241" i="2"/>
  <c r="K241" i="2" s="1"/>
  <c r="T240" i="2"/>
  <c r="S240" i="2"/>
  <c r="R240" i="2"/>
  <c r="Q240" i="2"/>
  <c r="P240" i="2"/>
  <c r="O240" i="2"/>
  <c r="N240" i="2"/>
  <c r="M240" i="2"/>
  <c r="L240" i="2"/>
  <c r="J240" i="2"/>
  <c r="I240" i="2"/>
  <c r="G240" i="2"/>
  <c r="F240" i="2"/>
  <c r="K240" i="2" s="1"/>
  <c r="T239" i="2"/>
  <c r="S239" i="2"/>
  <c r="R239" i="2"/>
  <c r="Q239" i="2"/>
  <c r="P239" i="2"/>
  <c r="O239" i="2"/>
  <c r="N239" i="2"/>
  <c r="M239" i="2"/>
  <c r="L239" i="2"/>
  <c r="K239" i="2"/>
  <c r="J239" i="2"/>
  <c r="I239" i="2"/>
  <c r="G239" i="2"/>
  <c r="F239" i="2"/>
  <c r="T238" i="2"/>
  <c r="S238" i="2"/>
  <c r="R238" i="2"/>
  <c r="Q238" i="2"/>
  <c r="P238" i="2"/>
  <c r="O238" i="2"/>
  <c r="N238" i="2"/>
  <c r="M238" i="2"/>
  <c r="L238" i="2"/>
  <c r="K238" i="2"/>
  <c r="J238" i="2"/>
  <c r="I238" i="2"/>
  <c r="G238" i="2"/>
  <c r="F238" i="2"/>
  <c r="T237" i="2"/>
  <c r="S237" i="2"/>
  <c r="Q237" i="2"/>
  <c r="P237" i="2"/>
  <c r="O237" i="2"/>
  <c r="N237" i="2"/>
  <c r="M237" i="2"/>
  <c r="L237" i="2"/>
  <c r="K237" i="2"/>
  <c r="J237" i="2"/>
  <c r="I237" i="2"/>
  <c r="G237" i="2"/>
  <c r="F237" i="2"/>
  <c r="R237" i="2" s="1"/>
  <c r="T236" i="2"/>
  <c r="S236" i="2"/>
  <c r="R236" i="2"/>
  <c r="Q236" i="2"/>
  <c r="P236" i="2"/>
  <c r="O236" i="2"/>
  <c r="N236" i="2"/>
  <c r="M236" i="2"/>
  <c r="L236" i="2"/>
  <c r="J236" i="2"/>
  <c r="I236" i="2"/>
  <c r="G236" i="2"/>
  <c r="F236" i="2"/>
  <c r="K236" i="2" s="1"/>
  <c r="T235" i="2"/>
  <c r="S235" i="2"/>
  <c r="R235" i="2"/>
  <c r="P235" i="2"/>
  <c r="O235" i="2"/>
  <c r="N235" i="2"/>
  <c r="M235" i="2"/>
  <c r="L235" i="2"/>
  <c r="K235" i="2"/>
  <c r="J235" i="2"/>
  <c r="I235" i="2"/>
  <c r="G235" i="2"/>
  <c r="F235" i="2"/>
  <c r="Q235" i="2" s="1"/>
  <c r="T234" i="2"/>
  <c r="S234" i="2"/>
  <c r="R234" i="2"/>
  <c r="P234" i="2"/>
  <c r="O234" i="2"/>
  <c r="N234" i="2"/>
  <c r="M234" i="2"/>
  <c r="L234" i="2"/>
  <c r="K234" i="2"/>
  <c r="J234" i="2"/>
  <c r="I234" i="2"/>
  <c r="F234" i="2"/>
  <c r="Q234" i="2" s="1"/>
  <c r="T233" i="2"/>
  <c r="S233" i="2"/>
  <c r="R233" i="2"/>
  <c r="P233" i="2"/>
  <c r="O233" i="2"/>
  <c r="N233" i="2"/>
  <c r="M233" i="2"/>
  <c r="L233" i="2"/>
  <c r="K233" i="2"/>
  <c r="J233" i="2"/>
  <c r="I233" i="2"/>
  <c r="G233" i="2"/>
  <c r="F233" i="2"/>
  <c r="Q233" i="2" s="1"/>
  <c r="T232" i="2"/>
  <c r="S232" i="2"/>
  <c r="R232" i="2"/>
  <c r="P232" i="2"/>
  <c r="O232" i="2"/>
  <c r="N232" i="2"/>
  <c r="M232" i="2"/>
  <c r="L232" i="2"/>
  <c r="K232" i="2"/>
  <c r="J232" i="2"/>
  <c r="I232" i="2"/>
  <c r="G232" i="2"/>
  <c r="F232" i="2"/>
  <c r="Q232" i="2" s="1"/>
  <c r="T231" i="2"/>
  <c r="S231" i="2"/>
  <c r="R231" i="2"/>
  <c r="Q231" i="2"/>
  <c r="P231" i="2"/>
  <c r="O231" i="2"/>
  <c r="N231" i="2"/>
  <c r="M231" i="2"/>
  <c r="L231" i="2"/>
  <c r="J231" i="2"/>
  <c r="I231" i="2"/>
  <c r="G231" i="2"/>
  <c r="F231" i="2"/>
  <c r="K231" i="2" s="1"/>
  <c r="T230" i="2"/>
  <c r="S230" i="2"/>
  <c r="R230" i="2"/>
  <c r="Q230" i="2"/>
  <c r="P230" i="2"/>
  <c r="O230" i="2"/>
  <c r="N230" i="2"/>
  <c r="M230" i="2"/>
  <c r="L230" i="2"/>
  <c r="J230" i="2"/>
  <c r="I230" i="2"/>
  <c r="G230" i="2"/>
  <c r="F230" i="2"/>
  <c r="K230" i="2" s="1"/>
  <c r="T229" i="2"/>
  <c r="S229" i="2"/>
  <c r="R229" i="2"/>
  <c r="Q229" i="2"/>
  <c r="P229" i="2"/>
  <c r="O229" i="2"/>
  <c r="N229" i="2"/>
  <c r="M229" i="2"/>
  <c r="L229" i="2"/>
  <c r="K229" i="2"/>
  <c r="J229" i="2"/>
  <c r="I229" i="2"/>
  <c r="G229" i="2"/>
  <c r="F229" i="2"/>
  <c r="T228" i="2"/>
  <c r="S228" i="2"/>
  <c r="R228" i="2"/>
  <c r="Q228" i="2"/>
  <c r="P228" i="2"/>
  <c r="O228" i="2"/>
  <c r="N228" i="2"/>
  <c r="M228" i="2"/>
  <c r="L228" i="2"/>
  <c r="K228" i="2"/>
  <c r="J228" i="2"/>
  <c r="I228" i="2"/>
  <c r="G228" i="2"/>
  <c r="F228" i="2"/>
  <c r="T227" i="2"/>
  <c r="S227" i="2"/>
  <c r="R227" i="2"/>
  <c r="Q227" i="2"/>
  <c r="P227" i="2"/>
  <c r="O227" i="2"/>
  <c r="N227" i="2"/>
  <c r="M227" i="2"/>
  <c r="L227" i="2"/>
  <c r="K227" i="2"/>
  <c r="J227" i="2"/>
  <c r="I227" i="2"/>
  <c r="G227" i="2"/>
  <c r="F227" i="2"/>
  <c r="T226" i="2"/>
  <c r="S226" i="2"/>
  <c r="Q226" i="2"/>
  <c r="P226" i="2"/>
  <c r="O226" i="2"/>
  <c r="N226" i="2"/>
  <c r="M226" i="2"/>
  <c r="L226" i="2"/>
  <c r="K226" i="2"/>
  <c r="J226" i="2"/>
  <c r="I226" i="2"/>
  <c r="G226" i="2"/>
  <c r="F226" i="2"/>
  <c r="R226" i="2" s="1"/>
  <c r="T225" i="2"/>
  <c r="S225" i="2"/>
  <c r="R225" i="2"/>
  <c r="P225" i="2"/>
  <c r="O225" i="2"/>
  <c r="N225" i="2"/>
  <c r="M225" i="2"/>
  <c r="L225" i="2"/>
  <c r="K225" i="2"/>
  <c r="J225" i="2"/>
  <c r="I225" i="2"/>
  <c r="G225" i="2"/>
  <c r="F225" i="2"/>
  <c r="Q225" i="2" s="1"/>
  <c r="T224" i="2"/>
  <c r="S224" i="2"/>
  <c r="R224" i="2"/>
  <c r="P224" i="2"/>
  <c r="O224" i="2"/>
  <c r="N224" i="2"/>
  <c r="M224" i="2"/>
  <c r="L224" i="2"/>
  <c r="K224" i="2"/>
  <c r="J224" i="2"/>
  <c r="I224" i="2"/>
  <c r="F224" i="2"/>
  <c r="Q224" i="2" s="1"/>
  <c r="T223" i="2"/>
  <c r="S223" i="2"/>
  <c r="R223" i="2"/>
  <c r="P223" i="2"/>
  <c r="O223" i="2"/>
  <c r="N223" i="2"/>
  <c r="M223" i="2"/>
  <c r="L223" i="2"/>
  <c r="K223" i="2"/>
  <c r="J223" i="2"/>
  <c r="I223" i="2"/>
  <c r="F223" i="2"/>
  <c r="Q223" i="2" s="1"/>
  <c r="T222" i="2"/>
  <c r="S222" i="2"/>
  <c r="R222" i="2"/>
  <c r="Q222" i="2"/>
  <c r="P222" i="2"/>
  <c r="O222" i="2"/>
  <c r="N222" i="2"/>
  <c r="M222" i="2"/>
  <c r="L222" i="2"/>
  <c r="J222" i="2"/>
  <c r="I222" i="2"/>
  <c r="G222" i="2"/>
  <c r="F222" i="2"/>
  <c r="K222" i="2" s="1"/>
  <c r="T221" i="2"/>
  <c r="S221" i="2"/>
  <c r="R221" i="2"/>
  <c r="Q221" i="2"/>
  <c r="P221" i="2"/>
  <c r="O221" i="2"/>
  <c r="N221" i="2"/>
  <c r="M221" i="2"/>
  <c r="L221" i="2"/>
  <c r="J221" i="2"/>
  <c r="I221" i="2"/>
  <c r="G221" i="2"/>
  <c r="F221" i="2"/>
  <c r="K221" i="2" s="1"/>
  <c r="T220" i="2"/>
  <c r="S220" i="2"/>
  <c r="R220" i="2"/>
  <c r="Q220" i="2"/>
  <c r="P220" i="2"/>
  <c r="O220" i="2"/>
  <c r="N220" i="2"/>
  <c r="M220" i="2"/>
  <c r="L220" i="2"/>
  <c r="K220" i="2"/>
  <c r="J220" i="2"/>
  <c r="I220" i="2"/>
  <c r="G220" i="2"/>
  <c r="F220" i="2"/>
  <c r="T219" i="2"/>
  <c r="S219" i="2"/>
  <c r="R219" i="2"/>
  <c r="P219" i="2"/>
  <c r="O219" i="2"/>
  <c r="N219" i="2"/>
  <c r="M219" i="2"/>
  <c r="L219" i="2"/>
  <c r="K219" i="2"/>
  <c r="J219" i="2"/>
  <c r="I219" i="2"/>
  <c r="G219" i="2"/>
  <c r="F219" i="2"/>
  <c r="Q219" i="2" s="1"/>
  <c r="T218" i="2"/>
  <c r="S218" i="2"/>
  <c r="R218" i="2"/>
  <c r="Q218" i="2"/>
  <c r="P218" i="2"/>
  <c r="O218" i="2"/>
  <c r="N218" i="2"/>
  <c r="M218" i="2"/>
  <c r="L218" i="2"/>
  <c r="J218" i="2"/>
  <c r="I218" i="2"/>
  <c r="G218" i="2"/>
  <c r="F218" i="2"/>
  <c r="K218" i="2" s="1"/>
  <c r="T217" i="2"/>
  <c r="S217" i="2"/>
  <c r="R217" i="2"/>
  <c r="Q217" i="2"/>
  <c r="P217" i="2"/>
  <c r="O217" i="2"/>
  <c r="N217" i="2"/>
  <c r="M217" i="2"/>
  <c r="L217" i="2"/>
  <c r="K217" i="2"/>
  <c r="J217" i="2"/>
  <c r="I217" i="2"/>
  <c r="G217" i="2"/>
  <c r="F217" i="2"/>
  <c r="T216" i="2"/>
  <c r="S216" i="2"/>
  <c r="Q216" i="2"/>
  <c r="P216" i="2"/>
  <c r="O216" i="2"/>
  <c r="N216" i="2"/>
  <c r="M216" i="2"/>
  <c r="L216" i="2"/>
  <c r="K216" i="2"/>
  <c r="J216" i="2"/>
  <c r="I216" i="2"/>
  <c r="G216" i="2"/>
  <c r="F216" i="2"/>
  <c r="R216" i="2" s="1"/>
  <c r="T215" i="2"/>
  <c r="S215" i="2"/>
  <c r="R215" i="2"/>
  <c r="P215" i="2"/>
  <c r="O215" i="2"/>
  <c r="N215" i="2"/>
  <c r="M215" i="2"/>
  <c r="L215" i="2"/>
  <c r="K215" i="2"/>
  <c r="J215" i="2"/>
  <c r="I215" i="2"/>
  <c r="F215" i="2"/>
  <c r="Q215" i="2" s="1"/>
  <c r="T214" i="2"/>
  <c r="S214" i="2"/>
  <c r="R214" i="2"/>
  <c r="P214" i="2"/>
  <c r="O214" i="2"/>
  <c r="N214" i="2"/>
  <c r="M214" i="2"/>
  <c r="L214" i="2"/>
  <c r="K214" i="2"/>
  <c r="J214" i="2"/>
  <c r="I214" i="2"/>
  <c r="G214" i="2"/>
  <c r="F214" i="2"/>
  <c r="Q214" i="2" s="1"/>
  <c r="T213" i="2"/>
  <c r="S213" i="2"/>
  <c r="R213" i="2"/>
  <c r="Q213" i="2"/>
  <c r="P213" i="2"/>
  <c r="O213" i="2"/>
  <c r="N213" i="2"/>
  <c r="M213" i="2"/>
  <c r="L213" i="2"/>
  <c r="J213" i="2"/>
  <c r="I213" i="2"/>
  <c r="G213" i="2"/>
  <c r="F213" i="2"/>
  <c r="K213" i="2" s="1"/>
  <c r="T212" i="2"/>
  <c r="S212" i="2"/>
  <c r="R212" i="2"/>
  <c r="P212" i="2"/>
  <c r="O212" i="2"/>
  <c r="N212" i="2"/>
  <c r="M212" i="2"/>
  <c r="L212" i="2"/>
  <c r="K212" i="2"/>
  <c r="J212" i="2"/>
  <c r="I212" i="2"/>
  <c r="G212" i="2"/>
  <c r="F212" i="2"/>
  <c r="Q212" i="2" s="1"/>
  <c r="T211" i="2"/>
  <c r="S211" i="2"/>
  <c r="R211" i="2"/>
  <c r="Q211" i="2"/>
  <c r="P211" i="2"/>
  <c r="O211" i="2"/>
  <c r="N211" i="2"/>
  <c r="M211" i="2"/>
  <c r="L211" i="2"/>
  <c r="K211" i="2"/>
  <c r="J211" i="2"/>
  <c r="I211" i="2"/>
  <c r="G211" i="2"/>
  <c r="F211" i="2"/>
  <c r="T210" i="2"/>
  <c r="S210" i="2"/>
  <c r="R210" i="2"/>
  <c r="P210" i="2"/>
  <c r="O210" i="2"/>
  <c r="N210" i="2"/>
  <c r="M210" i="2"/>
  <c r="L210" i="2"/>
  <c r="K210" i="2"/>
  <c r="J210" i="2"/>
  <c r="I210" i="2"/>
  <c r="G210" i="2"/>
  <c r="F210" i="2"/>
  <c r="Q210" i="2" s="1"/>
  <c r="T209" i="2"/>
  <c r="S209" i="2"/>
  <c r="R209" i="2"/>
  <c r="Q209" i="2"/>
  <c r="P209" i="2"/>
  <c r="O209" i="2"/>
  <c r="N209" i="2"/>
  <c r="M209" i="2"/>
  <c r="L209" i="2"/>
  <c r="J209" i="2"/>
  <c r="I209" i="2"/>
  <c r="G209" i="2"/>
  <c r="F209" i="2"/>
  <c r="K209" i="2" s="1"/>
  <c r="T208" i="2"/>
  <c r="S208" i="2"/>
  <c r="R208" i="2"/>
  <c r="P208" i="2"/>
  <c r="O208" i="2"/>
  <c r="N208" i="2"/>
  <c r="M208" i="2"/>
  <c r="L208" i="2"/>
  <c r="K208" i="2"/>
  <c r="J208" i="2"/>
  <c r="I208" i="2"/>
  <c r="G208" i="2"/>
  <c r="F208" i="2"/>
  <c r="Q208" i="2" s="1"/>
  <c r="T207" i="2"/>
  <c r="S207" i="2"/>
  <c r="R207" i="2"/>
  <c r="Q207" i="2"/>
  <c r="P207" i="2"/>
  <c r="O207" i="2"/>
  <c r="N207" i="2"/>
  <c r="M207" i="2"/>
  <c r="L207" i="2"/>
  <c r="K207" i="2"/>
  <c r="J207" i="2"/>
  <c r="I207" i="2"/>
  <c r="G207" i="2"/>
  <c r="F207" i="2"/>
  <c r="T206" i="2"/>
  <c r="S206" i="2"/>
  <c r="R206" i="2"/>
  <c r="P206" i="2"/>
  <c r="O206" i="2"/>
  <c r="N206" i="2"/>
  <c r="M206" i="2"/>
  <c r="L206" i="2"/>
  <c r="K206" i="2"/>
  <c r="J206" i="2"/>
  <c r="I206" i="2"/>
  <c r="G206" i="2"/>
  <c r="F206" i="2"/>
  <c r="Q206" i="2" s="1"/>
  <c r="T205" i="2"/>
  <c r="S205" i="2"/>
  <c r="R205" i="2"/>
  <c r="P205" i="2"/>
  <c r="O205" i="2"/>
  <c r="N205" i="2"/>
  <c r="M205" i="2"/>
  <c r="L205" i="2"/>
  <c r="K205" i="2"/>
  <c r="J205" i="2"/>
  <c r="I205" i="2"/>
  <c r="G205" i="2"/>
  <c r="F205" i="2"/>
  <c r="Q205" i="2" s="1"/>
  <c r="T204" i="2"/>
  <c r="S204" i="2"/>
  <c r="R204" i="2"/>
  <c r="Q204" i="2"/>
  <c r="P204" i="2"/>
  <c r="O204" i="2"/>
  <c r="N204" i="2"/>
  <c r="L204" i="2"/>
  <c r="J204" i="2"/>
  <c r="I204" i="2"/>
  <c r="H204" i="2"/>
  <c r="G204" i="2" s="1"/>
  <c r="F204" i="2"/>
  <c r="K204" i="2" s="1"/>
  <c r="T203" i="2"/>
  <c r="S203" i="2"/>
  <c r="R203" i="2"/>
  <c r="Q203" i="2"/>
  <c r="P203" i="2"/>
  <c r="O203" i="2"/>
  <c r="N203" i="2"/>
  <c r="M203" i="2"/>
  <c r="L203" i="2"/>
  <c r="J203" i="2"/>
  <c r="I203" i="2"/>
  <c r="H203" i="2"/>
  <c r="G203" i="2"/>
  <c r="F203" i="2"/>
  <c r="K203" i="2" s="1"/>
  <c r="T202" i="2"/>
  <c r="S202" i="2"/>
  <c r="R202" i="2"/>
  <c r="P202" i="2"/>
  <c r="O202" i="2"/>
  <c r="N202" i="2"/>
  <c r="M202" i="2"/>
  <c r="L202" i="2"/>
  <c r="K202" i="2"/>
  <c r="J202" i="2"/>
  <c r="I202" i="2"/>
  <c r="G202" i="2"/>
  <c r="F202" i="2"/>
  <c r="Q202" i="2" s="1"/>
  <c r="T201" i="2"/>
  <c r="S201" i="2"/>
  <c r="R201" i="2"/>
  <c r="Q201" i="2"/>
  <c r="P201" i="2"/>
  <c r="O201" i="2"/>
  <c r="N201" i="2"/>
  <c r="M201" i="2"/>
  <c r="L201" i="2"/>
  <c r="J201" i="2"/>
  <c r="I201" i="2"/>
  <c r="G201" i="2"/>
  <c r="F201" i="2"/>
  <c r="K201" i="2" s="1"/>
  <c r="T200" i="2"/>
  <c r="S200" i="2"/>
  <c r="R200" i="2"/>
  <c r="Q200" i="2"/>
  <c r="P200" i="2"/>
  <c r="O200" i="2"/>
  <c r="N200" i="2"/>
  <c r="M200" i="2"/>
  <c r="L200" i="2"/>
  <c r="K200" i="2"/>
  <c r="J200" i="2"/>
  <c r="I200" i="2"/>
  <c r="G200" i="2"/>
  <c r="F200" i="2"/>
  <c r="T199" i="2"/>
  <c r="S199" i="2"/>
  <c r="R199" i="2"/>
  <c r="P199" i="2"/>
  <c r="O199" i="2"/>
  <c r="N199" i="2"/>
  <c r="M199" i="2"/>
  <c r="L199" i="2"/>
  <c r="K199" i="2"/>
  <c r="J199" i="2"/>
  <c r="I199" i="2"/>
  <c r="G199" i="2"/>
  <c r="F199" i="2"/>
  <c r="Q199" i="2" s="1"/>
  <c r="T198" i="2"/>
  <c r="S198" i="2"/>
  <c r="R198" i="2"/>
  <c r="Q198" i="2"/>
  <c r="P198" i="2"/>
  <c r="O198" i="2"/>
  <c r="N198" i="2"/>
  <c r="M198" i="2"/>
  <c r="L198" i="2"/>
  <c r="J198" i="2"/>
  <c r="I198" i="2"/>
  <c r="G198" i="2"/>
  <c r="F198" i="2"/>
  <c r="K198" i="2" s="1"/>
  <c r="T197" i="2"/>
  <c r="S197" i="2"/>
  <c r="R197" i="2"/>
  <c r="Q197" i="2"/>
  <c r="P197" i="2"/>
  <c r="O197" i="2"/>
  <c r="N197" i="2"/>
  <c r="M197" i="2"/>
  <c r="L197" i="2"/>
  <c r="K197" i="2"/>
  <c r="J197" i="2"/>
  <c r="I197" i="2"/>
  <c r="G197" i="2"/>
  <c r="F197" i="2"/>
  <c r="T196" i="2"/>
  <c r="S196" i="2"/>
  <c r="R196" i="2"/>
  <c r="P196" i="2"/>
  <c r="O196" i="2"/>
  <c r="N196" i="2"/>
  <c r="M196" i="2"/>
  <c r="L196" i="2"/>
  <c r="K196" i="2"/>
  <c r="J196" i="2"/>
  <c r="I196" i="2"/>
  <c r="G196" i="2"/>
  <c r="F196" i="2"/>
  <c r="Q196" i="2" s="1"/>
  <c r="T195" i="2"/>
  <c r="S195" i="2"/>
  <c r="R195" i="2"/>
  <c r="Q195" i="2"/>
  <c r="P195" i="2"/>
  <c r="O195" i="2"/>
  <c r="N195" i="2"/>
  <c r="M195" i="2"/>
  <c r="L195" i="2"/>
  <c r="J195" i="2"/>
  <c r="I195" i="2"/>
  <c r="G195" i="2"/>
  <c r="F195" i="2"/>
  <c r="K195" i="2" s="1"/>
  <c r="T194" i="2"/>
  <c r="S194" i="2"/>
  <c r="R194" i="2"/>
  <c r="Q194" i="2"/>
  <c r="P194" i="2"/>
  <c r="O194" i="2"/>
  <c r="N194" i="2"/>
  <c r="M194" i="2"/>
  <c r="L194" i="2"/>
  <c r="K194" i="2"/>
  <c r="J194" i="2"/>
  <c r="I194" i="2"/>
  <c r="G194" i="2"/>
  <c r="F194" i="2"/>
  <c r="T193" i="2"/>
  <c r="S193" i="2"/>
  <c r="R193" i="2"/>
  <c r="P193" i="2"/>
  <c r="O193" i="2"/>
  <c r="N193" i="2"/>
  <c r="M193" i="2"/>
  <c r="L193" i="2"/>
  <c r="K193" i="2"/>
  <c r="J193" i="2"/>
  <c r="I193" i="2"/>
  <c r="G193" i="2"/>
  <c r="F193" i="2"/>
  <c r="Q193" i="2" s="1"/>
  <c r="T192" i="2"/>
  <c r="S192" i="2"/>
  <c r="R192" i="2"/>
  <c r="P192" i="2"/>
  <c r="O192" i="2"/>
  <c r="N192" i="2"/>
  <c r="M192" i="2"/>
  <c r="L192" i="2"/>
  <c r="K192" i="2"/>
  <c r="J192" i="2"/>
  <c r="I192" i="2"/>
  <c r="G192" i="2"/>
  <c r="F192" i="2"/>
  <c r="Q192" i="2" s="1"/>
  <c r="T191" i="2"/>
  <c r="S191" i="2"/>
  <c r="R191" i="2"/>
  <c r="Q191" i="2"/>
  <c r="P191" i="2"/>
  <c r="O191" i="2"/>
  <c r="N191" i="2"/>
  <c r="M191" i="2"/>
  <c r="L191" i="2"/>
  <c r="J191" i="2"/>
  <c r="I191" i="2"/>
  <c r="G191" i="2"/>
  <c r="F191" i="2"/>
  <c r="K191" i="2" s="1"/>
  <c r="T609" i="1"/>
  <c r="S609" i="1"/>
  <c r="R609" i="1"/>
  <c r="Q609" i="1"/>
  <c r="P609" i="1"/>
  <c r="O609" i="1"/>
  <c r="N609" i="1"/>
  <c r="M609" i="1"/>
  <c r="L609" i="1"/>
  <c r="K609" i="1"/>
  <c r="J609" i="1"/>
  <c r="I609" i="1"/>
  <c r="G609" i="1"/>
  <c r="F609" i="1"/>
  <c r="T608" i="1"/>
  <c r="S608" i="1"/>
  <c r="R608" i="1"/>
  <c r="P608" i="1"/>
  <c r="O608" i="1"/>
  <c r="N608" i="1"/>
  <c r="M608" i="1"/>
  <c r="L608" i="1"/>
  <c r="K608" i="1"/>
  <c r="J608" i="1"/>
  <c r="I608" i="1"/>
  <c r="G608" i="1"/>
  <c r="F608" i="1"/>
  <c r="Q608" i="1" s="1"/>
  <c r="T607" i="1"/>
  <c r="S607" i="1"/>
  <c r="R607" i="1"/>
  <c r="P607" i="1"/>
  <c r="O607" i="1"/>
  <c r="N607" i="1"/>
  <c r="M607" i="1"/>
  <c r="L607" i="1"/>
  <c r="K607" i="1"/>
  <c r="J607" i="1"/>
  <c r="I607" i="1"/>
  <c r="G607" i="1"/>
  <c r="F607" i="1"/>
  <c r="Q607" i="1" s="1"/>
  <c r="T606" i="1"/>
  <c r="S606" i="1"/>
  <c r="R606" i="1"/>
  <c r="P606" i="1"/>
  <c r="O606" i="1"/>
  <c r="N606" i="1"/>
  <c r="M606" i="1"/>
  <c r="L606" i="1"/>
  <c r="K606" i="1"/>
  <c r="J606" i="1"/>
  <c r="I606" i="1"/>
  <c r="G606" i="1"/>
  <c r="F606" i="1"/>
  <c r="Q606" i="1" s="1"/>
  <c r="T605" i="1"/>
  <c r="S605" i="1"/>
  <c r="R605" i="1"/>
  <c r="P605" i="1"/>
  <c r="O605" i="1"/>
  <c r="N605" i="1"/>
  <c r="M605" i="1"/>
  <c r="L605" i="1"/>
  <c r="K605" i="1"/>
  <c r="J605" i="1"/>
  <c r="I605" i="1"/>
  <c r="G605" i="1"/>
  <c r="F605" i="1"/>
  <c r="Q605" i="1" s="1"/>
  <c r="T604" i="1"/>
  <c r="S604" i="1"/>
  <c r="R604" i="1"/>
  <c r="P604" i="1"/>
  <c r="O604" i="1"/>
  <c r="N604" i="1"/>
  <c r="M604" i="1"/>
  <c r="L604" i="1"/>
  <c r="K604" i="1"/>
  <c r="J604" i="1"/>
  <c r="I604" i="1"/>
  <c r="G604" i="1"/>
  <c r="F604" i="1"/>
  <c r="Q604" i="1" s="1"/>
  <c r="T603" i="1"/>
  <c r="S603" i="1"/>
  <c r="R603" i="1"/>
  <c r="Q603" i="1"/>
  <c r="P603" i="1"/>
  <c r="O603" i="1"/>
  <c r="N603" i="1"/>
  <c r="M603" i="1"/>
  <c r="L603" i="1"/>
  <c r="J603" i="1"/>
  <c r="I603" i="1"/>
  <c r="G603" i="1"/>
  <c r="F603" i="1"/>
  <c r="K603" i="1" s="1"/>
  <c r="T602" i="1"/>
  <c r="S602" i="1"/>
  <c r="R602" i="1"/>
  <c r="Q602" i="1"/>
  <c r="P602" i="1"/>
  <c r="O602" i="1"/>
  <c r="N602" i="1"/>
  <c r="M602" i="1"/>
  <c r="L602" i="1"/>
  <c r="J602" i="1"/>
  <c r="I602" i="1"/>
  <c r="G602" i="1"/>
  <c r="F602" i="1"/>
  <c r="K602" i="1" s="1"/>
  <c r="T601" i="1"/>
  <c r="S601" i="1"/>
  <c r="R601" i="1"/>
  <c r="Q601" i="1"/>
  <c r="P601" i="1"/>
  <c r="O601" i="1"/>
  <c r="N601" i="1"/>
  <c r="M601" i="1"/>
  <c r="L601" i="1"/>
  <c r="J601" i="1"/>
  <c r="I601" i="1"/>
  <c r="G601" i="1"/>
  <c r="F601" i="1"/>
  <c r="K601" i="1" s="1"/>
  <c r="T600" i="1"/>
  <c r="S600" i="1"/>
  <c r="R600" i="1"/>
  <c r="Q600" i="1"/>
  <c r="P600" i="1"/>
  <c r="O600" i="1"/>
  <c r="N600" i="1"/>
  <c r="M600" i="1"/>
  <c r="L600" i="1"/>
  <c r="K600" i="1"/>
  <c r="J600" i="1"/>
  <c r="I600" i="1"/>
  <c r="G600" i="1"/>
  <c r="F600" i="1"/>
  <c r="T599" i="1"/>
  <c r="S599" i="1"/>
  <c r="R599" i="1"/>
  <c r="Q599" i="1"/>
  <c r="P599" i="1"/>
  <c r="O599" i="1"/>
  <c r="N599" i="1"/>
  <c r="M599" i="1"/>
  <c r="L599" i="1"/>
  <c r="K599" i="1"/>
  <c r="J599" i="1"/>
  <c r="I599" i="1"/>
  <c r="G599" i="1"/>
  <c r="F599" i="1"/>
  <c r="T598" i="1"/>
  <c r="S598" i="1"/>
  <c r="R598" i="1"/>
  <c r="Q598" i="1"/>
  <c r="P598" i="1"/>
  <c r="O598" i="1"/>
  <c r="N598" i="1"/>
  <c r="M598" i="1"/>
  <c r="L598" i="1"/>
  <c r="K598" i="1"/>
  <c r="J598" i="1"/>
  <c r="I598" i="1"/>
  <c r="G598" i="1"/>
  <c r="F598" i="1"/>
  <c r="T597" i="1"/>
  <c r="S597" i="1"/>
  <c r="R597" i="1"/>
  <c r="P597" i="1"/>
  <c r="O597" i="1"/>
  <c r="N597" i="1"/>
  <c r="M597" i="1"/>
  <c r="L597" i="1"/>
  <c r="K597" i="1"/>
  <c r="J597" i="1"/>
  <c r="I597" i="1"/>
  <c r="G597" i="1"/>
  <c r="F597" i="1"/>
  <c r="Q597" i="1" s="1"/>
  <c r="T596" i="1"/>
  <c r="S596" i="1"/>
  <c r="R596" i="1"/>
  <c r="P596" i="1"/>
  <c r="O596" i="1"/>
  <c r="N596" i="1"/>
  <c r="M596" i="1"/>
  <c r="L596" i="1"/>
  <c r="K596" i="1"/>
  <c r="J596" i="1"/>
  <c r="I596" i="1"/>
  <c r="G596" i="1"/>
  <c r="F596" i="1"/>
  <c r="Q596" i="1" s="1"/>
  <c r="T595" i="1"/>
  <c r="S595" i="1"/>
  <c r="R595" i="1"/>
  <c r="Q595" i="1"/>
  <c r="P595" i="1"/>
  <c r="O595" i="1"/>
  <c r="N595" i="1"/>
  <c r="M595" i="1"/>
  <c r="L595" i="1"/>
  <c r="J595" i="1"/>
  <c r="I595" i="1"/>
  <c r="G595" i="1"/>
  <c r="F595" i="1"/>
  <c r="K595" i="1" s="1"/>
  <c r="T594" i="1"/>
  <c r="S594" i="1"/>
  <c r="R594" i="1"/>
  <c r="Q594" i="1"/>
  <c r="P594" i="1"/>
  <c r="O594" i="1"/>
  <c r="N594" i="1"/>
  <c r="M594" i="1"/>
  <c r="L594" i="1"/>
  <c r="J594" i="1"/>
  <c r="I594" i="1"/>
  <c r="G594" i="1"/>
  <c r="F594" i="1"/>
  <c r="K594" i="1" s="1"/>
  <c r="T593" i="1"/>
  <c r="S593" i="1"/>
  <c r="R593" i="1"/>
  <c r="Q593" i="1"/>
  <c r="P593" i="1"/>
  <c r="O593" i="1"/>
  <c r="N593" i="1"/>
  <c r="M593" i="1"/>
  <c r="L593" i="1"/>
  <c r="K593" i="1"/>
  <c r="J593" i="1"/>
  <c r="I593" i="1"/>
  <c r="G593" i="1"/>
  <c r="F593" i="1"/>
  <c r="T592" i="1"/>
  <c r="S592" i="1"/>
  <c r="R592" i="1"/>
  <c r="P592" i="1"/>
  <c r="O592" i="1"/>
  <c r="N592" i="1"/>
  <c r="M592" i="1"/>
  <c r="L592" i="1"/>
  <c r="K592" i="1"/>
  <c r="J592" i="1"/>
  <c r="I592" i="1"/>
  <c r="G592" i="1"/>
  <c r="F592" i="1"/>
  <c r="Q592" i="1" s="1"/>
  <c r="T591" i="1"/>
  <c r="S591" i="1"/>
  <c r="R591" i="1"/>
  <c r="P591" i="1"/>
  <c r="O591" i="1"/>
  <c r="N591" i="1"/>
  <c r="M591" i="1"/>
  <c r="L591" i="1"/>
  <c r="K591" i="1"/>
  <c r="J591" i="1"/>
  <c r="I591" i="1"/>
  <c r="G591" i="1"/>
  <c r="F591" i="1"/>
  <c r="Q591" i="1" s="1"/>
  <c r="T590" i="1"/>
  <c r="S590" i="1"/>
  <c r="R590" i="1"/>
  <c r="P590" i="1"/>
  <c r="O590" i="1"/>
  <c r="N590" i="1"/>
  <c r="M590" i="1"/>
  <c r="L590" i="1"/>
  <c r="K590" i="1"/>
  <c r="J590" i="1"/>
  <c r="I590" i="1"/>
  <c r="G590" i="1"/>
  <c r="F590" i="1"/>
  <c r="Q590" i="1" s="1"/>
  <c r="T589" i="1"/>
  <c r="S589" i="1"/>
  <c r="R589" i="1"/>
  <c r="Q589" i="1"/>
  <c r="P589" i="1"/>
  <c r="O589" i="1"/>
  <c r="N589" i="1"/>
  <c r="M589" i="1"/>
  <c r="L589" i="1"/>
  <c r="J589" i="1"/>
  <c r="I589" i="1"/>
  <c r="G589" i="1"/>
  <c r="F589" i="1"/>
  <c r="K589" i="1" s="1"/>
  <c r="T588" i="1"/>
  <c r="S588" i="1"/>
  <c r="R588" i="1"/>
  <c r="Q588" i="1"/>
  <c r="P588" i="1"/>
  <c r="O588" i="1"/>
  <c r="N588" i="1"/>
  <c r="M588" i="1"/>
  <c r="L588" i="1"/>
  <c r="J588" i="1"/>
  <c r="I588" i="1"/>
  <c r="G588" i="1"/>
  <c r="F588" i="1"/>
  <c r="K588" i="1" s="1"/>
  <c r="T587" i="1"/>
  <c r="S587" i="1"/>
  <c r="R587" i="1"/>
  <c r="Q587" i="1"/>
  <c r="P587" i="1"/>
  <c r="O587" i="1"/>
  <c r="N587" i="1"/>
  <c r="M587" i="1"/>
  <c r="L587" i="1"/>
  <c r="K587" i="1"/>
  <c r="J587" i="1"/>
  <c r="I587" i="1"/>
  <c r="G587" i="1"/>
  <c r="F587" i="1"/>
  <c r="T586" i="1"/>
  <c r="S586" i="1"/>
  <c r="R586" i="1"/>
  <c r="Q586" i="1"/>
  <c r="P586" i="1"/>
  <c r="O586" i="1"/>
  <c r="N586" i="1"/>
  <c r="M586" i="1"/>
  <c r="L586" i="1"/>
  <c r="K586" i="1"/>
  <c r="J586" i="1"/>
  <c r="I586" i="1"/>
  <c r="G586" i="1"/>
  <c r="F586" i="1"/>
  <c r="T585" i="1"/>
  <c r="S585" i="1"/>
  <c r="R585" i="1"/>
  <c r="P585" i="1"/>
  <c r="O585" i="1"/>
  <c r="N585" i="1"/>
  <c r="M585" i="1"/>
  <c r="L585" i="1"/>
  <c r="K585" i="1"/>
  <c r="J585" i="1"/>
  <c r="I585" i="1"/>
  <c r="G585" i="1"/>
  <c r="F585" i="1"/>
  <c r="Q585" i="1" s="1"/>
  <c r="T584" i="1"/>
  <c r="S584" i="1"/>
  <c r="R584" i="1"/>
  <c r="P584" i="1"/>
  <c r="O584" i="1"/>
  <c r="N584" i="1"/>
  <c r="M584" i="1"/>
  <c r="L584" i="1"/>
  <c r="K584" i="1"/>
  <c r="J584" i="1"/>
  <c r="I584" i="1"/>
  <c r="G584" i="1"/>
  <c r="F584" i="1"/>
  <c r="Q584" i="1" s="1"/>
  <c r="T583" i="1"/>
  <c r="S583" i="1"/>
  <c r="R583" i="1"/>
  <c r="P583" i="1"/>
  <c r="O583" i="1"/>
  <c r="N583" i="1"/>
  <c r="M583" i="1"/>
  <c r="L583" i="1"/>
  <c r="K583" i="1"/>
  <c r="J583" i="1"/>
  <c r="I583" i="1"/>
  <c r="G583" i="1"/>
  <c r="F583" i="1"/>
  <c r="Q583" i="1" s="1"/>
  <c r="T582" i="1"/>
  <c r="S582" i="1"/>
  <c r="R582" i="1"/>
  <c r="P582" i="1"/>
  <c r="O582" i="1"/>
  <c r="N582" i="1"/>
  <c r="M582" i="1"/>
  <c r="L582" i="1"/>
  <c r="K582" i="1"/>
  <c r="J582" i="1"/>
  <c r="I582" i="1"/>
  <c r="G582" i="1"/>
  <c r="F582" i="1"/>
  <c r="Q582" i="1" s="1"/>
  <c r="T581" i="1"/>
  <c r="S581" i="1"/>
  <c r="R581" i="1"/>
  <c r="P581" i="1"/>
  <c r="O581" i="1"/>
  <c r="N581" i="1"/>
  <c r="M581" i="1"/>
  <c r="L581" i="1"/>
  <c r="K581" i="1"/>
  <c r="J581" i="1"/>
  <c r="I581" i="1"/>
  <c r="G581" i="1"/>
  <c r="F581" i="1"/>
  <c r="Q581" i="1" s="1"/>
  <c r="T580" i="1"/>
  <c r="S580" i="1"/>
  <c r="R580" i="1"/>
  <c r="P580" i="1"/>
  <c r="O580" i="1"/>
  <c r="N580" i="1"/>
  <c r="M580" i="1"/>
  <c r="L580" i="1"/>
  <c r="K580" i="1"/>
  <c r="J580" i="1"/>
  <c r="I580" i="1"/>
  <c r="G580" i="1"/>
  <c r="F580" i="1"/>
  <c r="Q580" i="1" s="1"/>
  <c r="T579" i="1"/>
  <c r="S579" i="1"/>
  <c r="R579" i="1"/>
  <c r="Q579" i="1"/>
  <c r="P579" i="1"/>
  <c r="O579" i="1"/>
  <c r="N579" i="1"/>
  <c r="M579" i="1"/>
  <c r="L579" i="1"/>
  <c r="J579" i="1"/>
  <c r="I579" i="1"/>
  <c r="G579" i="1"/>
  <c r="F579" i="1"/>
  <c r="K579" i="1" s="1"/>
  <c r="T578" i="1"/>
  <c r="S578" i="1"/>
  <c r="R578" i="1"/>
  <c r="Q578" i="1"/>
  <c r="P578" i="1"/>
  <c r="O578" i="1"/>
  <c r="N578" i="1"/>
  <c r="M578" i="1"/>
  <c r="L578" i="1"/>
  <c r="J578" i="1"/>
  <c r="I578" i="1"/>
  <c r="G578" i="1"/>
  <c r="F578" i="1"/>
  <c r="K578" i="1" s="1"/>
  <c r="T577" i="1"/>
  <c r="S577" i="1"/>
  <c r="R577" i="1"/>
  <c r="Q577" i="1"/>
  <c r="P577" i="1"/>
  <c r="O577" i="1"/>
  <c r="N577" i="1"/>
  <c r="M577" i="1"/>
  <c r="L577" i="1"/>
  <c r="J577" i="1"/>
  <c r="I577" i="1"/>
  <c r="G577" i="1"/>
  <c r="F577" i="1"/>
  <c r="K577" i="1" s="1"/>
  <c r="T576" i="1"/>
  <c r="S576" i="1"/>
  <c r="R576" i="1"/>
  <c r="Q576" i="1"/>
  <c r="P576" i="1"/>
  <c r="O576" i="1"/>
  <c r="N576" i="1"/>
  <c r="M576" i="1"/>
  <c r="L576" i="1"/>
  <c r="J576" i="1"/>
  <c r="I576" i="1"/>
  <c r="G576" i="1"/>
  <c r="F576" i="1"/>
  <c r="K576" i="1" s="1"/>
  <c r="T575" i="1"/>
  <c r="S575" i="1"/>
  <c r="R575" i="1"/>
  <c r="Q575" i="1"/>
  <c r="P575" i="1"/>
  <c r="O575" i="1"/>
  <c r="N575" i="1"/>
  <c r="M575" i="1"/>
  <c r="L575" i="1"/>
  <c r="J575" i="1"/>
  <c r="I575" i="1"/>
  <c r="G575" i="1"/>
  <c r="F575" i="1"/>
  <c r="K575" i="1" s="1"/>
  <c r="T574" i="1"/>
  <c r="S574" i="1"/>
  <c r="R574" i="1"/>
  <c r="Q574" i="1"/>
  <c r="P574" i="1"/>
  <c r="O574" i="1"/>
  <c r="N574" i="1"/>
  <c r="M574" i="1"/>
  <c r="L574" i="1"/>
  <c r="J574" i="1"/>
  <c r="I574" i="1"/>
  <c r="G574" i="1"/>
  <c r="F574" i="1"/>
  <c r="K574" i="1" s="1"/>
  <c r="T573" i="1"/>
  <c r="S573" i="1"/>
  <c r="R573" i="1"/>
  <c r="Q573" i="1"/>
  <c r="P573" i="1"/>
  <c r="O573" i="1"/>
  <c r="N573" i="1"/>
  <c r="M573" i="1"/>
  <c r="L573" i="1"/>
  <c r="J573" i="1"/>
  <c r="I573" i="1"/>
  <c r="G573" i="1"/>
  <c r="F573" i="1"/>
  <c r="K573" i="1" s="1"/>
  <c r="T572" i="1"/>
  <c r="S572" i="1"/>
  <c r="R572" i="1"/>
  <c r="Q572" i="1"/>
  <c r="P572" i="1"/>
  <c r="O572" i="1"/>
  <c r="N572" i="1"/>
  <c r="M572" i="1"/>
  <c r="L572" i="1"/>
  <c r="J572" i="1"/>
  <c r="I572" i="1"/>
  <c r="G572" i="1"/>
  <c r="F572" i="1"/>
  <c r="K572" i="1" s="1"/>
  <c r="T571" i="1"/>
  <c r="S571" i="1"/>
  <c r="R571" i="1"/>
  <c r="Q571" i="1"/>
  <c r="P571" i="1"/>
  <c r="O571" i="1"/>
  <c r="N571" i="1"/>
  <c r="M571" i="1"/>
  <c r="L571" i="1"/>
  <c r="K571" i="1"/>
  <c r="J571" i="1"/>
  <c r="I571" i="1"/>
  <c r="G571" i="1"/>
  <c r="F571" i="1"/>
  <c r="T570" i="1"/>
  <c r="S570" i="1"/>
  <c r="Q570" i="1"/>
  <c r="P570" i="1"/>
  <c r="O570" i="1"/>
  <c r="N570" i="1"/>
  <c r="M570" i="1"/>
  <c r="L570" i="1"/>
  <c r="K570" i="1"/>
  <c r="J570" i="1"/>
  <c r="I570" i="1"/>
  <c r="G570" i="1"/>
  <c r="F570" i="1"/>
  <c r="R570" i="1" s="1"/>
  <c r="T569" i="1"/>
  <c r="S569" i="1"/>
  <c r="R569" i="1"/>
  <c r="Q569" i="1"/>
  <c r="P569" i="1"/>
  <c r="O569" i="1"/>
  <c r="N569" i="1"/>
  <c r="M569" i="1"/>
  <c r="K569" i="1"/>
  <c r="J569" i="1"/>
  <c r="I569" i="1"/>
  <c r="G569" i="1"/>
  <c r="F569" i="1"/>
  <c r="L569" i="1" s="1"/>
  <c r="T568" i="1"/>
  <c r="S568" i="1"/>
  <c r="R568" i="1"/>
  <c r="P568" i="1"/>
  <c r="O568" i="1"/>
  <c r="N568" i="1"/>
  <c r="M568" i="1"/>
  <c r="L568" i="1"/>
  <c r="K568" i="1"/>
  <c r="J568" i="1"/>
  <c r="I568" i="1"/>
  <c r="G568" i="1"/>
  <c r="F568" i="1"/>
  <c r="Q568" i="1" s="1"/>
  <c r="T567" i="1"/>
  <c r="S567" i="1"/>
  <c r="R567" i="1"/>
  <c r="P567" i="1"/>
  <c r="O567" i="1"/>
  <c r="N567" i="1"/>
  <c r="M567" i="1"/>
  <c r="L567" i="1"/>
  <c r="K567" i="1"/>
  <c r="J567" i="1"/>
  <c r="I567" i="1"/>
  <c r="G567" i="1"/>
  <c r="F567" i="1"/>
  <c r="Q567" i="1" s="1"/>
  <c r="T566" i="1"/>
  <c r="S566" i="1"/>
  <c r="R566" i="1"/>
  <c r="P566" i="1"/>
  <c r="O566" i="1"/>
  <c r="N566" i="1"/>
  <c r="M566" i="1"/>
  <c r="L566" i="1"/>
  <c r="K566" i="1"/>
  <c r="J566" i="1"/>
  <c r="I566" i="1"/>
  <c r="F566" i="1"/>
  <c r="Q566" i="1" s="1"/>
  <c r="T565" i="1"/>
  <c r="S565" i="1"/>
  <c r="R565" i="1"/>
  <c r="P565" i="1"/>
  <c r="O565" i="1"/>
  <c r="N565" i="1"/>
  <c r="M565" i="1"/>
  <c r="L565" i="1"/>
  <c r="K565" i="1"/>
  <c r="J565" i="1"/>
  <c r="I565" i="1"/>
  <c r="F565" i="1"/>
  <c r="Q565" i="1" s="1"/>
  <c r="T564" i="1"/>
  <c r="S564" i="1"/>
  <c r="R564" i="1"/>
  <c r="P564" i="1"/>
  <c r="O564" i="1"/>
  <c r="N564" i="1"/>
  <c r="M564" i="1"/>
  <c r="L564" i="1"/>
  <c r="K564" i="1"/>
  <c r="J564" i="1"/>
  <c r="I564" i="1"/>
  <c r="F564" i="1"/>
  <c r="Q564" i="1" s="1"/>
  <c r="T563" i="1"/>
  <c r="S563" i="1"/>
  <c r="R563" i="1"/>
  <c r="Q563" i="1"/>
  <c r="P563" i="1"/>
  <c r="O563" i="1"/>
  <c r="N563" i="1"/>
  <c r="M563" i="1"/>
  <c r="L563" i="1"/>
  <c r="J563" i="1"/>
  <c r="I563" i="1"/>
  <c r="G563" i="1"/>
  <c r="F563" i="1"/>
  <c r="K563" i="1" s="1"/>
  <c r="T562" i="1"/>
  <c r="S562" i="1"/>
  <c r="R562" i="1"/>
  <c r="Q562" i="1"/>
  <c r="P562" i="1"/>
  <c r="O562" i="1"/>
  <c r="N562" i="1"/>
  <c r="M562" i="1"/>
  <c r="L562" i="1"/>
  <c r="J562" i="1"/>
  <c r="I562" i="1"/>
  <c r="G562" i="1"/>
  <c r="F562" i="1"/>
  <c r="K562" i="1" s="1"/>
  <c r="T561" i="1"/>
  <c r="S561" i="1"/>
  <c r="R561" i="1"/>
  <c r="Q561" i="1"/>
  <c r="P561" i="1"/>
  <c r="O561" i="1"/>
  <c r="N561" i="1"/>
  <c r="M561" i="1"/>
  <c r="L561" i="1"/>
  <c r="J561" i="1"/>
  <c r="I561" i="1"/>
  <c r="G561" i="1"/>
  <c r="F561" i="1"/>
  <c r="K561" i="1" s="1"/>
  <c r="T560" i="1"/>
  <c r="S560" i="1"/>
  <c r="R560" i="1"/>
  <c r="Q560" i="1"/>
  <c r="P560" i="1"/>
  <c r="O560" i="1"/>
  <c r="N560" i="1"/>
  <c r="M560" i="1"/>
  <c r="L560" i="1"/>
  <c r="K560" i="1"/>
  <c r="J560" i="1"/>
  <c r="I560" i="1"/>
  <c r="G560" i="1"/>
  <c r="F560" i="1"/>
  <c r="T559" i="1"/>
  <c r="S559" i="1"/>
  <c r="R559" i="1"/>
  <c r="P559" i="1"/>
  <c r="O559" i="1"/>
  <c r="N559" i="1"/>
  <c r="M559" i="1"/>
  <c r="L559" i="1"/>
  <c r="K559" i="1"/>
  <c r="J559" i="1"/>
  <c r="I559" i="1"/>
  <c r="G559" i="1"/>
  <c r="F559" i="1"/>
  <c r="Q559" i="1" s="1"/>
  <c r="T558" i="1"/>
  <c r="S558" i="1"/>
  <c r="R558" i="1"/>
  <c r="P558" i="1"/>
  <c r="O558" i="1"/>
  <c r="N558" i="1"/>
  <c r="M558" i="1"/>
  <c r="L558" i="1"/>
  <c r="K558" i="1"/>
  <c r="J558" i="1"/>
  <c r="I558" i="1"/>
  <c r="G558" i="1"/>
  <c r="F558" i="1"/>
  <c r="Q558" i="1" s="1"/>
  <c r="T557" i="1"/>
  <c r="S557" i="1"/>
  <c r="R557" i="1"/>
  <c r="P557" i="1"/>
  <c r="O557" i="1"/>
  <c r="N557" i="1"/>
  <c r="M557" i="1"/>
  <c r="L557" i="1"/>
  <c r="K557" i="1"/>
  <c r="J557" i="1"/>
  <c r="I557" i="1"/>
  <c r="G557" i="1"/>
  <c r="F557" i="1"/>
  <c r="Q557" i="1" s="1"/>
  <c r="T556" i="1"/>
  <c r="S556" i="1"/>
  <c r="R556" i="1"/>
  <c r="P556" i="1"/>
  <c r="O556" i="1"/>
  <c r="N556" i="1"/>
  <c r="M556" i="1"/>
  <c r="L556" i="1"/>
  <c r="K556" i="1"/>
  <c r="J556" i="1"/>
  <c r="I556" i="1"/>
  <c r="G556" i="1"/>
  <c r="F556" i="1"/>
  <c r="Q556" i="1" s="1"/>
  <c r="T555" i="1"/>
  <c r="S555" i="1"/>
  <c r="R555" i="1"/>
  <c r="P555" i="1"/>
  <c r="O555" i="1"/>
  <c r="N555" i="1"/>
  <c r="M555" i="1"/>
  <c r="L555" i="1"/>
  <c r="K555" i="1"/>
  <c r="J555" i="1"/>
  <c r="I555" i="1"/>
  <c r="G555" i="1"/>
  <c r="F555" i="1"/>
  <c r="Q555" i="1" s="1"/>
  <c r="T554" i="1"/>
  <c r="S554" i="1"/>
  <c r="R554" i="1"/>
  <c r="Q554" i="1"/>
  <c r="P554" i="1"/>
  <c r="O554" i="1"/>
  <c r="N554" i="1"/>
  <c r="M554" i="1"/>
  <c r="L554" i="1"/>
  <c r="J554" i="1"/>
  <c r="I554" i="1"/>
  <c r="G554" i="1"/>
  <c r="F554" i="1"/>
  <c r="K554" i="1" s="1"/>
  <c r="T553" i="1"/>
  <c r="S553" i="1"/>
  <c r="R553" i="1"/>
  <c r="Q553" i="1"/>
  <c r="P553" i="1"/>
  <c r="O553" i="1"/>
  <c r="N553" i="1"/>
  <c r="M553" i="1"/>
  <c r="L553" i="1"/>
  <c r="J553" i="1"/>
  <c r="I553" i="1"/>
  <c r="G553" i="1"/>
  <c r="F553" i="1"/>
  <c r="K553" i="1" s="1"/>
  <c r="T552" i="1"/>
  <c r="S552" i="1"/>
  <c r="R552" i="1"/>
  <c r="Q552" i="1"/>
  <c r="P552" i="1"/>
  <c r="O552" i="1"/>
  <c r="N552" i="1"/>
  <c r="M552" i="1"/>
  <c r="L552" i="1"/>
  <c r="J552" i="1"/>
  <c r="I552" i="1"/>
  <c r="G552" i="1"/>
  <c r="F552" i="1"/>
  <c r="K552" i="1" s="1"/>
  <c r="T551" i="1"/>
  <c r="S551" i="1"/>
  <c r="R551" i="1"/>
  <c r="Q551" i="1"/>
  <c r="P551" i="1"/>
  <c r="O551" i="1"/>
  <c r="N551" i="1"/>
  <c r="M551" i="1"/>
  <c r="L551" i="1"/>
  <c r="J551" i="1"/>
  <c r="I551" i="1"/>
  <c r="G551" i="1"/>
  <c r="F551" i="1"/>
  <c r="K551" i="1" s="1"/>
  <c r="T550" i="1"/>
  <c r="S550" i="1"/>
  <c r="R550" i="1"/>
  <c r="P550" i="1"/>
  <c r="O550" i="1"/>
  <c r="N550" i="1"/>
  <c r="M550" i="1"/>
  <c r="L550" i="1"/>
  <c r="K550" i="1"/>
  <c r="J550" i="1"/>
  <c r="I550" i="1"/>
  <c r="G550" i="1"/>
  <c r="F550" i="1"/>
  <c r="Q550" i="1" s="1"/>
  <c r="T549" i="1"/>
  <c r="S549" i="1"/>
  <c r="R549" i="1"/>
  <c r="P549" i="1"/>
  <c r="O549" i="1"/>
  <c r="N549" i="1"/>
  <c r="M549" i="1"/>
  <c r="L549" i="1"/>
  <c r="K549" i="1"/>
  <c r="J549" i="1"/>
  <c r="I549" i="1"/>
  <c r="G549" i="1"/>
  <c r="F549" i="1"/>
  <c r="Q549" i="1" s="1"/>
  <c r="T548" i="1"/>
  <c r="S548" i="1"/>
  <c r="R548" i="1"/>
  <c r="Q548" i="1"/>
  <c r="P548" i="1"/>
  <c r="O548" i="1"/>
  <c r="N548" i="1"/>
  <c r="M548" i="1"/>
  <c r="L548" i="1"/>
  <c r="J548" i="1"/>
  <c r="I548" i="1"/>
  <c r="G548" i="1"/>
  <c r="F548" i="1"/>
  <c r="K548" i="1" s="1"/>
  <c r="T547" i="1"/>
  <c r="S547" i="1"/>
  <c r="R547" i="1"/>
  <c r="Q547" i="1"/>
  <c r="P547" i="1"/>
  <c r="O547" i="1"/>
  <c r="N547" i="1"/>
  <c r="M547" i="1"/>
  <c r="L547" i="1"/>
  <c r="J547" i="1"/>
  <c r="I547" i="1"/>
  <c r="G547" i="1"/>
  <c r="F547" i="1"/>
  <c r="K547" i="1" s="1"/>
  <c r="T546" i="1"/>
  <c r="S546" i="1"/>
  <c r="R546" i="1"/>
  <c r="Q546" i="1"/>
  <c r="P546" i="1"/>
  <c r="O546" i="1"/>
  <c r="N546" i="1"/>
  <c r="M546" i="1"/>
  <c r="L546" i="1"/>
  <c r="J546" i="1"/>
  <c r="I546" i="1"/>
  <c r="G546" i="1"/>
  <c r="F546" i="1"/>
  <c r="K546" i="1" s="1"/>
  <c r="T545" i="1"/>
  <c r="S545" i="1"/>
  <c r="R545" i="1"/>
  <c r="Q545" i="1"/>
  <c r="P545" i="1"/>
  <c r="O545" i="1"/>
  <c r="N545" i="1"/>
  <c r="M545" i="1"/>
  <c r="L545" i="1"/>
  <c r="J545" i="1"/>
  <c r="I545" i="1"/>
  <c r="G545" i="1"/>
  <c r="F545" i="1"/>
  <c r="K545" i="1" s="1"/>
  <c r="T544" i="1"/>
  <c r="S544" i="1"/>
  <c r="R544" i="1"/>
  <c r="Q544" i="1"/>
  <c r="P544" i="1"/>
  <c r="O544" i="1"/>
  <c r="N544" i="1"/>
  <c r="M544" i="1"/>
  <c r="L544" i="1"/>
  <c r="K544" i="1"/>
  <c r="J544" i="1"/>
  <c r="I544" i="1"/>
  <c r="G544" i="1"/>
  <c r="F544" i="1"/>
  <c r="T543" i="1"/>
  <c r="S543" i="1"/>
  <c r="Q543" i="1"/>
  <c r="P543" i="1"/>
  <c r="O543" i="1"/>
  <c r="N543" i="1"/>
  <c r="M543" i="1"/>
  <c r="L543" i="1"/>
  <c r="K543" i="1"/>
  <c r="J543" i="1"/>
  <c r="I543" i="1"/>
  <c r="G543" i="1"/>
  <c r="F543" i="1"/>
  <c r="R543" i="1" s="1"/>
  <c r="T542" i="1"/>
  <c r="S542" i="1"/>
  <c r="R542" i="1"/>
  <c r="P542" i="1"/>
  <c r="O542" i="1"/>
  <c r="N542" i="1"/>
  <c r="M542" i="1"/>
  <c r="L542" i="1"/>
  <c r="K542" i="1"/>
  <c r="J542" i="1"/>
  <c r="I542" i="1"/>
  <c r="G542" i="1"/>
  <c r="F542" i="1"/>
  <c r="Q542" i="1" s="1"/>
  <c r="T541" i="1"/>
  <c r="S541" i="1"/>
  <c r="R541" i="1"/>
  <c r="P541" i="1"/>
  <c r="O541" i="1"/>
  <c r="N541" i="1"/>
  <c r="M541" i="1"/>
  <c r="L541" i="1"/>
  <c r="K541" i="1"/>
  <c r="J541" i="1"/>
  <c r="I541" i="1"/>
  <c r="F541" i="1"/>
  <c r="Q541" i="1" s="1"/>
  <c r="T540" i="1"/>
  <c r="S540" i="1"/>
  <c r="R540" i="1"/>
  <c r="P540" i="1"/>
  <c r="O540" i="1"/>
  <c r="N540" i="1"/>
  <c r="M540" i="1"/>
  <c r="L540" i="1"/>
  <c r="K540" i="1"/>
  <c r="J540" i="1"/>
  <c r="I540" i="1"/>
  <c r="F540" i="1"/>
  <c r="Q540" i="1" s="1"/>
  <c r="T539" i="1"/>
  <c r="S539" i="1"/>
  <c r="R539" i="1"/>
  <c r="P539" i="1"/>
  <c r="O539" i="1"/>
  <c r="N539" i="1"/>
  <c r="M539" i="1"/>
  <c r="L539" i="1"/>
  <c r="K539" i="1"/>
  <c r="J539" i="1"/>
  <c r="I539" i="1"/>
  <c r="F539" i="1"/>
  <c r="Q539" i="1" s="1"/>
  <c r="T538" i="1"/>
  <c r="S538" i="1"/>
  <c r="R538" i="1"/>
  <c r="Q538" i="1"/>
  <c r="P538" i="1"/>
  <c r="O538" i="1"/>
  <c r="N538" i="1"/>
  <c r="M538" i="1"/>
  <c r="L538" i="1"/>
  <c r="J538" i="1"/>
  <c r="I538" i="1"/>
  <c r="G538" i="1"/>
  <c r="F538" i="1"/>
  <c r="K538" i="1" s="1"/>
  <c r="T537" i="1"/>
  <c r="S537" i="1"/>
  <c r="R537" i="1"/>
  <c r="Q537" i="1"/>
  <c r="P537" i="1"/>
  <c r="O537" i="1"/>
  <c r="N537" i="1"/>
  <c r="M537" i="1"/>
  <c r="L537" i="1"/>
  <c r="J537" i="1"/>
  <c r="I537" i="1"/>
  <c r="G537" i="1"/>
  <c r="F537" i="1"/>
  <c r="K537" i="1" s="1"/>
  <c r="T536" i="1"/>
  <c r="S536" i="1"/>
  <c r="R536" i="1"/>
  <c r="Q536" i="1"/>
  <c r="P536" i="1"/>
  <c r="O536" i="1"/>
  <c r="N536" i="1"/>
  <c r="M536" i="1"/>
  <c r="L536" i="1"/>
  <c r="K536" i="1"/>
  <c r="J536" i="1"/>
  <c r="I536" i="1"/>
  <c r="G536" i="1"/>
  <c r="F536" i="1"/>
  <c r="T535" i="1"/>
  <c r="S535" i="1"/>
  <c r="R535" i="1"/>
  <c r="P535" i="1"/>
  <c r="O535" i="1"/>
  <c r="N535" i="1"/>
  <c r="M535" i="1"/>
  <c r="L535" i="1"/>
  <c r="K535" i="1"/>
  <c r="J535" i="1"/>
  <c r="I535" i="1"/>
  <c r="G535" i="1"/>
  <c r="F535" i="1"/>
  <c r="Q535" i="1" s="1"/>
  <c r="T534" i="1"/>
  <c r="S534" i="1"/>
  <c r="R534" i="1"/>
  <c r="P534" i="1"/>
  <c r="O534" i="1"/>
  <c r="N534" i="1"/>
  <c r="M534" i="1"/>
  <c r="L534" i="1"/>
  <c r="K534" i="1"/>
  <c r="J534" i="1"/>
  <c r="I534" i="1"/>
  <c r="G534" i="1"/>
  <c r="F534" i="1"/>
  <c r="Q534" i="1" s="1"/>
  <c r="T533" i="1"/>
  <c r="S533" i="1"/>
  <c r="R533" i="1"/>
  <c r="P533" i="1"/>
  <c r="O533" i="1"/>
  <c r="N533" i="1"/>
  <c r="M533" i="1"/>
  <c r="L533" i="1"/>
  <c r="K533" i="1"/>
  <c r="J533" i="1"/>
  <c r="I533" i="1"/>
  <c r="G533" i="1"/>
  <c r="F533" i="1"/>
  <c r="Q533" i="1" s="1"/>
  <c r="T532" i="1"/>
  <c r="S532" i="1"/>
  <c r="R532" i="1"/>
  <c r="Q532" i="1"/>
  <c r="P532" i="1"/>
  <c r="O532" i="1"/>
  <c r="N532" i="1"/>
  <c r="M532" i="1"/>
  <c r="L532" i="1"/>
  <c r="J532" i="1"/>
  <c r="I532" i="1"/>
  <c r="G532" i="1"/>
  <c r="F532" i="1"/>
  <c r="K532" i="1" s="1"/>
  <c r="T531" i="1"/>
  <c r="S531" i="1"/>
  <c r="R531" i="1"/>
  <c r="Q531" i="1"/>
  <c r="P531" i="1"/>
  <c r="O531" i="1"/>
  <c r="N531" i="1"/>
  <c r="M531" i="1"/>
  <c r="L531" i="1"/>
  <c r="K531" i="1"/>
  <c r="J531" i="1"/>
  <c r="I531" i="1"/>
  <c r="G531" i="1"/>
  <c r="F531" i="1"/>
  <c r="T530" i="1"/>
  <c r="S530" i="1"/>
  <c r="R530" i="1"/>
  <c r="Q530" i="1"/>
  <c r="P530" i="1"/>
  <c r="O530" i="1"/>
  <c r="N530" i="1"/>
  <c r="M530" i="1"/>
  <c r="L530" i="1"/>
  <c r="K530" i="1"/>
  <c r="J530" i="1"/>
  <c r="I530" i="1"/>
  <c r="G530" i="1"/>
  <c r="F530" i="1"/>
  <c r="T529" i="1"/>
  <c r="S529" i="1"/>
  <c r="R529" i="1"/>
  <c r="P529" i="1"/>
  <c r="O529" i="1"/>
  <c r="N529" i="1"/>
  <c r="M529" i="1"/>
  <c r="L529" i="1"/>
  <c r="K529" i="1"/>
  <c r="J529" i="1"/>
  <c r="I529" i="1"/>
  <c r="G529" i="1"/>
  <c r="F529" i="1"/>
  <c r="Q529" i="1" s="1"/>
  <c r="T528" i="1"/>
  <c r="S528" i="1"/>
  <c r="R528" i="1"/>
  <c r="P528" i="1"/>
  <c r="O528" i="1"/>
  <c r="N528" i="1"/>
  <c r="M528" i="1"/>
  <c r="L528" i="1"/>
  <c r="K528" i="1"/>
  <c r="J528" i="1"/>
  <c r="I528" i="1"/>
  <c r="G528" i="1"/>
  <c r="F528" i="1"/>
  <c r="Q528" i="1" s="1"/>
  <c r="T527" i="1"/>
  <c r="S527" i="1"/>
  <c r="R527" i="1"/>
  <c r="P527" i="1"/>
  <c r="O527" i="1"/>
  <c r="N527" i="1"/>
  <c r="M527" i="1"/>
  <c r="L527" i="1"/>
  <c r="K527" i="1"/>
  <c r="J527" i="1"/>
  <c r="I527" i="1"/>
  <c r="G527" i="1"/>
  <c r="F527" i="1"/>
  <c r="Q527" i="1" s="1"/>
  <c r="T526" i="1"/>
  <c r="S526" i="1"/>
  <c r="R526" i="1"/>
  <c r="P526" i="1"/>
  <c r="O526" i="1"/>
  <c r="N526" i="1"/>
  <c r="M526" i="1"/>
  <c r="L526" i="1"/>
  <c r="K526" i="1"/>
  <c r="J526" i="1"/>
  <c r="I526" i="1"/>
  <c r="G526" i="1"/>
  <c r="F526" i="1"/>
  <c r="Q526" i="1" s="1"/>
  <c r="T525" i="1"/>
  <c r="S525" i="1"/>
  <c r="R525" i="1"/>
  <c r="P525" i="1"/>
  <c r="O525" i="1"/>
  <c r="N525" i="1"/>
  <c r="M525" i="1"/>
  <c r="L525" i="1"/>
  <c r="K525" i="1"/>
  <c r="J525" i="1"/>
  <c r="I525" i="1"/>
  <c r="G525" i="1"/>
  <c r="F525" i="1"/>
  <c r="Q525" i="1" s="1"/>
  <c r="T524" i="1"/>
  <c r="S524" i="1"/>
  <c r="R524" i="1"/>
  <c r="Q524" i="1"/>
  <c r="P524" i="1"/>
  <c r="O524" i="1"/>
  <c r="N524" i="1"/>
  <c r="M524" i="1"/>
  <c r="L524" i="1"/>
  <c r="J524" i="1"/>
  <c r="I524" i="1"/>
  <c r="G524" i="1"/>
  <c r="F524" i="1"/>
  <c r="K524" i="1" s="1"/>
  <c r="T523" i="1"/>
  <c r="S523" i="1"/>
  <c r="R523" i="1"/>
  <c r="Q523" i="1"/>
  <c r="P523" i="1"/>
  <c r="O523" i="1"/>
  <c r="N523" i="1"/>
  <c r="M523" i="1"/>
  <c r="L523" i="1"/>
  <c r="J523" i="1"/>
  <c r="I523" i="1"/>
  <c r="G523" i="1"/>
  <c r="F523" i="1"/>
  <c r="K523" i="1" s="1"/>
  <c r="T522" i="1"/>
  <c r="S522" i="1"/>
  <c r="R522" i="1"/>
  <c r="Q522" i="1"/>
  <c r="P522" i="1"/>
  <c r="O522" i="1"/>
  <c r="N522" i="1"/>
  <c r="M522" i="1"/>
  <c r="L522" i="1"/>
  <c r="J522" i="1"/>
  <c r="I522" i="1"/>
  <c r="G522" i="1"/>
  <c r="F522" i="1"/>
  <c r="K522" i="1" s="1"/>
  <c r="T521" i="1"/>
  <c r="S521" i="1"/>
  <c r="R521" i="1"/>
  <c r="P521" i="1"/>
  <c r="O521" i="1"/>
  <c r="N521" i="1"/>
  <c r="M521" i="1"/>
  <c r="L521" i="1"/>
  <c r="K521" i="1"/>
  <c r="J521" i="1"/>
  <c r="I521" i="1"/>
  <c r="G521" i="1"/>
  <c r="F521" i="1"/>
  <c r="Q521" i="1" s="1"/>
  <c r="T520" i="1"/>
  <c r="S520" i="1"/>
  <c r="R520" i="1"/>
  <c r="P520" i="1"/>
  <c r="O520" i="1"/>
  <c r="N520" i="1"/>
  <c r="M520" i="1"/>
  <c r="L520" i="1"/>
  <c r="K520" i="1"/>
  <c r="J520" i="1"/>
  <c r="I520" i="1"/>
  <c r="G520" i="1"/>
  <c r="F520" i="1"/>
  <c r="Q520" i="1" s="1"/>
  <c r="T519" i="1"/>
  <c r="S519" i="1"/>
  <c r="R519" i="1"/>
  <c r="P519" i="1"/>
  <c r="O519" i="1"/>
  <c r="N519" i="1"/>
  <c r="M519" i="1"/>
  <c r="L519" i="1"/>
  <c r="K519" i="1"/>
  <c r="J519" i="1"/>
  <c r="I519" i="1"/>
  <c r="G519" i="1"/>
  <c r="F519" i="1"/>
  <c r="Q519" i="1" s="1"/>
  <c r="T518" i="1"/>
  <c r="S518" i="1"/>
  <c r="R518" i="1"/>
  <c r="Q518" i="1"/>
  <c r="P518" i="1"/>
  <c r="O518" i="1"/>
  <c r="N518" i="1"/>
  <c r="M518" i="1"/>
  <c r="L518" i="1"/>
  <c r="J518" i="1"/>
  <c r="I518" i="1"/>
  <c r="G518" i="1"/>
  <c r="F518" i="1"/>
  <c r="K518" i="1" s="1"/>
  <c r="T517" i="1"/>
  <c r="S517" i="1"/>
  <c r="R517" i="1"/>
  <c r="Q517" i="1"/>
  <c r="P517" i="1"/>
  <c r="O517" i="1"/>
  <c r="N517" i="1"/>
  <c r="M517" i="1"/>
  <c r="L517" i="1"/>
  <c r="J517" i="1"/>
  <c r="I517" i="1"/>
  <c r="G517" i="1"/>
  <c r="F517" i="1"/>
  <c r="K517" i="1" s="1"/>
  <c r="T516" i="1"/>
  <c r="S516" i="1"/>
  <c r="R516" i="1"/>
  <c r="Q516" i="1"/>
  <c r="P516" i="1"/>
  <c r="O516" i="1"/>
  <c r="N516" i="1"/>
  <c r="M516" i="1"/>
  <c r="L516" i="1"/>
  <c r="J516" i="1"/>
  <c r="I516" i="1"/>
  <c r="G516" i="1"/>
  <c r="F516" i="1"/>
  <c r="K516" i="1" s="1"/>
  <c r="T515" i="1"/>
  <c r="S515" i="1"/>
  <c r="R515" i="1"/>
  <c r="Q515" i="1"/>
  <c r="P515" i="1"/>
  <c r="O515" i="1"/>
  <c r="N515" i="1"/>
  <c r="M515" i="1"/>
  <c r="K515" i="1"/>
  <c r="J515" i="1"/>
  <c r="I515" i="1"/>
  <c r="F515" i="1"/>
  <c r="L515" i="1" s="1"/>
  <c r="T514" i="1"/>
  <c r="S514" i="1"/>
  <c r="R514" i="1"/>
  <c r="Q514" i="1"/>
  <c r="P514" i="1"/>
  <c r="O514" i="1"/>
  <c r="N514" i="1"/>
  <c r="M514" i="1"/>
  <c r="K514" i="1"/>
  <c r="J514" i="1"/>
  <c r="I514" i="1"/>
  <c r="G514" i="1"/>
  <c r="F514" i="1"/>
  <c r="L514" i="1" s="1"/>
  <c r="T513" i="1"/>
  <c r="S513" i="1"/>
  <c r="R513" i="1"/>
  <c r="Q513" i="1"/>
  <c r="P513" i="1"/>
  <c r="O513" i="1"/>
  <c r="N513" i="1"/>
  <c r="M513" i="1"/>
  <c r="L513" i="1"/>
  <c r="K513" i="1"/>
  <c r="J513" i="1"/>
  <c r="I513" i="1"/>
  <c r="G513" i="1"/>
  <c r="F513" i="1"/>
  <c r="T512" i="1"/>
  <c r="S512" i="1"/>
  <c r="R512" i="1"/>
  <c r="Q512" i="1"/>
  <c r="P512" i="1"/>
  <c r="O512" i="1"/>
  <c r="N512" i="1"/>
  <c r="M512" i="1"/>
  <c r="L512" i="1"/>
  <c r="K512" i="1"/>
  <c r="J512" i="1"/>
  <c r="I512" i="1"/>
  <c r="G512" i="1"/>
  <c r="F512" i="1"/>
  <c r="T511" i="1"/>
  <c r="S511" i="1"/>
  <c r="R511" i="1"/>
  <c r="P511" i="1"/>
  <c r="O511" i="1"/>
  <c r="N511" i="1"/>
  <c r="M511" i="1"/>
  <c r="L511" i="1"/>
  <c r="K511" i="1"/>
  <c r="J511" i="1"/>
  <c r="I511" i="1"/>
  <c r="G511" i="1"/>
  <c r="F511" i="1"/>
  <c r="Q511" i="1" s="1"/>
  <c r="T510" i="1"/>
  <c r="S510" i="1"/>
  <c r="R510" i="1"/>
  <c r="P510" i="1"/>
  <c r="O510" i="1"/>
  <c r="N510" i="1"/>
  <c r="M510" i="1"/>
  <c r="L510" i="1"/>
  <c r="K510" i="1"/>
  <c r="J510" i="1"/>
  <c r="I510" i="1"/>
  <c r="G510" i="1"/>
  <c r="F510" i="1"/>
  <c r="Q510" i="1" s="1"/>
  <c r="T509" i="1"/>
  <c r="S509" i="1"/>
  <c r="R509" i="1"/>
  <c r="P509" i="1"/>
  <c r="O509" i="1"/>
  <c r="N509" i="1"/>
  <c r="M509" i="1"/>
  <c r="L509" i="1"/>
  <c r="K509" i="1"/>
  <c r="J509" i="1"/>
  <c r="I509" i="1"/>
  <c r="G509" i="1"/>
  <c r="F509" i="1"/>
  <c r="Q509" i="1" s="1"/>
  <c r="T508" i="1"/>
  <c r="S508" i="1"/>
  <c r="R508" i="1"/>
  <c r="P508" i="1"/>
  <c r="O508" i="1"/>
  <c r="N508" i="1"/>
  <c r="M508" i="1"/>
  <c r="L508" i="1"/>
  <c r="K508" i="1"/>
  <c r="J508" i="1"/>
  <c r="I508" i="1"/>
  <c r="G508" i="1"/>
  <c r="Q508" i="1"/>
  <c r="T507" i="1"/>
  <c r="S507" i="1"/>
  <c r="R507" i="1"/>
  <c r="P507" i="1"/>
  <c r="O507" i="1"/>
  <c r="N507" i="1"/>
  <c r="M507" i="1"/>
  <c r="L507" i="1"/>
  <c r="K507" i="1"/>
  <c r="J507" i="1"/>
  <c r="I507" i="1"/>
  <c r="G507" i="1"/>
  <c r="F507" i="1"/>
  <c r="Q507" i="1" s="1"/>
  <c r="T506" i="1"/>
  <c r="S506" i="1"/>
  <c r="R506" i="1"/>
  <c r="P506" i="1"/>
  <c r="O506" i="1"/>
  <c r="N506" i="1"/>
  <c r="M506" i="1"/>
  <c r="L506" i="1"/>
  <c r="K506" i="1"/>
  <c r="J506" i="1"/>
  <c r="I506" i="1"/>
  <c r="G506" i="1"/>
  <c r="F506" i="1"/>
  <c r="Q506" i="1" s="1"/>
  <c r="T505" i="1"/>
  <c r="S505" i="1"/>
  <c r="R505" i="1"/>
  <c r="Q505" i="1"/>
  <c r="P505" i="1"/>
  <c r="O505" i="1"/>
  <c r="N505" i="1"/>
  <c r="M505" i="1"/>
  <c r="L505" i="1"/>
  <c r="J505" i="1"/>
  <c r="I505" i="1"/>
  <c r="G505" i="1"/>
  <c r="F505" i="1"/>
  <c r="K505" i="1" s="1"/>
  <c r="T504" i="1"/>
  <c r="S504" i="1"/>
  <c r="R504" i="1"/>
  <c r="Q504" i="1"/>
  <c r="P504" i="1"/>
  <c r="O504" i="1"/>
  <c r="N504" i="1"/>
  <c r="M504" i="1"/>
  <c r="L504" i="1"/>
  <c r="J504" i="1"/>
  <c r="I504" i="1"/>
  <c r="G504" i="1"/>
  <c r="F504" i="1"/>
  <c r="K504" i="1" s="1"/>
  <c r="T503" i="1"/>
  <c r="S503" i="1"/>
  <c r="R503" i="1"/>
  <c r="Q503" i="1"/>
  <c r="P503" i="1"/>
  <c r="O503" i="1"/>
  <c r="N503" i="1"/>
  <c r="M503" i="1"/>
  <c r="L503" i="1"/>
  <c r="J503" i="1"/>
  <c r="I503" i="1"/>
  <c r="G503" i="1"/>
  <c r="F503" i="1"/>
  <c r="K503" i="1" s="1"/>
  <c r="T502" i="1"/>
  <c r="S502" i="1"/>
  <c r="R502" i="1"/>
  <c r="Q502" i="1"/>
  <c r="P502" i="1"/>
  <c r="O502" i="1"/>
  <c r="N502" i="1"/>
  <c r="M502" i="1"/>
  <c r="L502" i="1"/>
  <c r="J502" i="1"/>
  <c r="I502" i="1"/>
  <c r="G502" i="1"/>
  <c r="F502" i="1"/>
  <c r="K502" i="1" s="1"/>
  <c r="T501" i="1"/>
  <c r="S501" i="1"/>
  <c r="R501" i="1"/>
  <c r="Q501" i="1"/>
  <c r="P501" i="1"/>
  <c r="O501" i="1"/>
  <c r="N501" i="1"/>
  <c r="M501" i="1"/>
  <c r="L501" i="1"/>
  <c r="J501" i="1"/>
  <c r="I501" i="1"/>
  <c r="G501" i="1"/>
  <c r="F501" i="1"/>
  <c r="K501" i="1" s="1"/>
  <c r="T500" i="1"/>
  <c r="S500" i="1"/>
  <c r="R500" i="1"/>
  <c r="P500" i="1"/>
  <c r="O500" i="1"/>
  <c r="N500" i="1"/>
  <c r="M500" i="1"/>
  <c r="L500" i="1"/>
  <c r="K500" i="1"/>
  <c r="J500" i="1"/>
  <c r="I500" i="1"/>
  <c r="G500" i="1"/>
  <c r="F500" i="1"/>
  <c r="Q500" i="1" s="1"/>
  <c r="T499" i="1"/>
  <c r="S499" i="1"/>
  <c r="R499" i="1"/>
  <c r="P499" i="1"/>
  <c r="O499" i="1"/>
  <c r="N499" i="1"/>
  <c r="M499" i="1"/>
  <c r="L499" i="1"/>
  <c r="K499" i="1"/>
  <c r="J499" i="1"/>
  <c r="I499" i="1"/>
  <c r="G499" i="1"/>
  <c r="F499" i="1"/>
  <c r="Q499" i="1" s="1"/>
  <c r="T498" i="1"/>
  <c r="S498" i="1"/>
  <c r="R498" i="1"/>
  <c r="Q498" i="1"/>
  <c r="P498" i="1"/>
  <c r="O498" i="1"/>
  <c r="N498" i="1"/>
  <c r="M498" i="1"/>
  <c r="L498" i="1"/>
  <c r="J498" i="1"/>
  <c r="I498" i="1"/>
  <c r="G498" i="1"/>
  <c r="F498" i="1"/>
  <c r="K498" i="1" s="1"/>
  <c r="T497" i="1"/>
  <c r="S497" i="1"/>
  <c r="R497" i="1"/>
  <c r="Q497" i="1"/>
  <c r="P497" i="1"/>
  <c r="O497" i="1"/>
  <c r="N497" i="1"/>
  <c r="M497" i="1"/>
  <c r="L497" i="1"/>
  <c r="J497" i="1"/>
  <c r="I497" i="1"/>
  <c r="G497" i="1"/>
  <c r="F497" i="1"/>
  <c r="K497" i="1" s="1"/>
  <c r="T496" i="1"/>
  <c r="S496" i="1"/>
  <c r="R496" i="1"/>
  <c r="Q496" i="1"/>
  <c r="P496" i="1"/>
  <c r="O496" i="1"/>
  <c r="N496" i="1"/>
  <c r="M496" i="1"/>
  <c r="L496" i="1"/>
  <c r="J496" i="1"/>
  <c r="I496" i="1"/>
  <c r="G496" i="1"/>
  <c r="F496" i="1"/>
  <c r="K496" i="1" s="1"/>
  <c r="T495" i="1"/>
  <c r="S495" i="1"/>
  <c r="R495" i="1"/>
  <c r="Q495" i="1"/>
  <c r="P495" i="1"/>
  <c r="O495" i="1"/>
  <c r="N495" i="1"/>
  <c r="M495" i="1"/>
  <c r="L495" i="1"/>
  <c r="J495" i="1"/>
  <c r="I495" i="1"/>
  <c r="G495" i="1"/>
  <c r="F495" i="1"/>
  <c r="K495" i="1" s="1"/>
  <c r="T494" i="1"/>
  <c r="S494" i="1"/>
  <c r="R494" i="1"/>
  <c r="Q494" i="1"/>
  <c r="P494" i="1"/>
  <c r="O494" i="1"/>
  <c r="N494" i="1"/>
  <c r="M494" i="1"/>
  <c r="L494" i="1"/>
  <c r="K494" i="1"/>
  <c r="J494" i="1"/>
  <c r="I494" i="1"/>
  <c r="G494" i="1"/>
  <c r="F494" i="1"/>
  <c r="T493" i="1"/>
  <c r="S493" i="1"/>
  <c r="R493" i="1"/>
  <c r="P493" i="1"/>
  <c r="O493" i="1"/>
  <c r="N493" i="1"/>
  <c r="M493" i="1"/>
  <c r="L493" i="1"/>
  <c r="K493" i="1"/>
  <c r="J493" i="1"/>
  <c r="I493" i="1"/>
  <c r="G493" i="1"/>
  <c r="F493" i="1"/>
  <c r="Q493" i="1" s="1"/>
  <c r="T492" i="1"/>
  <c r="S492" i="1"/>
  <c r="R492" i="1"/>
  <c r="P492" i="1"/>
  <c r="O492" i="1"/>
  <c r="N492" i="1"/>
  <c r="M492" i="1"/>
  <c r="L492" i="1"/>
  <c r="K492" i="1"/>
  <c r="J492" i="1"/>
  <c r="I492" i="1"/>
  <c r="G492" i="1"/>
  <c r="F492" i="1"/>
  <c r="Q492" i="1" s="1"/>
  <c r="T491" i="1"/>
  <c r="S491" i="1"/>
  <c r="R491" i="1"/>
  <c r="P491" i="1"/>
  <c r="O491" i="1"/>
  <c r="N491" i="1"/>
  <c r="M491" i="1"/>
  <c r="L491" i="1"/>
  <c r="K491" i="1"/>
  <c r="J491" i="1"/>
  <c r="I491" i="1"/>
  <c r="G491" i="1"/>
  <c r="F491" i="1"/>
  <c r="Q491" i="1" s="1"/>
  <c r="T490" i="1"/>
  <c r="S490" i="1"/>
  <c r="R490" i="1"/>
  <c r="Q490" i="1"/>
  <c r="P490" i="1"/>
  <c r="O490" i="1"/>
  <c r="N490" i="1"/>
  <c r="M490" i="1"/>
  <c r="L490" i="1"/>
  <c r="J490" i="1"/>
  <c r="I490" i="1"/>
  <c r="G490" i="1"/>
  <c r="F490" i="1"/>
  <c r="K490" i="1" s="1"/>
  <c r="T489" i="1"/>
  <c r="S489" i="1"/>
  <c r="R489" i="1"/>
  <c r="Q489" i="1"/>
  <c r="P489" i="1"/>
  <c r="O489" i="1"/>
  <c r="N489" i="1"/>
  <c r="M489" i="1"/>
  <c r="L489" i="1"/>
  <c r="J489" i="1"/>
  <c r="I489" i="1"/>
  <c r="G489" i="1"/>
  <c r="F489" i="1"/>
  <c r="K489" i="1" s="1"/>
  <c r="T488" i="1"/>
  <c r="S488" i="1"/>
  <c r="R488" i="1"/>
  <c r="Q488" i="1"/>
  <c r="P488" i="1"/>
  <c r="O488" i="1"/>
  <c r="N488" i="1"/>
  <c r="M488" i="1"/>
  <c r="L488" i="1"/>
  <c r="J488" i="1"/>
  <c r="I488" i="1"/>
  <c r="G488" i="1"/>
  <c r="F488" i="1"/>
  <c r="K488" i="1" s="1"/>
  <c r="T487" i="1"/>
  <c r="S487" i="1"/>
  <c r="R487" i="1"/>
  <c r="Q487" i="1"/>
  <c r="P487" i="1"/>
  <c r="O487" i="1"/>
  <c r="N487" i="1"/>
  <c r="M487" i="1"/>
  <c r="L487" i="1"/>
  <c r="J487" i="1"/>
  <c r="I487" i="1"/>
  <c r="G487" i="1"/>
  <c r="F487" i="1"/>
  <c r="K487" i="1" s="1"/>
  <c r="T486" i="1"/>
  <c r="S486" i="1"/>
  <c r="R486" i="1"/>
  <c r="Q486" i="1"/>
  <c r="P486" i="1"/>
  <c r="O486" i="1"/>
  <c r="N486" i="1"/>
  <c r="M486" i="1"/>
  <c r="L486" i="1"/>
  <c r="K486" i="1"/>
  <c r="J486" i="1"/>
  <c r="I486" i="1"/>
  <c r="G486" i="1"/>
  <c r="F486" i="1"/>
  <c r="T485" i="1"/>
  <c r="S485" i="1"/>
  <c r="Q485" i="1"/>
  <c r="P485" i="1"/>
  <c r="O485" i="1"/>
  <c r="N485" i="1"/>
  <c r="M485" i="1"/>
  <c r="L485" i="1"/>
  <c r="K485" i="1"/>
  <c r="J485" i="1"/>
  <c r="I485" i="1"/>
  <c r="G485" i="1"/>
  <c r="F485" i="1"/>
  <c r="R485" i="1" s="1"/>
  <c r="T484" i="1"/>
  <c r="S484" i="1"/>
  <c r="R484" i="1"/>
  <c r="P484" i="1"/>
  <c r="O484" i="1"/>
  <c r="N484" i="1"/>
  <c r="M484" i="1"/>
  <c r="L484" i="1"/>
  <c r="K484" i="1"/>
  <c r="J484" i="1"/>
  <c r="I484" i="1"/>
  <c r="G484" i="1"/>
  <c r="F484" i="1"/>
  <c r="Q484" i="1" s="1"/>
  <c r="T483" i="1"/>
  <c r="S483" i="1"/>
  <c r="R483" i="1"/>
  <c r="P483" i="1"/>
  <c r="O483" i="1"/>
  <c r="N483" i="1"/>
  <c r="M483" i="1"/>
  <c r="L483" i="1"/>
  <c r="K483" i="1"/>
  <c r="J483" i="1"/>
  <c r="I483" i="1"/>
  <c r="F483" i="1"/>
  <c r="Q483" i="1" s="1"/>
  <c r="T482" i="1"/>
  <c r="S482" i="1"/>
  <c r="R482" i="1"/>
  <c r="P482" i="1"/>
  <c r="O482" i="1"/>
  <c r="N482" i="1"/>
  <c r="M482" i="1"/>
  <c r="L482" i="1"/>
  <c r="K482" i="1"/>
  <c r="J482" i="1"/>
  <c r="I482" i="1"/>
  <c r="F482" i="1"/>
  <c r="Q482" i="1" s="1"/>
  <c r="T481" i="1"/>
  <c r="S481" i="1"/>
  <c r="R481" i="1"/>
  <c r="Q481" i="1"/>
  <c r="P481" i="1"/>
  <c r="O481" i="1"/>
  <c r="N481" i="1"/>
  <c r="M481" i="1"/>
  <c r="L481" i="1"/>
  <c r="J481" i="1"/>
  <c r="I481" i="1"/>
  <c r="G481" i="1"/>
  <c r="F481" i="1"/>
  <c r="K481" i="1" s="1"/>
  <c r="T480" i="1"/>
  <c r="S480" i="1"/>
  <c r="R480" i="1"/>
  <c r="Q480" i="1"/>
  <c r="P480" i="1"/>
  <c r="O480" i="1"/>
  <c r="N480" i="1"/>
  <c r="M480" i="1"/>
  <c r="K480" i="1"/>
  <c r="J480" i="1"/>
  <c r="I480" i="1"/>
  <c r="G480" i="1"/>
  <c r="F480" i="1"/>
  <c r="L480" i="1" s="1"/>
  <c r="T479" i="1"/>
  <c r="S479" i="1"/>
  <c r="R479" i="1"/>
  <c r="Q479" i="1"/>
  <c r="P479" i="1"/>
  <c r="O479" i="1"/>
  <c r="N479" i="1"/>
  <c r="M479" i="1"/>
  <c r="L479" i="1"/>
  <c r="K479" i="1"/>
  <c r="J479" i="1"/>
  <c r="I479" i="1"/>
  <c r="G479" i="1"/>
  <c r="F479" i="1"/>
  <c r="T478" i="1"/>
  <c r="S478" i="1"/>
  <c r="R478" i="1"/>
  <c r="P478" i="1"/>
  <c r="O478" i="1"/>
  <c r="N478" i="1"/>
  <c r="M478" i="1"/>
  <c r="L478" i="1"/>
  <c r="K478" i="1"/>
  <c r="J478" i="1"/>
  <c r="I478" i="1"/>
  <c r="G478" i="1"/>
  <c r="F478" i="1"/>
  <c r="Q478" i="1" s="1"/>
  <c r="T477" i="1"/>
  <c r="S477" i="1"/>
  <c r="R477" i="1"/>
  <c r="Q477" i="1"/>
  <c r="P477" i="1"/>
  <c r="O477" i="1"/>
  <c r="N477" i="1"/>
  <c r="M477" i="1"/>
  <c r="L477" i="1"/>
  <c r="J477" i="1"/>
  <c r="I477" i="1"/>
  <c r="G477" i="1"/>
  <c r="F477" i="1"/>
  <c r="K477" i="1" s="1"/>
  <c r="T476" i="1"/>
  <c r="S476" i="1"/>
  <c r="R476" i="1"/>
  <c r="Q476" i="1"/>
  <c r="P476" i="1"/>
  <c r="O476" i="1"/>
  <c r="N476" i="1"/>
  <c r="M476" i="1"/>
  <c r="L476" i="1"/>
  <c r="J476" i="1"/>
  <c r="I476" i="1"/>
  <c r="G476" i="1"/>
  <c r="F476" i="1"/>
  <c r="K476" i="1" s="1"/>
  <c r="T475" i="1"/>
  <c r="S475" i="1"/>
  <c r="R475" i="1"/>
  <c r="Q475" i="1"/>
  <c r="P475" i="1"/>
  <c r="O475" i="1"/>
  <c r="N475" i="1"/>
  <c r="M475" i="1"/>
  <c r="K475" i="1"/>
  <c r="J475" i="1"/>
  <c r="I475" i="1"/>
  <c r="G475" i="1"/>
  <c r="F475" i="1"/>
  <c r="L475" i="1" s="1"/>
  <c r="T474" i="1"/>
  <c r="S474" i="1"/>
  <c r="R474" i="1"/>
  <c r="P474" i="1"/>
  <c r="O474" i="1"/>
  <c r="N474" i="1"/>
  <c r="M474" i="1"/>
  <c r="L474" i="1"/>
  <c r="K474" i="1"/>
  <c r="J474" i="1"/>
  <c r="I474" i="1"/>
  <c r="G474" i="1"/>
  <c r="F474" i="1"/>
  <c r="Q474" i="1" s="1"/>
  <c r="T473" i="1"/>
  <c r="S473" i="1"/>
  <c r="R473" i="1"/>
  <c r="P473" i="1"/>
  <c r="O473" i="1"/>
  <c r="N473" i="1"/>
  <c r="M473" i="1"/>
  <c r="L473" i="1"/>
  <c r="K473" i="1"/>
  <c r="J473" i="1"/>
  <c r="I473" i="1"/>
  <c r="G473" i="1"/>
  <c r="F473" i="1"/>
  <c r="Q473" i="1" s="1"/>
  <c r="T472" i="1"/>
  <c r="S472" i="1"/>
  <c r="R472" i="1"/>
  <c r="P472" i="1"/>
  <c r="O472" i="1"/>
  <c r="N472" i="1"/>
  <c r="M472" i="1"/>
  <c r="L472" i="1"/>
  <c r="K472" i="1"/>
  <c r="J472" i="1"/>
  <c r="I472" i="1"/>
  <c r="G472" i="1"/>
  <c r="F472" i="1"/>
  <c r="Q472" i="1" s="1"/>
  <c r="T471" i="1"/>
  <c r="S471" i="1"/>
  <c r="R471" i="1"/>
  <c r="Q471" i="1"/>
  <c r="P471" i="1"/>
  <c r="O471" i="1"/>
  <c r="N471" i="1"/>
  <c r="M471" i="1"/>
  <c r="L471" i="1"/>
  <c r="J471" i="1"/>
  <c r="I471" i="1"/>
  <c r="G471" i="1"/>
  <c r="F471" i="1"/>
  <c r="K471" i="1" s="1"/>
  <c r="T470" i="1"/>
  <c r="S470" i="1"/>
  <c r="R470" i="1"/>
  <c r="Q470" i="1"/>
  <c r="P470" i="1"/>
  <c r="O470" i="1"/>
  <c r="N470" i="1"/>
  <c r="M470" i="1"/>
  <c r="L470" i="1"/>
  <c r="J470" i="1"/>
  <c r="I470" i="1"/>
  <c r="G470" i="1"/>
  <c r="F470" i="1"/>
  <c r="K470" i="1" s="1"/>
  <c r="T469" i="1"/>
  <c r="S469" i="1"/>
  <c r="R469" i="1"/>
  <c r="Q469" i="1"/>
  <c r="P469" i="1"/>
  <c r="O469" i="1"/>
  <c r="N469" i="1"/>
  <c r="M469" i="1"/>
  <c r="L469" i="1"/>
  <c r="J469" i="1"/>
  <c r="I469" i="1"/>
  <c r="G469" i="1"/>
  <c r="F469" i="1"/>
  <c r="K469" i="1" s="1"/>
  <c r="T468" i="1"/>
  <c r="S468" i="1"/>
  <c r="R468" i="1"/>
  <c r="Q468" i="1"/>
  <c r="P468" i="1"/>
  <c r="O468" i="1"/>
  <c r="N468" i="1"/>
  <c r="M468" i="1"/>
  <c r="L468" i="1"/>
  <c r="J468" i="1"/>
  <c r="I468" i="1"/>
  <c r="G468" i="1"/>
  <c r="F468" i="1"/>
  <c r="K468" i="1" s="1"/>
  <c r="T467" i="1"/>
  <c r="S467" i="1"/>
  <c r="Q467" i="1"/>
  <c r="P467" i="1"/>
  <c r="O467" i="1"/>
  <c r="N467" i="1"/>
  <c r="M467" i="1"/>
  <c r="L467" i="1"/>
  <c r="K467" i="1"/>
  <c r="J467" i="1"/>
  <c r="I467" i="1"/>
  <c r="G467" i="1"/>
  <c r="F467" i="1"/>
  <c r="R467" i="1" s="1"/>
  <c r="T466" i="1"/>
  <c r="S466" i="1"/>
  <c r="R466" i="1"/>
  <c r="P466" i="1"/>
  <c r="O466" i="1"/>
  <c r="N466" i="1"/>
  <c r="M466" i="1"/>
  <c r="L466" i="1"/>
  <c r="K466" i="1"/>
  <c r="J466" i="1"/>
  <c r="I466" i="1"/>
  <c r="G466" i="1"/>
  <c r="F466" i="1"/>
  <c r="Q466" i="1" s="1"/>
  <c r="T465" i="1"/>
  <c r="S465" i="1"/>
  <c r="R465" i="1"/>
  <c r="P465" i="1"/>
  <c r="O465" i="1"/>
  <c r="N465" i="1"/>
  <c r="M465" i="1"/>
  <c r="L465" i="1"/>
  <c r="K465" i="1"/>
  <c r="J465" i="1"/>
  <c r="I465" i="1"/>
  <c r="F465" i="1"/>
  <c r="Q465" i="1" s="1"/>
  <c r="T464" i="1"/>
  <c r="S464" i="1"/>
  <c r="R464" i="1"/>
  <c r="P464" i="1"/>
  <c r="O464" i="1"/>
  <c r="N464" i="1"/>
  <c r="M464" i="1"/>
  <c r="L464" i="1"/>
  <c r="K464" i="1"/>
  <c r="J464" i="1"/>
  <c r="I464" i="1"/>
  <c r="F464" i="1"/>
  <c r="Q464" i="1" s="1"/>
  <c r="T463" i="1"/>
  <c r="S463" i="1"/>
  <c r="R463" i="1"/>
  <c r="P463" i="1"/>
  <c r="O463" i="1"/>
  <c r="N463" i="1"/>
  <c r="M463" i="1"/>
  <c r="L463" i="1"/>
  <c r="K463" i="1"/>
  <c r="J463" i="1"/>
  <c r="I463" i="1"/>
  <c r="F463" i="1"/>
  <c r="Q463" i="1" s="1"/>
  <c r="T462" i="1"/>
  <c r="S462" i="1"/>
  <c r="R462" i="1"/>
  <c r="Q462" i="1"/>
  <c r="P462" i="1"/>
  <c r="O462" i="1"/>
  <c r="N462" i="1"/>
  <c r="M462" i="1"/>
  <c r="L462" i="1"/>
  <c r="J462" i="1"/>
  <c r="I462" i="1"/>
  <c r="G462" i="1"/>
  <c r="F462" i="1"/>
  <c r="K462" i="1" s="1"/>
  <c r="T461" i="1"/>
  <c r="S461" i="1"/>
  <c r="R461" i="1"/>
  <c r="Q461" i="1"/>
  <c r="P461" i="1"/>
  <c r="O461" i="1"/>
  <c r="N461" i="1"/>
  <c r="M461" i="1"/>
  <c r="L461" i="1"/>
  <c r="J461" i="1"/>
  <c r="I461" i="1"/>
  <c r="G461" i="1"/>
  <c r="F461" i="1"/>
  <c r="K461" i="1" s="1"/>
  <c r="T460" i="1"/>
  <c r="S460" i="1"/>
  <c r="R460" i="1"/>
  <c r="Q460" i="1"/>
  <c r="P460" i="1"/>
  <c r="O460" i="1"/>
  <c r="N460" i="1"/>
  <c r="M460" i="1"/>
  <c r="L460" i="1"/>
  <c r="J460" i="1"/>
  <c r="I460" i="1"/>
  <c r="G460" i="1"/>
  <c r="F460" i="1"/>
  <c r="K460" i="1" s="1"/>
  <c r="T459" i="1"/>
  <c r="S459" i="1"/>
  <c r="R459" i="1"/>
  <c r="P459" i="1"/>
  <c r="O459" i="1"/>
  <c r="N459" i="1"/>
  <c r="M459" i="1"/>
  <c r="L459" i="1"/>
  <c r="K459" i="1"/>
  <c r="J459" i="1"/>
  <c r="I459" i="1"/>
  <c r="G459" i="1"/>
  <c r="F459" i="1"/>
  <c r="Q459" i="1" s="1"/>
  <c r="T458" i="1"/>
  <c r="S458" i="1"/>
  <c r="R458" i="1"/>
  <c r="Q458" i="1"/>
  <c r="P458" i="1"/>
  <c r="O458" i="1"/>
  <c r="N458" i="1"/>
  <c r="M458" i="1"/>
  <c r="L458" i="1"/>
  <c r="J458" i="1"/>
  <c r="I458" i="1"/>
  <c r="G458" i="1"/>
  <c r="F458" i="1"/>
  <c r="K458" i="1" s="1"/>
  <c r="T457" i="1"/>
  <c r="S457" i="1"/>
  <c r="R457" i="1"/>
  <c r="Q457" i="1"/>
  <c r="P457" i="1"/>
  <c r="O457" i="1"/>
  <c r="N457" i="1"/>
  <c r="M457" i="1"/>
  <c r="L457" i="1"/>
  <c r="J457" i="1"/>
  <c r="I457" i="1"/>
  <c r="G457" i="1"/>
  <c r="F457" i="1"/>
  <c r="K457" i="1" s="1"/>
  <c r="T456" i="1"/>
  <c r="S456" i="1"/>
  <c r="R456" i="1"/>
  <c r="Q456" i="1"/>
  <c r="P456" i="1"/>
  <c r="O456" i="1"/>
  <c r="N456" i="1"/>
  <c r="M456" i="1"/>
  <c r="L456" i="1"/>
  <c r="J456" i="1"/>
  <c r="I456" i="1"/>
  <c r="G456" i="1"/>
  <c r="F456" i="1"/>
  <c r="K456" i="1" s="1"/>
  <c r="T455" i="1"/>
  <c r="S455" i="1"/>
  <c r="R455" i="1"/>
  <c r="Q455" i="1"/>
  <c r="P455" i="1"/>
  <c r="O455" i="1"/>
  <c r="N455" i="1"/>
  <c r="M455" i="1"/>
  <c r="L455" i="1"/>
  <c r="K455" i="1"/>
  <c r="J455" i="1"/>
  <c r="I455" i="1"/>
  <c r="G455" i="1"/>
  <c r="F455" i="1"/>
  <c r="T454" i="1"/>
  <c r="S454" i="1"/>
  <c r="R454" i="1"/>
  <c r="P454" i="1"/>
  <c r="O454" i="1"/>
  <c r="N454" i="1"/>
  <c r="M454" i="1"/>
  <c r="L454" i="1"/>
  <c r="K454" i="1"/>
  <c r="J454" i="1"/>
  <c r="I454" i="1"/>
  <c r="G454" i="1"/>
  <c r="F454" i="1"/>
  <c r="Q454" i="1" s="1"/>
  <c r="T453" i="1"/>
  <c r="S453" i="1"/>
  <c r="R453" i="1"/>
  <c r="P453" i="1"/>
  <c r="O453" i="1"/>
  <c r="N453" i="1"/>
  <c r="M453" i="1"/>
  <c r="L453" i="1"/>
  <c r="K453" i="1"/>
  <c r="J453" i="1"/>
  <c r="I453" i="1"/>
  <c r="G453" i="1"/>
  <c r="F453" i="1"/>
  <c r="Q453" i="1" s="1"/>
  <c r="T452" i="1"/>
  <c r="S452" i="1"/>
  <c r="R452" i="1"/>
  <c r="P452" i="1"/>
  <c r="O452" i="1"/>
  <c r="N452" i="1"/>
  <c r="M452" i="1"/>
  <c r="L452" i="1"/>
  <c r="K452" i="1"/>
  <c r="J452" i="1"/>
  <c r="I452" i="1"/>
  <c r="G452" i="1"/>
  <c r="F452" i="1"/>
  <c r="Q452" i="1" s="1"/>
  <c r="T451" i="1"/>
  <c r="S451" i="1"/>
  <c r="R451" i="1"/>
  <c r="P451" i="1"/>
  <c r="O451" i="1"/>
  <c r="N451" i="1"/>
  <c r="M451" i="1"/>
  <c r="L451" i="1"/>
  <c r="K451" i="1"/>
  <c r="J451" i="1"/>
  <c r="I451" i="1"/>
  <c r="G451" i="1"/>
  <c r="F451" i="1"/>
  <c r="Q451" i="1" s="1"/>
  <c r="T450" i="1"/>
  <c r="S450" i="1"/>
  <c r="R450" i="1"/>
  <c r="Q450" i="1"/>
  <c r="P450" i="1"/>
  <c r="O450" i="1"/>
  <c r="N450" i="1"/>
  <c r="M450" i="1"/>
  <c r="L450" i="1"/>
  <c r="J450" i="1"/>
  <c r="I450" i="1"/>
  <c r="G450" i="1"/>
  <c r="F450" i="1"/>
  <c r="K450" i="1" s="1"/>
  <c r="T449" i="1"/>
  <c r="S449" i="1"/>
  <c r="R449" i="1"/>
  <c r="Q449" i="1"/>
  <c r="P449" i="1"/>
  <c r="O449" i="1"/>
  <c r="N449" i="1"/>
  <c r="M449" i="1"/>
  <c r="L449" i="1"/>
  <c r="J449" i="1"/>
  <c r="I449" i="1"/>
  <c r="G449" i="1"/>
  <c r="F449" i="1"/>
  <c r="K449" i="1" s="1"/>
  <c r="T448" i="1"/>
  <c r="S448" i="1"/>
  <c r="R448" i="1"/>
  <c r="Q448" i="1"/>
  <c r="P448" i="1"/>
  <c r="O448" i="1"/>
  <c r="N448" i="1"/>
  <c r="M448" i="1"/>
  <c r="L448" i="1"/>
  <c r="J448" i="1"/>
  <c r="I448" i="1"/>
  <c r="G448" i="1"/>
  <c r="F448" i="1"/>
  <c r="K448" i="1" s="1"/>
  <c r="T447" i="1"/>
  <c r="S447" i="1"/>
  <c r="R447" i="1"/>
  <c r="Q447" i="1"/>
  <c r="P447" i="1"/>
  <c r="O447" i="1"/>
  <c r="N447" i="1"/>
  <c r="M447" i="1"/>
  <c r="L447" i="1"/>
  <c r="J447" i="1"/>
  <c r="I447" i="1"/>
  <c r="G447" i="1"/>
  <c r="F447" i="1"/>
  <c r="K447" i="1" s="1"/>
  <c r="T446" i="1"/>
  <c r="S446" i="1"/>
  <c r="R446" i="1"/>
  <c r="P446" i="1"/>
  <c r="O446" i="1"/>
  <c r="N446" i="1"/>
  <c r="M446" i="1"/>
  <c r="L446" i="1"/>
  <c r="K446" i="1"/>
  <c r="J446" i="1"/>
  <c r="I446" i="1"/>
  <c r="G446" i="1"/>
  <c r="F446" i="1"/>
  <c r="Q446" i="1" s="1"/>
  <c r="T445" i="1"/>
  <c r="S445" i="1"/>
  <c r="R445" i="1"/>
  <c r="Q445" i="1"/>
  <c r="P445" i="1"/>
  <c r="O445" i="1"/>
  <c r="N445" i="1"/>
  <c r="M445" i="1"/>
  <c r="L445" i="1"/>
  <c r="J445" i="1"/>
  <c r="I445" i="1"/>
  <c r="G445" i="1"/>
  <c r="F445" i="1"/>
  <c r="K445" i="1" s="1"/>
  <c r="T444" i="1"/>
  <c r="S444" i="1"/>
  <c r="R444" i="1"/>
  <c r="Q444" i="1"/>
  <c r="P444" i="1"/>
  <c r="O444" i="1"/>
  <c r="N444" i="1"/>
  <c r="M444" i="1"/>
  <c r="L444" i="1"/>
  <c r="J444" i="1"/>
  <c r="I444" i="1"/>
  <c r="G444" i="1"/>
  <c r="F444" i="1"/>
  <c r="K444" i="1" s="1"/>
  <c r="T443" i="1"/>
  <c r="S443" i="1"/>
  <c r="R443" i="1"/>
  <c r="Q443" i="1"/>
  <c r="P443" i="1"/>
  <c r="O443" i="1"/>
  <c r="N443" i="1"/>
  <c r="M443" i="1"/>
  <c r="L443" i="1"/>
  <c r="J443" i="1"/>
  <c r="I443" i="1"/>
  <c r="G443" i="1"/>
  <c r="F443" i="1"/>
  <c r="K443" i="1" s="1"/>
  <c r="T442" i="1"/>
  <c r="S442" i="1"/>
  <c r="R442" i="1"/>
  <c r="Q442" i="1"/>
  <c r="P442" i="1"/>
  <c r="O442" i="1"/>
  <c r="N442" i="1"/>
  <c r="M442" i="1"/>
  <c r="L442" i="1"/>
  <c r="K442" i="1"/>
  <c r="J442" i="1"/>
  <c r="I442" i="1"/>
  <c r="G442" i="1"/>
  <c r="F442" i="1"/>
  <c r="T441" i="1"/>
  <c r="S441" i="1"/>
  <c r="R441" i="1"/>
  <c r="Q441" i="1"/>
  <c r="P441" i="1"/>
  <c r="O441" i="1"/>
  <c r="N441" i="1"/>
  <c r="M441" i="1"/>
  <c r="L441" i="1"/>
  <c r="K441" i="1"/>
  <c r="J441" i="1"/>
  <c r="I441" i="1"/>
  <c r="G441" i="1"/>
  <c r="F441" i="1"/>
  <c r="T440" i="1"/>
  <c r="S440" i="1"/>
  <c r="R440" i="1"/>
  <c r="P440" i="1"/>
  <c r="O440" i="1"/>
  <c r="N440" i="1"/>
  <c r="M440" i="1"/>
  <c r="L440" i="1"/>
  <c r="K440" i="1"/>
  <c r="J440" i="1"/>
  <c r="I440" i="1"/>
  <c r="G440" i="1"/>
  <c r="F440" i="1"/>
  <c r="Q440" i="1" s="1"/>
  <c r="T439" i="1"/>
  <c r="S439" i="1"/>
  <c r="R439" i="1"/>
  <c r="P439" i="1"/>
  <c r="O439" i="1"/>
  <c r="N439" i="1"/>
  <c r="M439" i="1"/>
  <c r="L439" i="1"/>
  <c r="K439" i="1"/>
  <c r="J439" i="1"/>
  <c r="I439" i="1"/>
  <c r="G439" i="1"/>
  <c r="F439" i="1"/>
  <c r="Q439" i="1" s="1"/>
  <c r="T438" i="1"/>
  <c r="S438" i="1"/>
  <c r="R438" i="1"/>
  <c r="P438" i="1"/>
  <c r="O438" i="1"/>
  <c r="N438" i="1"/>
  <c r="M438" i="1"/>
  <c r="L438" i="1"/>
  <c r="K438" i="1"/>
  <c r="J438" i="1"/>
  <c r="I438" i="1"/>
  <c r="G438" i="1"/>
  <c r="F438" i="1"/>
  <c r="Q438" i="1" s="1"/>
  <c r="T437" i="1"/>
  <c r="S437" i="1"/>
  <c r="R437" i="1"/>
  <c r="Q437" i="1"/>
  <c r="P437" i="1"/>
  <c r="O437" i="1"/>
  <c r="N437" i="1"/>
  <c r="M437" i="1"/>
  <c r="L437" i="1"/>
  <c r="J437" i="1"/>
  <c r="I437" i="1"/>
  <c r="G437" i="1"/>
  <c r="F437" i="1"/>
  <c r="K437" i="1" s="1"/>
  <c r="T436" i="1"/>
  <c r="S436" i="1"/>
  <c r="R436" i="1"/>
  <c r="Q436" i="1"/>
  <c r="P436" i="1"/>
  <c r="O436" i="1"/>
  <c r="N436" i="1"/>
  <c r="M436" i="1"/>
  <c r="L436" i="1"/>
  <c r="J436" i="1"/>
  <c r="I436" i="1"/>
  <c r="G436" i="1"/>
  <c r="F436" i="1"/>
  <c r="K436" i="1" s="1"/>
  <c r="T435" i="1"/>
  <c r="S435" i="1"/>
  <c r="R435" i="1"/>
  <c r="Q435" i="1"/>
  <c r="P435" i="1"/>
  <c r="O435" i="1"/>
  <c r="N435" i="1"/>
  <c r="M435" i="1"/>
  <c r="L435" i="1"/>
  <c r="J435" i="1"/>
  <c r="I435" i="1"/>
  <c r="G435" i="1"/>
  <c r="F435" i="1"/>
  <c r="K435" i="1" s="1"/>
  <c r="T434" i="1"/>
  <c r="S434" i="1"/>
  <c r="R434" i="1"/>
  <c r="P434" i="1"/>
  <c r="O434" i="1"/>
  <c r="N434" i="1"/>
  <c r="M434" i="1"/>
  <c r="L434" i="1"/>
  <c r="K434" i="1"/>
  <c r="J434" i="1"/>
  <c r="I434" i="1"/>
  <c r="G434" i="1"/>
  <c r="F434" i="1"/>
  <c r="Q434" i="1" s="1"/>
  <c r="T433" i="1"/>
  <c r="S433" i="1"/>
  <c r="R433" i="1"/>
  <c r="Q433" i="1"/>
  <c r="P433" i="1"/>
  <c r="O433" i="1"/>
  <c r="N433" i="1"/>
  <c r="M433" i="1"/>
  <c r="L433" i="1"/>
  <c r="J433" i="1"/>
  <c r="I433" i="1"/>
  <c r="G433" i="1"/>
  <c r="F433" i="1"/>
  <c r="K433" i="1" s="1"/>
  <c r="T432" i="1"/>
  <c r="S432" i="1"/>
  <c r="R432" i="1"/>
  <c r="P432" i="1"/>
  <c r="O432" i="1"/>
  <c r="N432" i="1"/>
  <c r="M432" i="1"/>
  <c r="L432" i="1"/>
  <c r="K432" i="1"/>
  <c r="J432" i="1"/>
  <c r="I432" i="1"/>
  <c r="G432" i="1"/>
  <c r="F432" i="1"/>
  <c r="Q432" i="1" s="1"/>
  <c r="T431" i="1"/>
  <c r="S431" i="1"/>
  <c r="R431" i="1"/>
  <c r="P431" i="1"/>
  <c r="O431" i="1"/>
  <c r="N431" i="1"/>
  <c r="M431" i="1"/>
  <c r="L431" i="1"/>
  <c r="K431" i="1"/>
  <c r="J431" i="1"/>
  <c r="I431" i="1"/>
  <c r="G431" i="1"/>
  <c r="F431" i="1"/>
  <c r="Q431" i="1" s="1"/>
  <c r="T430" i="1"/>
  <c r="S430" i="1"/>
  <c r="R430" i="1"/>
  <c r="Q430" i="1"/>
  <c r="P430" i="1"/>
  <c r="O430" i="1"/>
  <c r="N430" i="1"/>
  <c r="M430" i="1"/>
  <c r="L430" i="1"/>
  <c r="J430" i="1"/>
  <c r="I430" i="1"/>
  <c r="G430" i="1"/>
  <c r="F430" i="1"/>
  <c r="K430" i="1" s="1"/>
  <c r="T429" i="1"/>
  <c r="S429" i="1"/>
  <c r="R429" i="1"/>
  <c r="Q429" i="1"/>
  <c r="P429" i="1"/>
  <c r="O429" i="1"/>
  <c r="N429" i="1"/>
  <c r="M429" i="1"/>
  <c r="L429" i="1"/>
  <c r="K429" i="1"/>
  <c r="J429" i="1"/>
  <c r="I429" i="1"/>
  <c r="G429" i="1"/>
  <c r="F429" i="1"/>
  <c r="T428" i="1"/>
  <c r="S428" i="1"/>
  <c r="R428" i="1"/>
  <c r="P428" i="1"/>
  <c r="O428" i="1"/>
  <c r="N428" i="1"/>
  <c r="M428" i="1"/>
  <c r="L428" i="1"/>
  <c r="K428" i="1"/>
  <c r="J428" i="1"/>
  <c r="I428" i="1"/>
  <c r="G428" i="1"/>
  <c r="F428" i="1"/>
  <c r="Q428" i="1" s="1"/>
  <c r="T427" i="1"/>
  <c r="S427" i="1"/>
  <c r="R427" i="1"/>
  <c r="Q427" i="1"/>
  <c r="P427" i="1"/>
  <c r="O427" i="1"/>
  <c r="N427" i="1"/>
  <c r="M427" i="1"/>
  <c r="L427" i="1"/>
  <c r="J427" i="1"/>
  <c r="I427" i="1"/>
  <c r="G427" i="1"/>
  <c r="F427" i="1"/>
  <c r="K427" i="1" s="1"/>
  <c r="M204" i="2" l="1"/>
  <c r="L468" i="3" l="1"/>
  <c r="M468" i="3" s="1"/>
  <c r="G468" i="3"/>
  <c r="L467" i="3"/>
  <c r="M467" i="3" s="1"/>
  <c r="G467" i="3"/>
  <c r="L466" i="3"/>
  <c r="M466" i="3" s="1"/>
  <c r="G466" i="3"/>
  <c r="L465" i="3"/>
  <c r="M465" i="3" s="1"/>
  <c r="G465" i="3"/>
  <c r="L464" i="3"/>
  <c r="M464" i="3" s="1"/>
  <c r="F464" i="3"/>
  <c r="G464" i="3" s="1"/>
  <c r="L463" i="3"/>
  <c r="M463" i="3" s="1"/>
  <c r="G463" i="3"/>
  <c r="L462" i="3"/>
  <c r="M462" i="3" s="1"/>
  <c r="G462" i="3"/>
  <c r="L461" i="3"/>
  <c r="M461" i="3" s="1"/>
  <c r="G461" i="3"/>
  <c r="L460" i="3"/>
  <c r="M460" i="3" s="1"/>
  <c r="G460" i="3"/>
  <c r="L459" i="3"/>
  <c r="M459" i="3" s="1"/>
  <c r="G459" i="3"/>
  <c r="L458" i="3"/>
  <c r="M458" i="3" s="1"/>
  <c r="G458" i="3"/>
  <c r="L457" i="3"/>
  <c r="M457" i="3" s="1"/>
  <c r="G457" i="3"/>
  <c r="L456" i="3"/>
  <c r="M456" i="3" s="1"/>
  <c r="G456" i="3"/>
  <c r="L455" i="3"/>
  <c r="M455" i="3" s="1"/>
  <c r="G455" i="3"/>
  <c r="L454" i="3"/>
  <c r="M454" i="3" s="1"/>
  <c r="G454" i="3"/>
  <c r="L453" i="3"/>
  <c r="M453" i="3" s="1"/>
  <c r="G453" i="3"/>
  <c r="L452" i="3"/>
  <c r="M452" i="3" s="1"/>
  <c r="G452" i="3"/>
  <c r="L451" i="3"/>
  <c r="M451" i="3" s="1"/>
  <c r="G451" i="3"/>
  <c r="L450" i="3"/>
  <c r="M450" i="3" s="1"/>
  <c r="G450" i="3"/>
  <c r="L449" i="3"/>
  <c r="M449" i="3" s="1"/>
  <c r="G449" i="3"/>
  <c r="L448" i="3"/>
  <c r="M448" i="3" s="1"/>
  <c r="G448" i="3"/>
  <c r="L447" i="3"/>
  <c r="M447" i="3" s="1"/>
  <c r="F447" i="3"/>
  <c r="G447" i="3" s="1"/>
  <c r="L446" i="3"/>
  <c r="M446" i="3" s="1"/>
  <c r="G446" i="3"/>
  <c r="L445" i="3"/>
  <c r="M445" i="3" s="1"/>
  <c r="F445" i="3"/>
  <c r="G445" i="3" s="1"/>
  <c r="L444" i="3"/>
  <c r="M444" i="3" s="1"/>
  <c r="G444" i="3"/>
  <c r="L443" i="3"/>
  <c r="M443" i="3" s="1"/>
  <c r="G443" i="3"/>
  <c r="L442" i="3"/>
  <c r="M442" i="3" s="1"/>
  <c r="G442" i="3"/>
  <c r="L441" i="3"/>
  <c r="M441" i="3" s="1"/>
  <c r="G441" i="3"/>
  <c r="L440" i="3"/>
  <c r="M440" i="3" s="1"/>
  <c r="G440" i="3"/>
  <c r="L439" i="3"/>
  <c r="M439" i="3" s="1"/>
  <c r="G439" i="3"/>
  <c r="L438" i="3"/>
  <c r="M438" i="3" s="1"/>
  <c r="F438" i="3"/>
  <c r="G438" i="3" s="1"/>
  <c r="L437" i="3"/>
  <c r="M437" i="3" s="1"/>
  <c r="G437" i="3"/>
  <c r="L436" i="3"/>
  <c r="M436" i="3" s="1"/>
  <c r="F436" i="3"/>
  <c r="G436" i="3" s="1"/>
  <c r="L435" i="3"/>
  <c r="M435" i="3" s="1"/>
  <c r="F435" i="3"/>
  <c r="G435" i="3" s="1"/>
  <c r="L434" i="3"/>
  <c r="M434" i="3" s="1"/>
  <c r="G434" i="3"/>
  <c r="L433" i="3"/>
  <c r="M433" i="3" s="1"/>
  <c r="G433" i="3"/>
  <c r="L432" i="3"/>
  <c r="M432" i="3" s="1"/>
  <c r="G432" i="3"/>
  <c r="L431" i="3"/>
  <c r="M431" i="3" s="1"/>
  <c r="F431" i="3"/>
  <c r="G431" i="3" s="1"/>
  <c r="L430" i="3"/>
  <c r="M430" i="3" s="1"/>
  <c r="G430" i="3"/>
  <c r="L429" i="3"/>
  <c r="M429" i="3" s="1"/>
  <c r="G429" i="3"/>
  <c r="L428" i="3"/>
  <c r="M428" i="3" s="1"/>
  <c r="F428" i="3"/>
  <c r="G428" i="3" s="1"/>
  <c r="L427" i="3"/>
  <c r="M427" i="3" s="1"/>
  <c r="G427" i="3"/>
  <c r="L426" i="3"/>
  <c r="M426" i="3" s="1"/>
  <c r="G426" i="3"/>
  <c r="L425" i="3"/>
  <c r="M425" i="3" s="1"/>
  <c r="F425" i="3"/>
  <c r="G425" i="3" s="1"/>
  <c r="L424" i="3"/>
  <c r="M424" i="3" s="1"/>
  <c r="G424" i="3"/>
  <c r="L423" i="3"/>
  <c r="M423" i="3" s="1"/>
  <c r="F423" i="3"/>
  <c r="G423" i="3" s="1"/>
  <c r="L422" i="3"/>
  <c r="M422" i="3" s="1"/>
  <c r="G422" i="3"/>
  <c r="L421" i="3"/>
  <c r="M421" i="3" s="1"/>
  <c r="G421" i="3"/>
  <c r="L420" i="3"/>
  <c r="M420" i="3" s="1"/>
  <c r="F420" i="3"/>
  <c r="G420" i="3" s="1"/>
  <c r="L419" i="3"/>
  <c r="M419" i="3" s="1"/>
  <c r="F419" i="3"/>
  <c r="G419" i="3" s="1"/>
  <c r="L418" i="3"/>
  <c r="M418" i="3" s="1"/>
  <c r="F418" i="3"/>
  <c r="G418" i="3" s="1"/>
  <c r="L417" i="3"/>
  <c r="M417" i="3" s="1"/>
  <c r="G417" i="3"/>
  <c r="L416" i="3"/>
  <c r="M416" i="3" s="1"/>
  <c r="G416" i="3"/>
  <c r="L415" i="3"/>
  <c r="M415" i="3" s="1"/>
  <c r="F415" i="3"/>
  <c r="G415" i="3" s="1"/>
  <c r="L414" i="3"/>
  <c r="M414" i="3" s="1"/>
  <c r="G414" i="3"/>
  <c r="L413" i="3"/>
  <c r="M413" i="3" s="1"/>
  <c r="F413" i="3"/>
  <c r="G413" i="3" s="1"/>
  <c r="L412" i="3"/>
  <c r="M412" i="3" s="1"/>
  <c r="F412" i="3"/>
  <c r="G412" i="3" s="1"/>
  <c r="L411" i="3"/>
  <c r="M411" i="3" s="1"/>
  <c r="G411" i="3"/>
  <c r="L410" i="3"/>
  <c r="M410" i="3" s="1"/>
  <c r="F410" i="3"/>
  <c r="G410" i="3" s="1"/>
  <c r="L409" i="3"/>
  <c r="M409" i="3" s="1"/>
  <c r="G409" i="3"/>
  <c r="L408" i="3"/>
  <c r="M408" i="3" s="1"/>
  <c r="G408" i="3"/>
  <c r="L407" i="3"/>
  <c r="M407" i="3" s="1"/>
  <c r="G407" i="3"/>
  <c r="L406" i="3"/>
  <c r="M406" i="3" s="1"/>
  <c r="G406" i="3"/>
  <c r="L405" i="3"/>
  <c r="M405" i="3" s="1"/>
  <c r="G405" i="3"/>
  <c r="L404" i="3"/>
  <c r="M404" i="3" s="1"/>
  <c r="G404" i="3"/>
  <c r="L403" i="3"/>
  <c r="M403" i="3" s="1"/>
  <c r="F403" i="3"/>
  <c r="G403" i="3" s="1"/>
  <c r="L402" i="3"/>
  <c r="M402" i="3" s="1"/>
  <c r="G402" i="3"/>
  <c r="L401" i="3"/>
  <c r="M401" i="3" s="1"/>
  <c r="F401" i="3"/>
  <c r="G401" i="3" s="1"/>
  <c r="L400" i="3"/>
  <c r="M400" i="3" s="1"/>
  <c r="G400" i="3"/>
  <c r="L399" i="3"/>
  <c r="M399" i="3" s="1"/>
  <c r="G399" i="3"/>
  <c r="L398" i="3"/>
  <c r="M398" i="3" s="1"/>
  <c r="G398" i="3"/>
  <c r="L397" i="3"/>
  <c r="M397" i="3" s="1"/>
  <c r="F397" i="3"/>
  <c r="G397" i="3" s="1"/>
  <c r="L396" i="3"/>
  <c r="M396" i="3" s="1"/>
  <c r="G396" i="3"/>
  <c r="L395" i="3"/>
  <c r="M395" i="3" s="1"/>
  <c r="F395" i="3"/>
  <c r="G395" i="3" s="1"/>
  <c r="L394" i="3"/>
  <c r="M394" i="3" s="1"/>
  <c r="F394" i="3"/>
  <c r="G394" i="3" s="1"/>
  <c r="L393" i="3"/>
  <c r="M393" i="3" s="1"/>
  <c r="G393" i="3"/>
  <c r="L392" i="3"/>
  <c r="M392" i="3" s="1"/>
  <c r="F392" i="3"/>
  <c r="G392" i="3" s="1"/>
  <c r="L391" i="3"/>
  <c r="M391" i="3" s="1"/>
  <c r="F391" i="3"/>
  <c r="G391" i="3" s="1"/>
  <c r="L390" i="3"/>
  <c r="M390" i="3" s="1"/>
  <c r="F390" i="3"/>
  <c r="G390" i="3" s="1"/>
  <c r="L389" i="3"/>
  <c r="M389" i="3" s="1"/>
  <c r="G389" i="3"/>
  <c r="L388" i="3"/>
  <c r="M388" i="3" s="1"/>
  <c r="G388" i="3"/>
  <c r="L387" i="3"/>
  <c r="M387" i="3" s="1"/>
  <c r="G387" i="3"/>
  <c r="L386" i="3"/>
  <c r="M386" i="3" s="1"/>
  <c r="F386" i="3"/>
  <c r="G386" i="3" s="1"/>
  <c r="L385" i="3"/>
  <c r="M385" i="3" s="1"/>
  <c r="G385" i="3"/>
  <c r="L384" i="3"/>
  <c r="M384" i="3" s="1"/>
  <c r="G384" i="3"/>
  <c r="L383" i="3"/>
  <c r="M383" i="3" s="1"/>
  <c r="G383" i="3"/>
  <c r="L382" i="3"/>
  <c r="M382" i="3" s="1"/>
  <c r="G382" i="3"/>
  <c r="L381" i="3"/>
  <c r="M381" i="3" s="1"/>
  <c r="F381" i="3"/>
  <c r="G381" i="3" s="1"/>
  <c r="L380" i="3"/>
  <c r="M380" i="3" s="1"/>
  <c r="F380" i="3"/>
  <c r="G380" i="3" s="1"/>
  <c r="L379" i="3"/>
  <c r="M379" i="3" s="1"/>
  <c r="F379" i="3"/>
  <c r="G379" i="3" s="1"/>
  <c r="L378" i="3"/>
  <c r="M378" i="3" s="1"/>
  <c r="G378" i="3"/>
  <c r="L377" i="3"/>
  <c r="M377" i="3" s="1"/>
  <c r="F377" i="3"/>
  <c r="G377" i="3" s="1"/>
  <c r="L376" i="3"/>
  <c r="M376" i="3" s="1"/>
  <c r="G376" i="3"/>
  <c r="L375" i="3"/>
  <c r="M375" i="3" s="1"/>
  <c r="F375" i="3"/>
  <c r="G375" i="3" s="1"/>
  <c r="L374" i="3"/>
  <c r="M374" i="3" s="1"/>
  <c r="F374" i="3"/>
  <c r="G374" i="3" s="1"/>
  <c r="L373" i="3"/>
  <c r="M373" i="3" s="1"/>
  <c r="G373" i="3"/>
  <c r="L372" i="3"/>
  <c r="M372" i="3" s="1"/>
  <c r="F372" i="3"/>
  <c r="G372" i="3" s="1"/>
  <c r="L371" i="3"/>
  <c r="M371" i="3" s="1"/>
  <c r="F371" i="3"/>
  <c r="G371" i="3" s="1"/>
  <c r="L370" i="3"/>
  <c r="M370" i="3" s="1"/>
  <c r="F370" i="3"/>
  <c r="G370" i="3" s="1"/>
  <c r="L369" i="3"/>
  <c r="M369" i="3" s="1"/>
  <c r="G369" i="3"/>
  <c r="L368" i="3"/>
  <c r="M368" i="3" s="1"/>
  <c r="G368" i="3"/>
  <c r="L367" i="3"/>
  <c r="M367" i="3" s="1"/>
  <c r="F367" i="3"/>
  <c r="G367" i="3" s="1"/>
  <c r="L366" i="3"/>
  <c r="M366" i="3" s="1"/>
  <c r="G366" i="3"/>
  <c r="L365" i="3"/>
  <c r="M365" i="3" s="1"/>
  <c r="G365" i="3"/>
  <c r="L364" i="3"/>
  <c r="M364" i="3" s="1"/>
  <c r="G364" i="3"/>
  <c r="L363" i="3"/>
  <c r="M363" i="3" s="1"/>
  <c r="G363" i="3"/>
  <c r="L362" i="3"/>
  <c r="M362" i="3" s="1"/>
  <c r="F362" i="3"/>
  <c r="G362" i="3" s="1"/>
  <c r="L361" i="3"/>
  <c r="M361" i="3" s="1"/>
  <c r="G361" i="3"/>
  <c r="L360" i="3"/>
  <c r="M360" i="3" s="1"/>
  <c r="G360" i="3"/>
  <c r="L359" i="3"/>
  <c r="M359" i="3" s="1"/>
  <c r="F359" i="3"/>
  <c r="G359" i="3" s="1"/>
  <c r="L358" i="3"/>
  <c r="M358" i="3" s="1"/>
  <c r="G358" i="3"/>
  <c r="L357" i="3"/>
  <c r="M357" i="3" s="1"/>
  <c r="F357" i="3"/>
  <c r="G357" i="3" s="1"/>
  <c r="L356" i="3"/>
  <c r="M356" i="3" s="1"/>
  <c r="G356" i="3"/>
  <c r="L355" i="3"/>
  <c r="M355" i="3" s="1"/>
  <c r="G355" i="3"/>
  <c r="L354" i="3"/>
  <c r="M354" i="3" s="1"/>
  <c r="F354" i="3"/>
  <c r="G354" i="3" s="1"/>
  <c r="L353" i="3"/>
  <c r="M353" i="3" s="1"/>
  <c r="F353" i="3"/>
  <c r="G353" i="3" s="1"/>
  <c r="L352" i="3"/>
  <c r="M352" i="3" s="1"/>
  <c r="F352" i="3"/>
  <c r="G352" i="3" s="1"/>
  <c r="L351" i="3"/>
  <c r="M351" i="3" s="1"/>
  <c r="F351" i="3"/>
  <c r="G351" i="3" s="1"/>
  <c r="L350" i="3"/>
  <c r="M350" i="3" s="1"/>
  <c r="F350" i="3"/>
  <c r="G350" i="3" s="1"/>
  <c r="L349" i="3"/>
  <c r="M349" i="3" s="1"/>
  <c r="F349" i="3"/>
  <c r="G349" i="3" s="1"/>
  <c r="L348" i="3"/>
  <c r="M348" i="3" s="1"/>
  <c r="G348" i="3"/>
  <c r="L347" i="3"/>
  <c r="M347" i="3" s="1"/>
  <c r="F347" i="3"/>
  <c r="G347" i="3" s="1"/>
  <c r="L346" i="3"/>
  <c r="M346" i="3" s="1"/>
  <c r="F346" i="3"/>
  <c r="G346" i="3" s="1"/>
  <c r="L345" i="3"/>
  <c r="M345" i="3" s="1"/>
  <c r="F345" i="3"/>
  <c r="G345" i="3" s="1"/>
  <c r="L344" i="3"/>
  <c r="M344" i="3" s="1"/>
  <c r="G344" i="3"/>
  <c r="L343" i="3"/>
  <c r="M343" i="3" s="1"/>
  <c r="F343" i="3"/>
  <c r="G343" i="3" s="1"/>
  <c r="L342" i="3"/>
  <c r="M342" i="3" s="1"/>
  <c r="F342" i="3"/>
  <c r="G342" i="3" s="1"/>
  <c r="L341" i="3"/>
  <c r="M341" i="3" s="1"/>
  <c r="F341" i="3"/>
  <c r="G341" i="3" s="1"/>
  <c r="L340" i="3"/>
  <c r="M340" i="3" s="1"/>
  <c r="F340" i="3"/>
  <c r="G340" i="3" s="1"/>
  <c r="L339" i="3"/>
  <c r="M339" i="3" s="1"/>
  <c r="G339" i="3"/>
  <c r="L338" i="3"/>
  <c r="M338" i="3" s="1"/>
  <c r="F338" i="3"/>
  <c r="G338" i="3" s="1"/>
  <c r="L337" i="3"/>
  <c r="M337" i="3" s="1"/>
  <c r="F337" i="3"/>
  <c r="G337" i="3" s="1"/>
  <c r="L336" i="3"/>
  <c r="M336" i="3" s="1"/>
  <c r="G336" i="3"/>
  <c r="L335" i="3"/>
  <c r="M335" i="3" s="1"/>
  <c r="G335" i="3"/>
  <c r="L334" i="3"/>
  <c r="M334" i="3" s="1"/>
  <c r="F334" i="3"/>
  <c r="G334" i="3" s="1"/>
  <c r="L333" i="3"/>
  <c r="M333" i="3" s="1"/>
  <c r="G333" i="3"/>
  <c r="L332" i="3"/>
  <c r="M332" i="3" s="1"/>
  <c r="F332" i="3"/>
  <c r="G332" i="3" s="1"/>
  <c r="L331" i="3"/>
  <c r="M331" i="3" s="1"/>
  <c r="F331" i="3"/>
  <c r="G331" i="3" s="1"/>
  <c r="L330" i="3"/>
  <c r="M330" i="3" s="1"/>
  <c r="F330" i="3"/>
  <c r="G330" i="3" s="1"/>
  <c r="L329" i="3"/>
  <c r="M329" i="3" s="1"/>
  <c r="F329" i="3"/>
  <c r="G329" i="3" s="1"/>
  <c r="L328" i="3"/>
  <c r="M328" i="3" s="1"/>
  <c r="G328" i="3"/>
  <c r="L327" i="3"/>
  <c r="M327" i="3" s="1"/>
  <c r="G327" i="3"/>
  <c r="L326" i="3"/>
  <c r="M326" i="3" s="1"/>
  <c r="G326" i="3"/>
  <c r="L325" i="3"/>
  <c r="M325" i="3" s="1"/>
  <c r="G325" i="3"/>
  <c r="L324" i="3"/>
  <c r="M324" i="3" s="1"/>
  <c r="G324" i="3"/>
  <c r="L323" i="3"/>
  <c r="M323" i="3" s="1"/>
  <c r="F323" i="3"/>
  <c r="G323" i="3" s="1"/>
  <c r="L322" i="3"/>
  <c r="M322" i="3" s="1"/>
  <c r="G322" i="3"/>
  <c r="L321" i="3"/>
  <c r="M321" i="3" s="1"/>
  <c r="G321" i="3"/>
  <c r="L320" i="3"/>
  <c r="M320" i="3" s="1"/>
  <c r="G320" i="3"/>
  <c r="L319" i="3"/>
  <c r="M319" i="3" s="1"/>
  <c r="F319" i="3"/>
  <c r="G319" i="3" s="1"/>
  <c r="L318" i="3"/>
  <c r="M318" i="3" s="1"/>
  <c r="F318" i="3"/>
  <c r="G318" i="3" s="1"/>
  <c r="L317" i="3"/>
  <c r="M317" i="3" s="1"/>
  <c r="F317" i="3"/>
  <c r="G317" i="3" s="1"/>
  <c r="L316" i="3"/>
  <c r="M316" i="3" s="1"/>
  <c r="F316" i="3"/>
  <c r="G316" i="3" s="1"/>
  <c r="L315" i="3"/>
  <c r="M315" i="3" s="1"/>
  <c r="G315" i="3"/>
  <c r="L314" i="3"/>
  <c r="M314" i="3" s="1"/>
  <c r="G314" i="3"/>
  <c r="L313" i="3"/>
  <c r="M313" i="3" s="1"/>
  <c r="G313" i="3"/>
  <c r="L312" i="3"/>
  <c r="M312" i="3" s="1"/>
  <c r="G312" i="3"/>
  <c r="L311" i="3"/>
  <c r="M311" i="3" s="1"/>
  <c r="F311" i="3"/>
  <c r="G311" i="3" s="1"/>
  <c r="L310" i="3"/>
  <c r="M310" i="3" s="1"/>
  <c r="G310" i="3"/>
  <c r="L309" i="3"/>
  <c r="M309" i="3" s="1"/>
  <c r="F309" i="3"/>
  <c r="G309" i="3" s="1"/>
  <c r="L308" i="3"/>
  <c r="M308" i="3" s="1"/>
  <c r="F308" i="3"/>
  <c r="G308" i="3" s="1"/>
  <c r="L307" i="3"/>
  <c r="M307" i="3" s="1"/>
  <c r="F307" i="3"/>
  <c r="G307" i="3" s="1"/>
  <c r="L306" i="3"/>
  <c r="M306" i="3" s="1"/>
  <c r="F306" i="3"/>
  <c r="G306" i="3" s="1"/>
  <c r="L305" i="3"/>
  <c r="M305" i="3" s="1"/>
  <c r="G305" i="3"/>
  <c r="L304" i="3"/>
  <c r="M304" i="3" s="1"/>
  <c r="G304" i="3"/>
  <c r="L303" i="3"/>
  <c r="M303" i="3" s="1"/>
  <c r="F303" i="3"/>
  <c r="G303" i="3" s="1"/>
  <c r="L302" i="3"/>
  <c r="M302" i="3" s="1"/>
  <c r="F302" i="3"/>
  <c r="G302" i="3" s="1"/>
  <c r="L301" i="3"/>
  <c r="M301" i="3" s="1"/>
  <c r="F301" i="3"/>
  <c r="G301" i="3" s="1"/>
  <c r="L300" i="3"/>
  <c r="M300" i="3" s="1"/>
  <c r="G300" i="3"/>
  <c r="L299" i="3"/>
  <c r="M299" i="3" s="1"/>
  <c r="F299" i="3"/>
  <c r="G299" i="3" s="1"/>
  <c r="L298" i="3"/>
  <c r="M298" i="3" s="1"/>
  <c r="G298" i="3"/>
  <c r="L297" i="3"/>
  <c r="M297" i="3" s="1"/>
  <c r="G297" i="3"/>
  <c r="L296" i="3"/>
  <c r="M296" i="3" s="1"/>
  <c r="G296" i="3"/>
  <c r="L295" i="3"/>
  <c r="M295" i="3" s="1"/>
  <c r="F295" i="3"/>
  <c r="G295" i="3" s="1"/>
  <c r="L294" i="3"/>
  <c r="M294" i="3" s="1"/>
  <c r="G294" i="3"/>
  <c r="L293" i="3"/>
  <c r="M293" i="3" s="1"/>
  <c r="G293" i="3"/>
  <c r="L292" i="3"/>
  <c r="M292" i="3" s="1"/>
  <c r="G292" i="3"/>
  <c r="L291" i="3"/>
  <c r="M291" i="3" s="1"/>
  <c r="F291" i="3"/>
  <c r="G291" i="3" s="1"/>
  <c r="L290" i="3"/>
  <c r="M290" i="3" s="1"/>
  <c r="G290" i="3"/>
  <c r="L289" i="3"/>
  <c r="M289" i="3" s="1"/>
  <c r="G289" i="3"/>
  <c r="L288" i="3"/>
  <c r="M288" i="3" s="1"/>
  <c r="F288" i="3"/>
  <c r="G288" i="3" s="1"/>
  <c r="L287" i="3"/>
  <c r="M287" i="3" s="1"/>
  <c r="G287" i="3"/>
  <c r="L286" i="3"/>
  <c r="M286" i="3" s="1"/>
  <c r="G286" i="3"/>
  <c r="L285" i="3"/>
  <c r="M285" i="3" s="1"/>
  <c r="G285" i="3"/>
  <c r="L284" i="3"/>
  <c r="M284" i="3" s="1"/>
  <c r="F284" i="3"/>
  <c r="G284" i="3" s="1"/>
  <c r="L283" i="3"/>
  <c r="M283" i="3" s="1"/>
  <c r="F283" i="3"/>
  <c r="G283" i="3" s="1"/>
  <c r="L282" i="3"/>
  <c r="M282" i="3" s="1"/>
  <c r="F282" i="3"/>
  <c r="G282" i="3" s="1"/>
  <c r="L281" i="3"/>
  <c r="M281" i="3" s="1"/>
  <c r="G281" i="3"/>
  <c r="L280" i="3"/>
  <c r="M280" i="3" s="1"/>
  <c r="G280" i="3"/>
  <c r="L279" i="3"/>
  <c r="M279" i="3" s="1"/>
  <c r="G279" i="3"/>
  <c r="L278" i="3"/>
  <c r="M278" i="3" s="1"/>
  <c r="G278" i="3"/>
  <c r="L277" i="3"/>
  <c r="M277" i="3" s="1"/>
  <c r="F277" i="3"/>
  <c r="G277" i="3" s="1"/>
  <c r="L276" i="3"/>
  <c r="M276" i="3" s="1"/>
  <c r="G276" i="3"/>
  <c r="L275" i="3"/>
  <c r="M275" i="3" s="1"/>
  <c r="G275" i="3"/>
  <c r="L274" i="3"/>
  <c r="M274" i="3" s="1"/>
  <c r="G274" i="3"/>
  <c r="L273" i="3"/>
  <c r="M273" i="3" s="1"/>
  <c r="G273" i="3"/>
  <c r="L272" i="3"/>
  <c r="M272" i="3" s="1"/>
  <c r="G272" i="3"/>
  <c r="L271" i="3"/>
  <c r="M271" i="3" s="1"/>
  <c r="F271" i="3"/>
  <c r="G271" i="3" s="1"/>
  <c r="L270" i="3"/>
  <c r="M270" i="3" s="1"/>
  <c r="G270" i="3"/>
  <c r="L269" i="3"/>
  <c r="M269" i="3" s="1"/>
  <c r="G269" i="3"/>
  <c r="L268" i="3"/>
  <c r="M268" i="3" s="1"/>
  <c r="G268" i="3"/>
  <c r="L267" i="3"/>
  <c r="M267" i="3" s="1"/>
  <c r="G267" i="3"/>
  <c r="L266" i="3"/>
  <c r="M266" i="3" s="1"/>
  <c r="F266" i="3"/>
  <c r="G266" i="3" s="1"/>
  <c r="L265" i="3"/>
  <c r="M265" i="3" s="1"/>
  <c r="F265" i="3"/>
  <c r="G265" i="3" s="1"/>
  <c r="L264" i="3"/>
  <c r="M264" i="3" s="1"/>
  <c r="G264" i="3"/>
  <c r="L263" i="3"/>
  <c r="M263" i="3" s="1"/>
  <c r="G263" i="3"/>
  <c r="L262" i="3"/>
  <c r="M262" i="3" s="1"/>
  <c r="G262" i="3"/>
  <c r="L261" i="3"/>
  <c r="M261" i="3" s="1"/>
  <c r="G261" i="3"/>
  <c r="L260" i="3"/>
  <c r="M260" i="3" s="1"/>
  <c r="F260" i="3"/>
  <c r="G260" i="3" s="1"/>
  <c r="L259" i="3"/>
  <c r="M259" i="3" s="1"/>
  <c r="G259" i="3"/>
  <c r="L258" i="3"/>
  <c r="M258" i="3" s="1"/>
  <c r="G258" i="3"/>
  <c r="L257" i="3"/>
  <c r="M257" i="3" s="1"/>
  <c r="F257" i="3"/>
  <c r="G257" i="3" s="1"/>
  <c r="L256" i="3"/>
  <c r="M256" i="3" s="1"/>
  <c r="E256" i="3"/>
  <c r="F256" i="3" s="1"/>
  <c r="G256" i="3" s="1"/>
  <c r="L255" i="3"/>
  <c r="M255" i="3" s="1"/>
  <c r="G255" i="3"/>
  <c r="L254" i="3"/>
  <c r="M254" i="3" s="1"/>
  <c r="G254" i="3"/>
  <c r="L253" i="3"/>
  <c r="M253" i="3" s="1"/>
  <c r="G253" i="3"/>
  <c r="L252" i="3"/>
  <c r="M252" i="3" s="1"/>
  <c r="G252" i="3"/>
  <c r="L251" i="3"/>
  <c r="M251" i="3" s="1"/>
  <c r="F251" i="3"/>
  <c r="G251" i="3" s="1"/>
  <c r="L250" i="3"/>
  <c r="M250" i="3" s="1"/>
  <c r="G250" i="3"/>
  <c r="L249" i="3"/>
  <c r="M249" i="3" s="1"/>
  <c r="G249" i="3"/>
  <c r="L248" i="3"/>
  <c r="M248" i="3" s="1"/>
  <c r="G248" i="3"/>
  <c r="L247" i="3"/>
  <c r="M247" i="3" s="1"/>
  <c r="G247" i="3"/>
  <c r="L246" i="3"/>
  <c r="M246" i="3" s="1"/>
  <c r="F246" i="3"/>
  <c r="G246" i="3" s="1"/>
  <c r="T190" i="2"/>
  <c r="S190" i="2"/>
  <c r="R190" i="2"/>
  <c r="Q190" i="2"/>
  <c r="P190" i="2"/>
  <c r="O190" i="2"/>
  <c r="N190" i="2"/>
  <c r="M190" i="2"/>
  <c r="L190" i="2"/>
  <c r="K190" i="2"/>
  <c r="J190" i="2"/>
  <c r="I190" i="2"/>
  <c r="G190" i="2"/>
  <c r="F190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G189" i="2"/>
  <c r="F189" i="2"/>
  <c r="T188" i="2"/>
  <c r="S188" i="2"/>
  <c r="Q188" i="2"/>
  <c r="P188" i="2"/>
  <c r="O188" i="2"/>
  <c r="N188" i="2"/>
  <c r="M188" i="2"/>
  <c r="L188" i="2"/>
  <c r="K188" i="2"/>
  <c r="J188" i="2"/>
  <c r="I188" i="2"/>
  <c r="G188" i="2"/>
  <c r="F188" i="2"/>
  <c r="R188" i="2" s="1"/>
  <c r="T187" i="2"/>
  <c r="S187" i="2"/>
  <c r="Q187" i="2"/>
  <c r="P187" i="2"/>
  <c r="O187" i="2"/>
  <c r="N187" i="2"/>
  <c r="M187" i="2"/>
  <c r="L187" i="2"/>
  <c r="K187" i="2"/>
  <c r="J187" i="2"/>
  <c r="I187" i="2"/>
  <c r="G187" i="2"/>
  <c r="F187" i="2"/>
  <c r="R187" i="2" s="1"/>
  <c r="T186" i="2"/>
  <c r="S186" i="2"/>
  <c r="R186" i="2"/>
  <c r="P186" i="2"/>
  <c r="O186" i="2"/>
  <c r="N186" i="2"/>
  <c r="M186" i="2"/>
  <c r="L186" i="2"/>
  <c r="K186" i="2"/>
  <c r="J186" i="2"/>
  <c r="I186" i="2"/>
  <c r="H186" i="2"/>
  <c r="G186" i="2"/>
  <c r="F186" i="2"/>
  <c r="Q186" i="2" s="1"/>
  <c r="T185" i="2"/>
  <c r="S185" i="2"/>
  <c r="R185" i="2"/>
  <c r="Q185" i="2"/>
  <c r="P185" i="2"/>
  <c r="O185" i="2"/>
  <c r="N185" i="2"/>
  <c r="M185" i="2"/>
  <c r="L185" i="2"/>
  <c r="J185" i="2"/>
  <c r="I185" i="2"/>
  <c r="G185" i="2"/>
  <c r="F185" i="2"/>
  <c r="K185" i="2" s="1"/>
  <c r="T184" i="2"/>
  <c r="S184" i="2"/>
  <c r="Q184" i="2"/>
  <c r="P184" i="2"/>
  <c r="O184" i="2"/>
  <c r="N184" i="2"/>
  <c r="M184" i="2"/>
  <c r="L184" i="2"/>
  <c r="K184" i="2"/>
  <c r="J184" i="2"/>
  <c r="I184" i="2"/>
  <c r="G184" i="2"/>
  <c r="F184" i="2"/>
  <c r="R184" i="2" s="1"/>
  <c r="T183" i="2"/>
  <c r="S183" i="2"/>
  <c r="Q183" i="2"/>
  <c r="P183" i="2"/>
  <c r="O183" i="2"/>
  <c r="N183" i="2"/>
  <c r="M183" i="2"/>
  <c r="L183" i="2"/>
  <c r="K183" i="2"/>
  <c r="J183" i="2"/>
  <c r="I183" i="2"/>
  <c r="G183" i="2"/>
  <c r="F183" i="2"/>
  <c r="R183" i="2" s="1"/>
  <c r="T182" i="2"/>
  <c r="S182" i="2"/>
  <c r="R182" i="2"/>
  <c r="P182" i="2"/>
  <c r="O182" i="2"/>
  <c r="N182" i="2"/>
  <c r="M182" i="2"/>
  <c r="L182" i="2"/>
  <c r="K182" i="2"/>
  <c r="J182" i="2"/>
  <c r="I182" i="2"/>
  <c r="H182" i="2"/>
  <c r="G182" i="2"/>
  <c r="F182" i="2"/>
  <c r="Q182" i="2" s="1"/>
  <c r="T181" i="2"/>
  <c r="S181" i="2"/>
  <c r="R181" i="2"/>
  <c r="P181" i="2"/>
  <c r="O181" i="2"/>
  <c r="N181" i="2"/>
  <c r="M181" i="2"/>
  <c r="L181" i="2"/>
  <c r="K181" i="2"/>
  <c r="J181" i="2"/>
  <c r="I181" i="2"/>
  <c r="F181" i="2"/>
  <c r="Q181" i="2" s="1"/>
  <c r="T180" i="2"/>
  <c r="S180" i="2"/>
  <c r="R180" i="2"/>
  <c r="P180" i="2"/>
  <c r="O180" i="2"/>
  <c r="N180" i="2"/>
  <c r="M180" i="2"/>
  <c r="L180" i="2"/>
  <c r="K180" i="2"/>
  <c r="J180" i="2"/>
  <c r="I180" i="2"/>
  <c r="F180" i="2"/>
  <c r="Q180" i="2" s="1"/>
  <c r="T179" i="2"/>
  <c r="S179" i="2"/>
  <c r="R179" i="2"/>
  <c r="Q179" i="2"/>
  <c r="P179" i="2"/>
  <c r="O179" i="2"/>
  <c r="N179" i="2"/>
  <c r="L179" i="2"/>
  <c r="J179" i="2"/>
  <c r="I179" i="2"/>
  <c r="H179" i="2"/>
  <c r="M179" i="2" s="1"/>
  <c r="F179" i="2"/>
  <c r="K179" i="2" s="1"/>
  <c r="T178" i="2"/>
  <c r="S178" i="2"/>
  <c r="R178" i="2"/>
  <c r="Q178" i="2"/>
  <c r="P178" i="2"/>
  <c r="O178" i="2"/>
  <c r="N178" i="2"/>
  <c r="M178" i="2"/>
  <c r="L178" i="2"/>
  <c r="K178" i="2"/>
  <c r="J178" i="2"/>
  <c r="I178" i="2"/>
  <c r="G178" i="2"/>
  <c r="F178" i="2"/>
  <c r="T177" i="2"/>
  <c r="S177" i="2"/>
  <c r="R177" i="2"/>
  <c r="P177" i="2"/>
  <c r="O177" i="2"/>
  <c r="N177" i="2"/>
  <c r="M177" i="2"/>
  <c r="L177" i="2"/>
  <c r="K177" i="2"/>
  <c r="J177" i="2"/>
  <c r="I177" i="2"/>
  <c r="G177" i="2"/>
  <c r="F177" i="2"/>
  <c r="Q177" i="2" s="1"/>
  <c r="T176" i="2"/>
  <c r="S176" i="2"/>
  <c r="R176" i="2"/>
  <c r="Q176" i="2"/>
  <c r="P176" i="2"/>
  <c r="O176" i="2"/>
  <c r="N176" i="2"/>
  <c r="L176" i="2"/>
  <c r="J176" i="2"/>
  <c r="H176" i="2"/>
  <c r="M176" i="2" s="1"/>
  <c r="G176" i="2"/>
  <c r="I176" i="2"/>
  <c r="T175" i="2"/>
  <c r="S175" i="2"/>
  <c r="R175" i="2"/>
  <c r="Q175" i="2"/>
  <c r="P175" i="2"/>
  <c r="O175" i="2"/>
  <c r="N175" i="2"/>
  <c r="L175" i="2"/>
  <c r="J175" i="2"/>
  <c r="I175" i="2"/>
  <c r="H175" i="2"/>
  <c r="M175" i="2" s="1"/>
  <c r="F175" i="2"/>
  <c r="K175" i="2" s="1"/>
  <c r="T174" i="2"/>
  <c r="S174" i="2"/>
  <c r="R174" i="2"/>
  <c r="Q174" i="2"/>
  <c r="P174" i="2"/>
  <c r="O174" i="2"/>
  <c r="N174" i="2"/>
  <c r="M174" i="2"/>
  <c r="L174" i="2"/>
  <c r="K174" i="2"/>
  <c r="J174" i="2"/>
  <c r="I174" i="2"/>
  <c r="G174" i="2"/>
  <c r="F174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G173" i="2"/>
  <c r="F173" i="2"/>
  <c r="T172" i="2"/>
  <c r="S172" i="2"/>
  <c r="Q172" i="2"/>
  <c r="P172" i="2"/>
  <c r="O172" i="2"/>
  <c r="N172" i="2"/>
  <c r="M172" i="2"/>
  <c r="L172" i="2"/>
  <c r="K172" i="2"/>
  <c r="J172" i="2"/>
  <c r="I172" i="2"/>
  <c r="G172" i="2"/>
  <c r="F172" i="2"/>
  <c r="R172" i="2" s="1"/>
  <c r="T171" i="2"/>
  <c r="S171" i="2"/>
  <c r="R171" i="2"/>
  <c r="P171" i="2"/>
  <c r="O171" i="2"/>
  <c r="N171" i="2"/>
  <c r="M171" i="2"/>
  <c r="L171" i="2"/>
  <c r="K171" i="2"/>
  <c r="J171" i="2"/>
  <c r="I171" i="2"/>
  <c r="F171" i="2"/>
  <c r="Q171" i="2" s="1"/>
  <c r="T170" i="2"/>
  <c r="R170" i="2"/>
  <c r="P170" i="2"/>
  <c r="O170" i="2"/>
  <c r="N170" i="2"/>
  <c r="M170" i="2"/>
  <c r="L170" i="2"/>
  <c r="K170" i="2"/>
  <c r="J170" i="2"/>
  <c r="I170" i="2"/>
  <c r="H170" i="2"/>
  <c r="S170" i="2" s="1"/>
  <c r="F170" i="2"/>
  <c r="Q170" i="2" s="1"/>
  <c r="T169" i="2"/>
  <c r="S169" i="2"/>
  <c r="R169" i="2"/>
  <c r="Q169" i="2"/>
  <c r="P169" i="2"/>
  <c r="O169" i="2"/>
  <c r="N169" i="2"/>
  <c r="L169" i="2"/>
  <c r="J169" i="2"/>
  <c r="I169" i="2"/>
  <c r="H169" i="2"/>
  <c r="M169" i="2" s="1"/>
  <c r="F169" i="2"/>
  <c r="K169" i="2" s="1"/>
  <c r="T168" i="2"/>
  <c r="S168" i="2"/>
  <c r="R168" i="2"/>
  <c r="P168" i="2"/>
  <c r="O168" i="2"/>
  <c r="N168" i="2"/>
  <c r="M168" i="2"/>
  <c r="L168" i="2"/>
  <c r="K168" i="2"/>
  <c r="J168" i="2"/>
  <c r="I168" i="2"/>
  <c r="G168" i="2"/>
  <c r="F168" i="2"/>
  <c r="Q168" i="2" s="1"/>
  <c r="T167" i="2"/>
  <c r="S167" i="2"/>
  <c r="R167" i="2"/>
  <c r="Q167" i="2"/>
  <c r="P167" i="2"/>
  <c r="O167" i="2"/>
  <c r="N167" i="2"/>
  <c r="M167" i="2"/>
  <c r="L167" i="2"/>
  <c r="K167" i="2"/>
  <c r="J167" i="2"/>
  <c r="I167" i="2"/>
  <c r="G167" i="2"/>
  <c r="F167" i="2"/>
  <c r="T166" i="2"/>
  <c r="S166" i="2"/>
  <c r="Q166" i="2"/>
  <c r="P166" i="2"/>
  <c r="O166" i="2"/>
  <c r="N166" i="2"/>
  <c r="M166" i="2"/>
  <c r="L166" i="2"/>
  <c r="K166" i="2"/>
  <c r="J166" i="2"/>
  <c r="I166" i="2"/>
  <c r="G166" i="2"/>
  <c r="F166" i="2"/>
  <c r="R166" i="2" s="1"/>
  <c r="T165" i="2"/>
  <c r="S165" i="2"/>
  <c r="R165" i="2"/>
  <c r="P165" i="2"/>
  <c r="O165" i="2"/>
  <c r="N165" i="2"/>
  <c r="M165" i="2"/>
  <c r="L165" i="2"/>
  <c r="K165" i="2"/>
  <c r="J165" i="2"/>
  <c r="I165" i="2"/>
  <c r="H165" i="2"/>
  <c r="G165" i="2"/>
  <c r="F165" i="2"/>
  <c r="Q165" i="2" s="1"/>
  <c r="T164" i="2"/>
  <c r="S164" i="2"/>
  <c r="R164" i="2"/>
  <c r="Q164" i="2"/>
  <c r="P164" i="2"/>
  <c r="O164" i="2"/>
  <c r="N164" i="2"/>
  <c r="L164" i="2"/>
  <c r="J164" i="2"/>
  <c r="I164" i="2"/>
  <c r="H164" i="2"/>
  <c r="M164" i="2" s="1"/>
  <c r="F164" i="2"/>
  <c r="K164" i="2" s="1"/>
  <c r="T163" i="2"/>
  <c r="S163" i="2"/>
  <c r="R163" i="2"/>
  <c r="Q163" i="2"/>
  <c r="P163" i="2"/>
  <c r="O163" i="2"/>
  <c r="N163" i="2"/>
  <c r="M163" i="2"/>
  <c r="L163" i="2"/>
  <c r="K163" i="2"/>
  <c r="J163" i="2"/>
  <c r="I163" i="2"/>
  <c r="G163" i="2"/>
  <c r="F163" i="2"/>
  <c r="T162" i="2"/>
  <c r="S162" i="2"/>
  <c r="R162" i="2"/>
  <c r="P162" i="2"/>
  <c r="O162" i="2"/>
  <c r="N162" i="2"/>
  <c r="M162" i="2"/>
  <c r="L162" i="2"/>
  <c r="K162" i="2"/>
  <c r="J162" i="2"/>
  <c r="I162" i="2"/>
  <c r="G162" i="2"/>
  <c r="F162" i="2"/>
  <c r="Q162" i="2" s="1"/>
  <c r="T161" i="2"/>
  <c r="S161" i="2"/>
  <c r="R161" i="2"/>
  <c r="Q161" i="2"/>
  <c r="P161" i="2"/>
  <c r="O161" i="2"/>
  <c r="N161" i="2"/>
  <c r="M161" i="2"/>
  <c r="L161" i="2"/>
  <c r="J161" i="2"/>
  <c r="I161" i="2"/>
  <c r="H161" i="2"/>
  <c r="G161" i="2"/>
  <c r="F161" i="2"/>
  <c r="K161" i="2" s="1"/>
  <c r="T160" i="2"/>
  <c r="S160" i="2"/>
  <c r="R160" i="2"/>
  <c r="Q160" i="2"/>
  <c r="P160" i="2"/>
  <c r="O160" i="2"/>
  <c r="N160" i="2"/>
  <c r="M160" i="2"/>
  <c r="L160" i="2"/>
  <c r="J160" i="2"/>
  <c r="I160" i="2"/>
  <c r="G160" i="2"/>
  <c r="F160" i="2"/>
  <c r="K160" i="2" s="1"/>
  <c r="T159" i="2"/>
  <c r="S159" i="2"/>
  <c r="R159" i="2"/>
  <c r="Q159" i="2"/>
  <c r="P159" i="2"/>
  <c r="O159" i="2"/>
  <c r="N159" i="2"/>
  <c r="M159" i="2"/>
  <c r="L159" i="2"/>
  <c r="K159" i="2"/>
  <c r="J159" i="2"/>
  <c r="I159" i="2"/>
  <c r="G159" i="2"/>
  <c r="F159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G158" i="2"/>
  <c r="F158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G157" i="2"/>
  <c r="F157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G156" i="2"/>
  <c r="F156" i="2"/>
  <c r="T155" i="2"/>
  <c r="S155" i="2"/>
  <c r="Q155" i="2"/>
  <c r="P155" i="2"/>
  <c r="O155" i="2"/>
  <c r="N155" i="2"/>
  <c r="M155" i="2"/>
  <c r="L155" i="2"/>
  <c r="K155" i="2"/>
  <c r="J155" i="2"/>
  <c r="I155" i="2"/>
  <c r="G155" i="2"/>
  <c r="F155" i="2"/>
  <c r="R155" i="2" s="1"/>
  <c r="T154" i="2"/>
  <c r="S154" i="2"/>
  <c r="R154" i="2"/>
  <c r="P154" i="2"/>
  <c r="O154" i="2"/>
  <c r="N154" i="2"/>
  <c r="M154" i="2"/>
  <c r="L154" i="2"/>
  <c r="K154" i="2"/>
  <c r="J154" i="2"/>
  <c r="I154" i="2"/>
  <c r="G154" i="2"/>
  <c r="F154" i="2"/>
  <c r="Q154" i="2" s="1"/>
  <c r="T153" i="2"/>
  <c r="S153" i="2"/>
  <c r="R153" i="2"/>
  <c r="P153" i="2"/>
  <c r="O153" i="2"/>
  <c r="N153" i="2"/>
  <c r="M153" i="2"/>
  <c r="L153" i="2"/>
  <c r="K153" i="2"/>
  <c r="J153" i="2"/>
  <c r="I153" i="2"/>
  <c r="F153" i="2"/>
  <c r="Q153" i="2" s="1"/>
  <c r="T152" i="2"/>
  <c r="S152" i="2"/>
  <c r="R152" i="2"/>
  <c r="P152" i="2"/>
  <c r="O152" i="2"/>
  <c r="N152" i="2"/>
  <c r="M152" i="2"/>
  <c r="L152" i="2"/>
  <c r="K152" i="2"/>
  <c r="J152" i="2"/>
  <c r="I152" i="2"/>
  <c r="F152" i="2"/>
  <c r="Q152" i="2" s="1"/>
  <c r="T151" i="2"/>
  <c r="S151" i="2"/>
  <c r="R151" i="2"/>
  <c r="Q151" i="2"/>
  <c r="P151" i="2"/>
  <c r="O151" i="2"/>
  <c r="N151" i="2"/>
  <c r="M151" i="2"/>
  <c r="L151" i="2"/>
  <c r="J151" i="2"/>
  <c r="I151" i="2"/>
  <c r="G151" i="2"/>
  <c r="F151" i="2"/>
  <c r="K151" i="2" s="1"/>
  <c r="T150" i="2"/>
  <c r="S150" i="2"/>
  <c r="Q150" i="2"/>
  <c r="P150" i="2"/>
  <c r="O150" i="2"/>
  <c r="N150" i="2"/>
  <c r="M150" i="2"/>
  <c r="L150" i="2"/>
  <c r="K150" i="2"/>
  <c r="J150" i="2"/>
  <c r="I150" i="2"/>
  <c r="G150" i="2"/>
  <c r="F150" i="2"/>
  <c r="R150" i="2" s="1"/>
  <c r="T149" i="2"/>
  <c r="S149" i="2"/>
  <c r="R149" i="2"/>
  <c r="P149" i="2"/>
  <c r="O149" i="2"/>
  <c r="N149" i="2"/>
  <c r="M149" i="2"/>
  <c r="L149" i="2"/>
  <c r="K149" i="2"/>
  <c r="J149" i="2"/>
  <c r="I149" i="2"/>
  <c r="G149" i="2"/>
  <c r="F149" i="2"/>
  <c r="Q149" i="2" s="1"/>
  <c r="T148" i="2"/>
  <c r="S148" i="2"/>
  <c r="R148" i="2"/>
  <c r="Q148" i="2"/>
  <c r="P148" i="2"/>
  <c r="O148" i="2"/>
  <c r="N148" i="2"/>
  <c r="M148" i="2"/>
  <c r="L148" i="2"/>
  <c r="K148" i="2"/>
  <c r="J148" i="2"/>
  <c r="I148" i="2"/>
  <c r="G148" i="2"/>
  <c r="F148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G147" i="2"/>
  <c r="F147" i="2"/>
  <c r="T146" i="2"/>
  <c r="S146" i="2"/>
  <c r="Q146" i="2"/>
  <c r="P146" i="2"/>
  <c r="O146" i="2"/>
  <c r="N146" i="2"/>
  <c r="M146" i="2"/>
  <c r="L146" i="2"/>
  <c r="K146" i="2"/>
  <c r="J146" i="2"/>
  <c r="I146" i="2"/>
  <c r="G146" i="2"/>
  <c r="F146" i="2"/>
  <c r="R146" i="2" s="1"/>
  <c r="T145" i="2"/>
  <c r="S145" i="2"/>
  <c r="R145" i="2"/>
  <c r="P145" i="2"/>
  <c r="O145" i="2"/>
  <c r="N145" i="2"/>
  <c r="M145" i="2"/>
  <c r="L145" i="2"/>
  <c r="K145" i="2"/>
  <c r="J145" i="2"/>
  <c r="I145" i="2"/>
  <c r="G145" i="2"/>
  <c r="F145" i="2"/>
  <c r="Q145" i="2" s="1"/>
  <c r="T144" i="2"/>
  <c r="R144" i="2"/>
  <c r="P144" i="2"/>
  <c r="O144" i="2"/>
  <c r="N144" i="2"/>
  <c r="M144" i="2"/>
  <c r="L144" i="2"/>
  <c r="K144" i="2"/>
  <c r="J144" i="2"/>
  <c r="I144" i="2"/>
  <c r="H144" i="2"/>
  <c r="S144" i="2" s="1"/>
  <c r="F144" i="2"/>
  <c r="Q144" i="2" s="1"/>
  <c r="T143" i="2"/>
  <c r="S143" i="2"/>
  <c r="R143" i="2"/>
  <c r="P143" i="2"/>
  <c r="O143" i="2"/>
  <c r="N143" i="2"/>
  <c r="M143" i="2"/>
  <c r="L143" i="2"/>
  <c r="K143" i="2"/>
  <c r="J143" i="2"/>
  <c r="I143" i="2"/>
  <c r="F143" i="2"/>
  <c r="Q143" i="2" s="1"/>
  <c r="T142" i="2"/>
  <c r="S142" i="2"/>
  <c r="R142" i="2"/>
  <c r="Q142" i="2"/>
  <c r="P142" i="2"/>
  <c r="O142" i="2"/>
  <c r="N142" i="2"/>
  <c r="M142" i="2"/>
  <c r="L142" i="2"/>
  <c r="J142" i="2"/>
  <c r="I142" i="2"/>
  <c r="G142" i="2"/>
  <c r="F142" i="2"/>
  <c r="K142" i="2" s="1"/>
  <c r="T141" i="2"/>
  <c r="S141" i="2"/>
  <c r="R141" i="2"/>
  <c r="Q141" i="2"/>
  <c r="P141" i="2"/>
  <c r="O141" i="2"/>
  <c r="N141" i="2"/>
  <c r="M141" i="2"/>
  <c r="L141" i="2"/>
  <c r="J141" i="2"/>
  <c r="I141" i="2"/>
  <c r="G141" i="2"/>
  <c r="F141" i="2"/>
  <c r="K141" i="2" s="1"/>
  <c r="T140" i="2"/>
  <c r="S140" i="2"/>
  <c r="Q140" i="2"/>
  <c r="P140" i="2"/>
  <c r="O140" i="2"/>
  <c r="N140" i="2"/>
  <c r="M140" i="2"/>
  <c r="L140" i="2"/>
  <c r="K140" i="2"/>
  <c r="J140" i="2"/>
  <c r="I140" i="2"/>
  <c r="G140" i="2"/>
  <c r="F140" i="2"/>
  <c r="R140" i="2" s="1"/>
  <c r="T139" i="2"/>
  <c r="S139" i="2"/>
  <c r="R139" i="2"/>
  <c r="P139" i="2"/>
  <c r="O139" i="2"/>
  <c r="N139" i="2"/>
  <c r="M139" i="2"/>
  <c r="L139" i="2"/>
  <c r="K139" i="2"/>
  <c r="J139" i="2"/>
  <c r="I139" i="2"/>
  <c r="G139" i="2"/>
  <c r="F139" i="2"/>
  <c r="Q139" i="2" s="1"/>
  <c r="T138" i="2"/>
  <c r="S138" i="2"/>
  <c r="R138" i="2"/>
  <c r="Q138" i="2"/>
  <c r="P138" i="2"/>
  <c r="O138" i="2"/>
  <c r="N138" i="2"/>
  <c r="M138" i="2"/>
  <c r="L138" i="2"/>
  <c r="K138" i="2"/>
  <c r="J138" i="2"/>
  <c r="I138" i="2"/>
  <c r="G138" i="2"/>
  <c r="F138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G137" i="2"/>
  <c r="F137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G136" i="2"/>
  <c r="F136" i="2"/>
  <c r="T135" i="2"/>
  <c r="S135" i="2"/>
  <c r="Q135" i="2"/>
  <c r="P135" i="2"/>
  <c r="O135" i="2"/>
  <c r="N135" i="2"/>
  <c r="M135" i="2"/>
  <c r="L135" i="2"/>
  <c r="K135" i="2"/>
  <c r="J135" i="2"/>
  <c r="I135" i="2"/>
  <c r="G135" i="2"/>
  <c r="F135" i="2"/>
  <c r="R135" i="2" s="1"/>
  <c r="T134" i="2"/>
  <c r="S134" i="2"/>
  <c r="Q134" i="2"/>
  <c r="P134" i="2"/>
  <c r="O134" i="2"/>
  <c r="N134" i="2"/>
  <c r="M134" i="2"/>
  <c r="L134" i="2"/>
  <c r="K134" i="2"/>
  <c r="J134" i="2"/>
  <c r="I134" i="2"/>
  <c r="G134" i="2"/>
  <c r="F134" i="2"/>
  <c r="R134" i="2" s="1"/>
  <c r="T133" i="2"/>
  <c r="S133" i="2"/>
  <c r="R133" i="2"/>
  <c r="P133" i="2"/>
  <c r="O133" i="2"/>
  <c r="N133" i="2"/>
  <c r="M133" i="2"/>
  <c r="L133" i="2"/>
  <c r="K133" i="2"/>
  <c r="J133" i="2"/>
  <c r="I133" i="2"/>
  <c r="G133" i="2"/>
  <c r="F133" i="2"/>
  <c r="Q133" i="2" s="1"/>
  <c r="T132" i="2"/>
  <c r="S132" i="2"/>
  <c r="R132" i="2"/>
  <c r="P132" i="2"/>
  <c r="O132" i="2"/>
  <c r="N132" i="2"/>
  <c r="M132" i="2"/>
  <c r="L132" i="2"/>
  <c r="K132" i="2"/>
  <c r="J132" i="2"/>
  <c r="I132" i="2"/>
  <c r="F132" i="2"/>
  <c r="Q132" i="2" s="1"/>
  <c r="T131" i="2"/>
  <c r="S131" i="2"/>
  <c r="R131" i="2"/>
  <c r="P131" i="2"/>
  <c r="O131" i="2"/>
  <c r="N131" i="2"/>
  <c r="M131" i="2"/>
  <c r="L131" i="2"/>
  <c r="K131" i="2"/>
  <c r="J131" i="2"/>
  <c r="I131" i="2"/>
  <c r="F131" i="2"/>
  <c r="Q131" i="2" s="1"/>
  <c r="T130" i="2"/>
  <c r="S130" i="2"/>
  <c r="R130" i="2"/>
  <c r="P130" i="2"/>
  <c r="O130" i="2"/>
  <c r="N130" i="2"/>
  <c r="M130" i="2"/>
  <c r="L130" i="2"/>
  <c r="K130" i="2"/>
  <c r="J130" i="2"/>
  <c r="I130" i="2"/>
  <c r="F130" i="2"/>
  <c r="Q130" i="2" s="1"/>
  <c r="T129" i="2"/>
  <c r="S129" i="2"/>
  <c r="R129" i="2"/>
  <c r="P129" i="2"/>
  <c r="O129" i="2"/>
  <c r="N129" i="2"/>
  <c r="M129" i="2"/>
  <c r="L129" i="2"/>
  <c r="K129" i="2"/>
  <c r="J129" i="2"/>
  <c r="I129" i="2"/>
  <c r="F129" i="2"/>
  <c r="Q129" i="2" s="1"/>
  <c r="T128" i="2"/>
  <c r="S128" i="2"/>
  <c r="R128" i="2"/>
  <c r="P128" i="2"/>
  <c r="O128" i="2"/>
  <c r="N128" i="2"/>
  <c r="M128" i="2"/>
  <c r="L128" i="2"/>
  <c r="K128" i="2"/>
  <c r="J128" i="2"/>
  <c r="I128" i="2"/>
  <c r="F128" i="2"/>
  <c r="Q128" i="2" s="1"/>
  <c r="T127" i="2"/>
  <c r="S127" i="2"/>
  <c r="R127" i="2"/>
  <c r="Q127" i="2"/>
  <c r="P127" i="2"/>
  <c r="O127" i="2"/>
  <c r="N127" i="2"/>
  <c r="M127" i="2"/>
  <c r="L127" i="2"/>
  <c r="J127" i="2"/>
  <c r="I127" i="2"/>
  <c r="G127" i="2"/>
  <c r="F127" i="2"/>
  <c r="K127" i="2" s="1"/>
  <c r="T126" i="2"/>
  <c r="S126" i="2"/>
  <c r="R126" i="2"/>
  <c r="Q126" i="2"/>
  <c r="P126" i="2"/>
  <c r="O126" i="2"/>
  <c r="N126" i="2"/>
  <c r="M126" i="2"/>
  <c r="L126" i="2"/>
  <c r="J126" i="2"/>
  <c r="I126" i="2"/>
  <c r="G126" i="2"/>
  <c r="F126" i="2"/>
  <c r="K126" i="2" s="1"/>
  <c r="T125" i="2"/>
  <c r="S125" i="2"/>
  <c r="R125" i="2"/>
  <c r="Q125" i="2"/>
  <c r="P125" i="2"/>
  <c r="O125" i="2"/>
  <c r="N125" i="2"/>
  <c r="M125" i="2"/>
  <c r="L125" i="2"/>
  <c r="J125" i="2"/>
  <c r="I125" i="2"/>
  <c r="G125" i="2"/>
  <c r="F125" i="2"/>
  <c r="K125" i="2" s="1"/>
  <c r="T124" i="2"/>
  <c r="S124" i="2"/>
  <c r="R124" i="2"/>
  <c r="Q124" i="2"/>
  <c r="P124" i="2"/>
  <c r="O124" i="2"/>
  <c r="N124" i="2"/>
  <c r="M124" i="2"/>
  <c r="L124" i="2"/>
  <c r="K124" i="2"/>
  <c r="J124" i="2"/>
  <c r="I124" i="2"/>
  <c r="G124" i="2"/>
  <c r="F124" i="2"/>
  <c r="T123" i="2"/>
  <c r="S123" i="2"/>
  <c r="Q123" i="2"/>
  <c r="P123" i="2"/>
  <c r="O123" i="2"/>
  <c r="N123" i="2"/>
  <c r="M123" i="2"/>
  <c r="L123" i="2"/>
  <c r="K123" i="2"/>
  <c r="J123" i="2"/>
  <c r="I123" i="2"/>
  <c r="G123" i="2"/>
  <c r="F123" i="2"/>
  <c r="R123" i="2" s="1"/>
  <c r="T122" i="2"/>
  <c r="S122" i="2"/>
  <c r="R122" i="2"/>
  <c r="P122" i="2"/>
  <c r="O122" i="2"/>
  <c r="N122" i="2"/>
  <c r="M122" i="2"/>
  <c r="L122" i="2"/>
  <c r="K122" i="2"/>
  <c r="J122" i="2"/>
  <c r="I122" i="2"/>
  <c r="G122" i="2"/>
  <c r="F122" i="2"/>
  <c r="Q122" i="2" s="1"/>
  <c r="T121" i="2"/>
  <c r="S121" i="2"/>
  <c r="R121" i="2"/>
  <c r="P121" i="2"/>
  <c r="O121" i="2"/>
  <c r="N121" i="2"/>
  <c r="M121" i="2"/>
  <c r="L121" i="2"/>
  <c r="K121" i="2"/>
  <c r="J121" i="2"/>
  <c r="I121" i="2"/>
  <c r="F121" i="2"/>
  <c r="Q121" i="2" s="1"/>
  <c r="T120" i="2"/>
  <c r="S120" i="2"/>
  <c r="R120" i="2"/>
  <c r="Q120" i="2"/>
  <c r="P120" i="2"/>
  <c r="O120" i="2"/>
  <c r="N120" i="2"/>
  <c r="M120" i="2"/>
  <c r="L120" i="2"/>
  <c r="K120" i="2"/>
  <c r="J120" i="2"/>
  <c r="I120" i="2"/>
  <c r="G120" i="2"/>
  <c r="F120" i="2"/>
  <c r="T119" i="2"/>
  <c r="S119" i="2"/>
  <c r="R119" i="2"/>
  <c r="Q119" i="2"/>
  <c r="P119" i="2"/>
  <c r="O119" i="2"/>
  <c r="N119" i="2"/>
  <c r="M119" i="2"/>
  <c r="L119" i="2"/>
  <c r="K119" i="2"/>
  <c r="J119" i="2"/>
  <c r="I119" i="2"/>
  <c r="G119" i="2"/>
  <c r="F119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G118" i="2"/>
  <c r="F118" i="2"/>
  <c r="T117" i="2"/>
  <c r="S117" i="2"/>
  <c r="Q117" i="2"/>
  <c r="P117" i="2"/>
  <c r="O117" i="2"/>
  <c r="N117" i="2"/>
  <c r="M117" i="2"/>
  <c r="L117" i="2"/>
  <c r="K117" i="2"/>
  <c r="J117" i="2"/>
  <c r="I117" i="2"/>
  <c r="G117" i="2"/>
  <c r="F117" i="2"/>
  <c r="R117" i="2" s="1"/>
  <c r="T116" i="2"/>
  <c r="S116" i="2"/>
  <c r="R116" i="2"/>
  <c r="P116" i="2"/>
  <c r="O116" i="2"/>
  <c r="N116" i="2"/>
  <c r="M116" i="2"/>
  <c r="L116" i="2"/>
  <c r="K116" i="2"/>
  <c r="J116" i="2"/>
  <c r="I116" i="2"/>
  <c r="G116" i="2"/>
  <c r="F116" i="2"/>
  <c r="Q116" i="2" s="1"/>
  <c r="T115" i="2"/>
  <c r="S115" i="2"/>
  <c r="R115" i="2"/>
  <c r="P115" i="2"/>
  <c r="O115" i="2"/>
  <c r="N115" i="2"/>
  <c r="M115" i="2"/>
  <c r="L115" i="2"/>
  <c r="K115" i="2"/>
  <c r="J115" i="2"/>
  <c r="I115" i="2"/>
  <c r="F115" i="2"/>
  <c r="Q115" i="2" s="1"/>
  <c r="T114" i="2"/>
  <c r="S114" i="2"/>
  <c r="R114" i="2"/>
  <c r="P114" i="2"/>
  <c r="O114" i="2"/>
  <c r="N114" i="2"/>
  <c r="M114" i="2"/>
  <c r="L114" i="2"/>
  <c r="K114" i="2"/>
  <c r="J114" i="2"/>
  <c r="I114" i="2"/>
  <c r="F114" i="2"/>
  <c r="Q114" i="2" s="1"/>
  <c r="T113" i="2"/>
  <c r="S113" i="2"/>
  <c r="R113" i="2"/>
  <c r="Q113" i="2"/>
  <c r="P113" i="2"/>
  <c r="O113" i="2"/>
  <c r="N113" i="2"/>
  <c r="M113" i="2"/>
  <c r="L113" i="2"/>
  <c r="J113" i="2"/>
  <c r="I113" i="2"/>
  <c r="G113" i="2"/>
  <c r="F113" i="2"/>
  <c r="K113" i="2" s="1"/>
  <c r="T112" i="2"/>
  <c r="S112" i="2"/>
  <c r="R112" i="2"/>
  <c r="P112" i="2"/>
  <c r="O112" i="2"/>
  <c r="N112" i="2"/>
  <c r="M112" i="2"/>
  <c r="L112" i="2"/>
  <c r="K112" i="2"/>
  <c r="J112" i="2"/>
  <c r="I112" i="2"/>
  <c r="G112" i="2"/>
  <c r="F112" i="2"/>
  <c r="Q112" i="2" s="1"/>
  <c r="T111" i="2"/>
  <c r="S111" i="2"/>
  <c r="R111" i="2"/>
  <c r="Q111" i="2"/>
  <c r="P111" i="2"/>
  <c r="O111" i="2"/>
  <c r="N111" i="2"/>
  <c r="M111" i="2"/>
  <c r="L111" i="2"/>
  <c r="K111" i="2"/>
  <c r="J111" i="2"/>
  <c r="I111" i="2"/>
  <c r="G111" i="2"/>
  <c r="F111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G110" i="2"/>
  <c r="F110" i="2"/>
  <c r="T109" i="2"/>
  <c r="S109" i="2"/>
  <c r="Q109" i="2"/>
  <c r="P109" i="2"/>
  <c r="O109" i="2"/>
  <c r="N109" i="2"/>
  <c r="M109" i="2"/>
  <c r="L109" i="2"/>
  <c r="K109" i="2"/>
  <c r="J109" i="2"/>
  <c r="I109" i="2"/>
  <c r="G109" i="2"/>
  <c r="F109" i="2"/>
  <c r="R109" i="2" s="1"/>
  <c r="T108" i="2"/>
  <c r="S108" i="2"/>
  <c r="R108" i="2"/>
  <c r="P108" i="2"/>
  <c r="O108" i="2"/>
  <c r="N108" i="2"/>
  <c r="M108" i="2"/>
  <c r="L108" i="2"/>
  <c r="K108" i="2"/>
  <c r="J108" i="2"/>
  <c r="I108" i="2"/>
  <c r="F108" i="2"/>
  <c r="Q108" i="2" s="1"/>
  <c r="T107" i="2"/>
  <c r="S107" i="2"/>
  <c r="R107" i="2"/>
  <c r="P107" i="2"/>
  <c r="O107" i="2"/>
  <c r="N107" i="2"/>
  <c r="M107" i="2"/>
  <c r="L107" i="2"/>
  <c r="K107" i="2"/>
  <c r="J107" i="2"/>
  <c r="I107" i="2"/>
  <c r="F107" i="2"/>
  <c r="Q107" i="2" s="1"/>
  <c r="T106" i="2"/>
  <c r="S106" i="2"/>
  <c r="R106" i="2"/>
  <c r="P106" i="2"/>
  <c r="O106" i="2"/>
  <c r="N106" i="2"/>
  <c r="M106" i="2"/>
  <c r="L106" i="2"/>
  <c r="K106" i="2"/>
  <c r="J106" i="2"/>
  <c r="I106" i="2"/>
  <c r="G106" i="2"/>
  <c r="F106" i="2"/>
  <c r="Q106" i="2" s="1"/>
  <c r="T105" i="2"/>
  <c r="S105" i="2"/>
  <c r="R105" i="2"/>
  <c r="Q105" i="2"/>
  <c r="P105" i="2"/>
  <c r="O105" i="2"/>
  <c r="N105" i="2"/>
  <c r="M105" i="2"/>
  <c r="L105" i="2"/>
  <c r="J105" i="2"/>
  <c r="I105" i="2"/>
  <c r="G105" i="2"/>
  <c r="F105" i="2"/>
  <c r="K105" i="2" s="1"/>
  <c r="T104" i="2"/>
  <c r="S104" i="2"/>
  <c r="R104" i="2"/>
  <c r="Q104" i="2"/>
  <c r="P104" i="2"/>
  <c r="O104" i="2"/>
  <c r="N104" i="2"/>
  <c r="M104" i="2"/>
  <c r="L104" i="2"/>
  <c r="J104" i="2"/>
  <c r="I104" i="2"/>
  <c r="G104" i="2"/>
  <c r="F104" i="2"/>
  <c r="K104" i="2" s="1"/>
  <c r="T103" i="2"/>
  <c r="S103" i="2"/>
  <c r="R103" i="2"/>
  <c r="Q103" i="2"/>
  <c r="P103" i="2"/>
  <c r="O103" i="2"/>
  <c r="N103" i="2"/>
  <c r="M103" i="2"/>
  <c r="L103" i="2"/>
  <c r="J103" i="2"/>
  <c r="I103" i="2"/>
  <c r="G103" i="2"/>
  <c r="F103" i="2"/>
  <c r="K103" i="2" s="1"/>
  <c r="T102" i="2"/>
  <c r="S102" i="2"/>
  <c r="R102" i="2"/>
  <c r="Q102" i="2"/>
  <c r="P102" i="2"/>
  <c r="O102" i="2"/>
  <c r="N102" i="2"/>
  <c r="M102" i="2"/>
  <c r="L102" i="2"/>
  <c r="K102" i="2"/>
  <c r="J102" i="2"/>
  <c r="I102" i="2"/>
  <c r="G102" i="2"/>
  <c r="F102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G101" i="2"/>
  <c r="F101" i="2"/>
  <c r="T100" i="2"/>
  <c r="S100" i="2"/>
  <c r="Q100" i="2"/>
  <c r="P100" i="2"/>
  <c r="O100" i="2"/>
  <c r="N100" i="2"/>
  <c r="M100" i="2"/>
  <c r="L100" i="2"/>
  <c r="K100" i="2"/>
  <c r="J100" i="2"/>
  <c r="I100" i="2"/>
  <c r="G100" i="2"/>
  <c r="F100" i="2"/>
  <c r="R100" i="2" s="1"/>
  <c r="T99" i="2"/>
  <c r="S99" i="2"/>
  <c r="R99" i="2"/>
  <c r="P99" i="2"/>
  <c r="O99" i="2"/>
  <c r="N99" i="2"/>
  <c r="M99" i="2"/>
  <c r="L99" i="2"/>
  <c r="K99" i="2"/>
  <c r="J99" i="2"/>
  <c r="I99" i="2"/>
  <c r="F99" i="2"/>
  <c r="Q99" i="2" s="1"/>
  <c r="T98" i="2"/>
  <c r="S98" i="2"/>
  <c r="R98" i="2"/>
  <c r="P98" i="2"/>
  <c r="O98" i="2"/>
  <c r="N98" i="2"/>
  <c r="M98" i="2"/>
  <c r="L98" i="2"/>
  <c r="K98" i="2"/>
  <c r="J98" i="2"/>
  <c r="I98" i="2"/>
  <c r="H98" i="2"/>
  <c r="G98" i="2"/>
  <c r="F98" i="2"/>
  <c r="Q98" i="2" s="1"/>
  <c r="T97" i="2"/>
  <c r="S97" i="2"/>
  <c r="R97" i="2"/>
  <c r="P97" i="2"/>
  <c r="O97" i="2"/>
  <c r="N97" i="2"/>
  <c r="M97" i="2"/>
  <c r="L97" i="2"/>
  <c r="K97" i="2"/>
  <c r="J97" i="2"/>
  <c r="I97" i="2"/>
  <c r="F97" i="2"/>
  <c r="Q97" i="2" s="1"/>
  <c r="T96" i="2"/>
  <c r="S96" i="2"/>
  <c r="R96" i="2"/>
  <c r="Q96" i="2"/>
  <c r="P96" i="2"/>
  <c r="O96" i="2"/>
  <c r="N96" i="2"/>
  <c r="M96" i="2"/>
  <c r="L96" i="2"/>
  <c r="J96" i="2"/>
  <c r="I96" i="2"/>
  <c r="G96" i="2"/>
  <c r="F96" i="2"/>
  <c r="K96" i="2" s="1"/>
  <c r="T95" i="2"/>
  <c r="S95" i="2"/>
  <c r="R95" i="2"/>
  <c r="Q95" i="2"/>
  <c r="P95" i="2"/>
  <c r="O95" i="2"/>
  <c r="N95" i="2"/>
  <c r="M95" i="2"/>
  <c r="L95" i="2"/>
  <c r="K95" i="2"/>
  <c r="J95" i="2"/>
  <c r="I95" i="2"/>
  <c r="G95" i="2"/>
  <c r="F95" i="2"/>
  <c r="T94" i="2"/>
  <c r="S94" i="2"/>
  <c r="Q94" i="2"/>
  <c r="P94" i="2"/>
  <c r="O94" i="2"/>
  <c r="N94" i="2"/>
  <c r="M94" i="2"/>
  <c r="L94" i="2"/>
  <c r="K94" i="2"/>
  <c r="J94" i="2"/>
  <c r="I94" i="2"/>
  <c r="G94" i="2"/>
  <c r="F94" i="2"/>
  <c r="R94" i="2" s="1"/>
  <c r="T93" i="2"/>
  <c r="S93" i="2"/>
  <c r="R93" i="2"/>
  <c r="P93" i="2"/>
  <c r="O93" i="2"/>
  <c r="N93" i="2"/>
  <c r="M93" i="2"/>
  <c r="L93" i="2"/>
  <c r="K93" i="2"/>
  <c r="J93" i="2"/>
  <c r="I93" i="2"/>
  <c r="G93" i="2"/>
  <c r="F93" i="2"/>
  <c r="Q93" i="2" s="1"/>
  <c r="T92" i="2"/>
  <c r="S92" i="2"/>
  <c r="R92" i="2"/>
  <c r="Q92" i="2"/>
  <c r="P92" i="2"/>
  <c r="O92" i="2"/>
  <c r="N92" i="2"/>
  <c r="M92" i="2"/>
  <c r="L92" i="2"/>
  <c r="K92" i="2"/>
  <c r="J92" i="2"/>
  <c r="I92" i="2"/>
  <c r="G92" i="2"/>
  <c r="F92" i="2"/>
  <c r="T91" i="2"/>
  <c r="S91" i="2"/>
  <c r="R91" i="2"/>
  <c r="Q91" i="2"/>
  <c r="P91" i="2"/>
  <c r="O91" i="2"/>
  <c r="N91" i="2"/>
  <c r="M91" i="2"/>
  <c r="L91" i="2"/>
  <c r="J91" i="2"/>
  <c r="I91" i="2"/>
  <c r="G91" i="2"/>
  <c r="F91" i="2"/>
  <c r="K91" i="2" s="1"/>
  <c r="T90" i="2"/>
  <c r="S90" i="2"/>
  <c r="R90" i="2"/>
  <c r="Q90" i="2"/>
  <c r="P90" i="2"/>
  <c r="O90" i="2"/>
  <c r="N90" i="2"/>
  <c r="M90" i="2"/>
  <c r="L90" i="2"/>
  <c r="J90" i="2"/>
  <c r="I90" i="2"/>
  <c r="G90" i="2"/>
  <c r="F90" i="2"/>
  <c r="K90" i="2" s="1"/>
  <c r="T89" i="2"/>
  <c r="S89" i="2"/>
  <c r="R89" i="2"/>
  <c r="Q89" i="2"/>
  <c r="P89" i="2"/>
  <c r="O89" i="2"/>
  <c r="N89" i="2"/>
  <c r="M89" i="2"/>
  <c r="L89" i="2"/>
  <c r="K89" i="2"/>
  <c r="J89" i="2"/>
  <c r="I89" i="2"/>
  <c r="G89" i="2"/>
  <c r="F89" i="2"/>
  <c r="T88" i="2"/>
  <c r="S88" i="2"/>
  <c r="R88" i="2"/>
  <c r="Q88" i="2"/>
  <c r="P88" i="2"/>
  <c r="O88" i="2"/>
  <c r="N88" i="2"/>
  <c r="M88" i="2"/>
  <c r="L88" i="2"/>
  <c r="K88" i="2"/>
  <c r="J88" i="2"/>
  <c r="I88" i="2"/>
  <c r="G88" i="2"/>
  <c r="F88" i="2"/>
  <c r="T87" i="2"/>
  <c r="S87" i="2"/>
  <c r="Q87" i="2"/>
  <c r="P87" i="2"/>
  <c r="O87" i="2"/>
  <c r="N87" i="2"/>
  <c r="M87" i="2"/>
  <c r="L87" i="2"/>
  <c r="K87" i="2"/>
  <c r="J87" i="2"/>
  <c r="I87" i="2"/>
  <c r="G87" i="2"/>
  <c r="F87" i="2"/>
  <c r="R87" i="2" s="1"/>
  <c r="T86" i="2"/>
  <c r="S86" i="2"/>
  <c r="R86" i="2"/>
  <c r="P86" i="2"/>
  <c r="O86" i="2"/>
  <c r="N86" i="2"/>
  <c r="M86" i="2"/>
  <c r="L86" i="2"/>
  <c r="K86" i="2"/>
  <c r="J86" i="2"/>
  <c r="I86" i="2"/>
  <c r="G86" i="2"/>
  <c r="F86" i="2"/>
  <c r="Q86" i="2" s="1"/>
  <c r="T85" i="2"/>
  <c r="S85" i="2"/>
  <c r="R85" i="2"/>
  <c r="P85" i="2"/>
  <c r="O85" i="2"/>
  <c r="N85" i="2"/>
  <c r="M85" i="2"/>
  <c r="L85" i="2"/>
  <c r="K85" i="2"/>
  <c r="J85" i="2"/>
  <c r="I85" i="2"/>
  <c r="F85" i="2"/>
  <c r="Q85" i="2" s="1"/>
  <c r="T84" i="2"/>
  <c r="S84" i="2"/>
  <c r="R84" i="2"/>
  <c r="Q84" i="2"/>
  <c r="P84" i="2"/>
  <c r="O84" i="2"/>
  <c r="N84" i="2"/>
  <c r="M84" i="2"/>
  <c r="L84" i="2"/>
  <c r="J84" i="2"/>
  <c r="I84" i="2"/>
  <c r="H84" i="2"/>
  <c r="G84" i="2"/>
  <c r="F84" i="2"/>
  <c r="K84" i="2" s="1"/>
  <c r="T426" i="1"/>
  <c r="S426" i="1"/>
  <c r="R426" i="1"/>
  <c r="Q426" i="1"/>
  <c r="P426" i="1"/>
  <c r="O426" i="1"/>
  <c r="N426" i="1"/>
  <c r="M426" i="1"/>
  <c r="L426" i="1"/>
  <c r="K426" i="1"/>
  <c r="J426" i="1"/>
  <c r="I426" i="1"/>
  <c r="G426" i="1"/>
  <c r="F426" i="1"/>
  <c r="T425" i="1"/>
  <c r="S425" i="1"/>
  <c r="R425" i="1"/>
  <c r="P425" i="1"/>
  <c r="O425" i="1"/>
  <c r="N425" i="1"/>
  <c r="M425" i="1"/>
  <c r="L425" i="1"/>
  <c r="K425" i="1"/>
  <c r="J425" i="1"/>
  <c r="I425" i="1"/>
  <c r="G425" i="1"/>
  <c r="F425" i="1"/>
  <c r="Q425" i="1" s="1"/>
  <c r="T424" i="1"/>
  <c r="S424" i="1"/>
  <c r="R424" i="1"/>
  <c r="Q424" i="1"/>
  <c r="P424" i="1"/>
  <c r="O424" i="1"/>
  <c r="N424" i="1"/>
  <c r="M424" i="1"/>
  <c r="L424" i="1"/>
  <c r="J424" i="1"/>
  <c r="I424" i="1"/>
  <c r="G424" i="1"/>
  <c r="F424" i="1"/>
  <c r="K424" i="1" s="1"/>
  <c r="T423" i="1"/>
  <c r="S423" i="1"/>
  <c r="R423" i="1"/>
  <c r="P423" i="1"/>
  <c r="O423" i="1"/>
  <c r="N423" i="1"/>
  <c r="M423" i="1"/>
  <c r="L423" i="1"/>
  <c r="K423" i="1"/>
  <c r="J423" i="1"/>
  <c r="I423" i="1"/>
  <c r="G423" i="1"/>
  <c r="F423" i="1"/>
  <c r="Q423" i="1" s="1"/>
  <c r="T422" i="1"/>
  <c r="S422" i="1"/>
  <c r="R422" i="1"/>
  <c r="P422" i="1"/>
  <c r="O422" i="1"/>
  <c r="N422" i="1"/>
  <c r="M422" i="1"/>
  <c r="L422" i="1"/>
  <c r="K422" i="1"/>
  <c r="J422" i="1"/>
  <c r="I422" i="1"/>
  <c r="F422" i="1"/>
  <c r="Q422" i="1" s="1"/>
  <c r="T421" i="1"/>
  <c r="S421" i="1"/>
  <c r="R421" i="1"/>
  <c r="P421" i="1"/>
  <c r="O421" i="1"/>
  <c r="N421" i="1"/>
  <c r="M421" i="1"/>
  <c r="L421" i="1"/>
  <c r="K421" i="1"/>
  <c r="J421" i="1"/>
  <c r="I421" i="1"/>
  <c r="F421" i="1"/>
  <c r="Q421" i="1" s="1"/>
  <c r="T420" i="1"/>
  <c r="S420" i="1"/>
  <c r="R420" i="1"/>
  <c r="P420" i="1"/>
  <c r="O420" i="1"/>
  <c r="N420" i="1"/>
  <c r="M420" i="1"/>
  <c r="L420" i="1"/>
  <c r="K420" i="1"/>
  <c r="J420" i="1"/>
  <c r="I420" i="1"/>
  <c r="F420" i="1"/>
  <c r="Q420" i="1" s="1"/>
  <c r="T419" i="1"/>
  <c r="S419" i="1"/>
  <c r="R419" i="1"/>
  <c r="Q419" i="1"/>
  <c r="P419" i="1"/>
  <c r="O419" i="1"/>
  <c r="N419" i="1"/>
  <c r="M419" i="1"/>
  <c r="L419" i="1"/>
  <c r="J419" i="1"/>
  <c r="I419" i="1"/>
  <c r="G419" i="1"/>
  <c r="F419" i="1"/>
  <c r="K419" i="1" s="1"/>
  <c r="T418" i="1"/>
  <c r="S418" i="1"/>
  <c r="R418" i="1"/>
  <c r="Q418" i="1"/>
  <c r="P418" i="1"/>
  <c r="O418" i="1"/>
  <c r="N418" i="1"/>
  <c r="M418" i="1"/>
  <c r="L418" i="1"/>
  <c r="J418" i="1"/>
  <c r="I418" i="1"/>
  <c r="G418" i="1"/>
  <c r="F418" i="1"/>
  <c r="K418" i="1" s="1"/>
  <c r="T417" i="1"/>
  <c r="S417" i="1"/>
  <c r="R417" i="1"/>
  <c r="Q417" i="1"/>
  <c r="P417" i="1"/>
  <c r="O417" i="1"/>
  <c r="N417" i="1"/>
  <c r="M417" i="1"/>
  <c r="L417" i="1"/>
  <c r="J417" i="1"/>
  <c r="I417" i="1"/>
  <c r="G417" i="1"/>
  <c r="F417" i="1"/>
  <c r="K417" i="1" s="1"/>
  <c r="T416" i="1"/>
  <c r="S416" i="1"/>
  <c r="R416" i="1"/>
  <c r="P416" i="1"/>
  <c r="O416" i="1"/>
  <c r="N416" i="1"/>
  <c r="M416" i="1"/>
  <c r="L416" i="1"/>
  <c r="K416" i="1"/>
  <c r="J416" i="1"/>
  <c r="I416" i="1"/>
  <c r="G416" i="1"/>
  <c r="F416" i="1"/>
  <c r="Q416" i="1" s="1"/>
  <c r="T415" i="1"/>
  <c r="S415" i="1"/>
  <c r="R415" i="1"/>
  <c r="Q415" i="1"/>
  <c r="P415" i="1"/>
  <c r="O415" i="1"/>
  <c r="N415" i="1"/>
  <c r="M415" i="1"/>
  <c r="L415" i="1"/>
  <c r="K415" i="1"/>
  <c r="J415" i="1"/>
  <c r="I415" i="1"/>
  <c r="G415" i="1"/>
  <c r="F415" i="1"/>
  <c r="T414" i="1"/>
  <c r="S414" i="1"/>
  <c r="R414" i="1"/>
  <c r="Q414" i="1"/>
  <c r="P414" i="1"/>
  <c r="O414" i="1"/>
  <c r="N414" i="1"/>
  <c r="M414" i="1"/>
  <c r="L414" i="1"/>
  <c r="K414" i="1"/>
  <c r="J414" i="1"/>
  <c r="I414" i="1"/>
  <c r="G414" i="1"/>
  <c r="F414" i="1"/>
  <c r="T413" i="1"/>
  <c r="S413" i="1"/>
  <c r="R413" i="1"/>
  <c r="Q413" i="1"/>
  <c r="P413" i="1"/>
  <c r="O413" i="1"/>
  <c r="N413" i="1"/>
  <c r="M413" i="1"/>
  <c r="L413" i="1"/>
  <c r="K413" i="1"/>
  <c r="J413" i="1"/>
  <c r="I413" i="1"/>
  <c r="G413" i="1"/>
  <c r="F413" i="1"/>
  <c r="T412" i="1"/>
  <c r="S412" i="1"/>
  <c r="R412" i="1"/>
  <c r="P412" i="1"/>
  <c r="O412" i="1"/>
  <c r="N412" i="1"/>
  <c r="M412" i="1"/>
  <c r="L412" i="1"/>
  <c r="K412" i="1"/>
  <c r="J412" i="1"/>
  <c r="I412" i="1"/>
  <c r="G412" i="1"/>
  <c r="F412" i="1"/>
  <c r="Q412" i="1" s="1"/>
  <c r="T411" i="1"/>
  <c r="S411" i="1"/>
  <c r="R411" i="1"/>
  <c r="P411" i="1"/>
  <c r="O411" i="1"/>
  <c r="N411" i="1"/>
  <c r="M411" i="1"/>
  <c r="L411" i="1"/>
  <c r="K411" i="1"/>
  <c r="J411" i="1"/>
  <c r="I411" i="1"/>
  <c r="G411" i="1"/>
  <c r="F411" i="1"/>
  <c r="Q411" i="1" s="1"/>
  <c r="T410" i="1"/>
  <c r="S410" i="1"/>
  <c r="R410" i="1"/>
  <c r="P410" i="1"/>
  <c r="O410" i="1"/>
  <c r="N410" i="1"/>
  <c r="M410" i="1"/>
  <c r="L410" i="1"/>
  <c r="K410" i="1"/>
  <c r="J410" i="1"/>
  <c r="I410" i="1"/>
  <c r="G410" i="1"/>
  <c r="F410" i="1"/>
  <c r="Q410" i="1" s="1"/>
  <c r="T409" i="1"/>
  <c r="S409" i="1"/>
  <c r="R409" i="1"/>
  <c r="Q409" i="1"/>
  <c r="P409" i="1"/>
  <c r="O409" i="1"/>
  <c r="N409" i="1"/>
  <c r="M409" i="1"/>
  <c r="L409" i="1"/>
  <c r="J409" i="1"/>
  <c r="I409" i="1"/>
  <c r="G409" i="1"/>
  <c r="F409" i="1"/>
  <c r="K409" i="1" s="1"/>
  <c r="T408" i="1"/>
  <c r="S408" i="1"/>
  <c r="R408" i="1"/>
  <c r="Q408" i="1"/>
  <c r="P408" i="1"/>
  <c r="O408" i="1"/>
  <c r="N408" i="1"/>
  <c r="M408" i="1"/>
  <c r="L408" i="1"/>
  <c r="J408" i="1"/>
  <c r="I408" i="1"/>
  <c r="G408" i="1"/>
  <c r="F408" i="1"/>
  <c r="K408" i="1" s="1"/>
  <c r="T407" i="1"/>
  <c r="S407" i="1"/>
  <c r="R407" i="1"/>
  <c r="Q407" i="1"/>
  <c r="P407" i="1"/>
  <c r="O407" i="1"/>
  <c r="N407" i="1"/>
  <c r="M407" i="1"/>
  <c r="L407" i="1"/>
  <c r="J407" i="1"/>
  <c r="I407" i="1"/>
  <c r="G407" i="1"/>
  <c r="F407" i="1"/>
  <c r="K407" i="1" s="1"/>
  <c r="T406" i="1"/>
  <c r="S406" i="1"/>
  <c r="R406" i="1"/>
  <c r="Q406" i="1"/>
  <c r="P406" i="1"/>
  <c r="O406" i="1"/>
  <c r="N406" i="1"/>
  <c r="M406" i="1"/>
  <c r="L406" i="1"/>
  <c r="J406" i="1"/>
  <c r="I406" i="1"/>
  <c r="G406" i="1"/>
  <c r="F406" i="1"/>
  <c r="K406" i="1" s="1"/>
  <c r="T405" i="1"/>
  <c r="S405" i="1"/>
  <c r="R405" i="1"/>
  <c r="Q405" i="1"/>
  <c r="P405" i="1"/>
  <c r="O405" i="1"/>
  <c r="N405" i="1"/>
  <c r="M405" i="1"/>
  <c r="L405" i="1"/>
  <c r="K405" i="1"/>
  <c r="J405" i="1"/>
  <c r="I405" i="1"/>
  <c r="G405" i="1"/>
  <c r="F405" i="1"/>
  <c r="T404" i="1"/>
  <c r="S404" i="1"/>
  <c r="R404" i="1"/>
  <c r="Q404" i="1"/>
  <c r="P404" i="1"/>
  <c r="O404" i="1"/>
  <c r="N404" i="1"/>
  <c r="M404" i="1"/>
  <c r="L404" i="1"/>
  <c r="K404" i="1"/>
  <c r="J404" i="1"/>
  <c r="I404" i="1"/>
  <c r="G404" i="1"/>
  <c r="F404" i="1"/>
  <c r="T403" i="1"/>
  <c r="S403" i="1"/>
  <c r="R403" i="1"/>
  <c r="Q403" i="1"/>
  <c r="P403" i="1"/>
  <c r="O403" i="1"/>
  <c r="N403" i="1"/>
  <c r="M403" i="1"/>
  <c r="L403" i="1"/>
  <c r="J403" i="1"/>
  <c r="I403" i="1"/>
  <c r="G403" i="1"/>
  <c r="F403" i="1"/>
  <c r="K403" i="1" s="1"/>
  <c r="T402" i="1"/>
  <c r="S402" i="1"/>
  <c r="R402" i="1"/>
  <c r="Q402" i="1"/>
  <c r="P402" i="1"/>
  <c r="O402" i="1"/>
  <c r="N402" i="1"/>
  <c r="M402" i="1"/>
  <c r="L402" i="1"/>
  <c r="J402" i="1"/>
  <c r="I402" i="1"/>
  <c r="G402" i="1"/>
  <c r="F402" i="1"/>
  <c r="K402" i="1" s="1"/>
  <c r="T401" i="1"/>
  <c r="S401" i="1"/>
  <c r="Q401" i="1"/>
  <c r="P401" i="1"/>
  <c r="O401" i="1"/>
  <c r="N401" i="1"/>
  <c r="M401" i="1"/>
  <c r="L401" i="1"/>
  <c r="K401" i="1"/>
  <c r="J401" i="1"/>
  <c r="I401" i="1"/>
  <c r="G401" i="1"/>
  <c r="F401" i="1"/>
  <c r="R401" i="1" s="1"/>
  <c r="T400" i="1"/>
  <c r="S400" i="1"/>
  <c r="R400" i="1"/>
  <c r="P400" i="1"/>
  <c r="O400" i="1"/>
  <c r="N400" i="1"/>
  <c r="M400" i="1"/>
  <c r="L400" i="1"/>
  <c r="K400" i="1"/>
  <c r="J400" i="1"/>
  <c r="I400" i="1"/>
  <c r="G400" i="1"/>
  <c r="F400" i="1"/>
  <c r="Q400" i="1" s="1"/>
  <c r="T399" i="1"/>
  <c r="S399" i="1"/>
  <c r="R399" i="1"/>
  <c r="P399" i="1"/>
  <c r="O399" i="1"/>
  <c r="N399" i="1"/>
  <c r="M399" i="1"/>
  <c r="L399" i="1"/>
  <c r="K399" i="1"/>
  <c r="J399" i="1"/>
  <c r="I399" i="1"/>
  <c r="F399" i="1"/>
  <c r="Q399" i="1" s="1"/>
  <c r="T398" i="1"/>
  <c r="S398" i="1"/>
  <c r="R398" i="1"/>
  <c r="P398" i="1"/>
  <c r="O398" i="1"/>
  <c r="N398" i="1"/>
  <c r="M398" i="1"/>
  <c r="L398" i="1"/>
  <c r="K398" i="1"/>
  <c r="J398" i="1"/>
  <c r="I398" i="1"/>
  <c r="F398" i="1"/>
  <c r="Q398" i="1" s="1"/>
  <c r="T397" i="1"/>
  <c r="S397" i="1"/>
  <c r="R397" i="1"/>
  <c r="P397" i="1"/>
  <c r="O397" i="1"/>
  <c r="N397" i="1"/>
  <c r="M397" i="1"/>
  <c r="L397" i="1"/>
  <c r="K397" i="1"/>
  <c r="J397" i="1"/>
  <c r="I397" i="1"/>
  <c r="F397" i="1"/>
  <c r="Q397" i="1" s="1"/>
  <c r="T396" i="1"/>
  <c r="S396" i="1"/>
  <c r="R396" i="1"/>
  <c r="Q396" i="1"/>
  <c r="P396" i="1"/>
  <c r="O396" i="1"/>
  <c r="N396" i="1"/>
  <c r="M396" i="1"/>
  <c r="L396" i="1"/>
  <c r="J396" i="1"/>
  <c r="I396" i="1"/>
  <c r="G396" i="1"/>
  <c r="F396" i="1"/>
  <c r="K396" i="1" s="1"/>
  <c r="T395" i="1"/>
  <c r="S395" i="1"/>
  <c r="R395" i="1"/>
  <c r="Q395" i="1"/>
  <c r="P395" i="1"/>
  <c r="O395" i="1"/>
  <c r="N395" i="1"/>
  <c r="M395" i="1"/>
  <c r="L395" i="1"/>
  <c r="J395" i="1"/>
  <c r="I395" i="1"/>
  <c r="G395" i="1"/>
  <c r="F395" i="1"/>
  <c r="K395" i="1" s="1"/>
  <c r="T394" i="1"/>
  <c r="S394" i="1"/>
  <c r="R394" i="1"/>
  <c r="Q394" i="1"/>
  <c r="P394" i="1"/>
  <c r="O394" i="1"/>
  <c r="N394" i="1"/>
  <c r="M394" i="1"/>
  <c r="L394" i="1"/>
  <c r="J394" i="1"/>
  <c r="I394" i="1"/>
  <c r="G394" i="1"/>
  <c r="F394" i="1"/>
  <c r="K394" i="1" s="1"/>
  <c r="T393" i="1"/>
  <c r="S393" i="1"/>
  <c r="R393" i="1"/>
  <c r="Q393" i="1"/>
  <c r="P393" i="1"/>
  <c r="O393" i="1"/>
  <c r="N393" i="1"/>
  <c r="M393" i="1"/>
  <c r="L393" i="1"/>
  <c r="J393" i="1"/>
  <c r="I393" i="1"/>
  <c r="G393" i="1"/>
  <c r="F393" i="1"/>
  <c r="K393" i="1" s="1"/>
  <c r="T392" i="1"/>
  <c r="S392" i="1"/>
  <c r="R392" i="1"/>
  <c r="Q392" i="1"/>
  <c r="P392" i="1"/>
  <c r="O392" i="1"/>
  <c r="N392" i="1"/>
  <c r="M392" i="1"/>
  <c r="L392" i="1"/>
  <c r="K392" i="1"/>
  <c r="J392" i="1"/>
  <c r="I392" i="1"/>
  <c r="G392" i="1"/>
  <c r="F392" i="1"/>
  <c r="T391" i="1"/>
  <c r="S391" i="1"/>
  <c r="R391" i="1"/>
  <c r="P391" i="1"/>
  <c r="O391" i="1"/>
  <c r="N391" i="1"/>
  <c r="M391" i="1"/>
  <c r="L391" i="1"/>
  <c r="K391" i="1"/>
  <c r="J391" i="1"/>
  <c r="I391" i="1"/>
  <c r="G391" i="1"/>
  <c r="F391" i="1"/>
  <c r="Q391" i="1" s="1"/>
  <c r="T390" i="1"/>
  <c r="S390" i="1"/>
  <c r="R390" i="1"/>
  <c r="P390" i="1"/>
  <c r="O390" i="1"/>
  <c r="N390" i="1"/>
  <c r="M390" i="1"/>
  <c r="L390" i="1"/>
  <c r="K390" i="1"/>
  <c r="J390" i="1"/>
  <c r="I390" i="1"/>
  <c r="G390" i="1"/>
  <c r="F390" i="1"/>
  <c r="Q390" i="1" s="1"/>
  <c r="T389" i="1"/>
  <c r="S389" i="1"/>
  <c r="R389" i="1"/>
  <c r="P389" i="1"/>
  <c r="O389" i="1"/>
  <c r="N389" i="1"/>
  <c r="M389" i="1"/>
  <c r="L389" i="1"/>
  <c r="K389" i="1"/>
  <c r="J389" i="1"/>
  <c r="I389" i="1"/>
  <c r="G389" i="1"/>
  <c r="F389" i="1"/>
  <c r="Q389" i="1" s="1"/>
  <c r="T388" i="1"/>
  <c r="S388" i="1"/>
  <c r="R388" i="1"/>
  <c r="Q388" i="1"/>
  <c r="P388" i="1"/>
  <c r="O388" i="1"/>
  <c r="N388" i="1"/>
  <c r="M388" i="1"/>
  <c r="L388" i="1"/>
  <c r="J388" i="1"/>
  <c r="I388" i="1"/>
  <c r="G388" i="1"/>
  <c r="F388" i="1"/>
  <c r="K388" i="1" s="1"/>
  <c r="T387" i="1"/>
  <c r="S387" i="1"/>
  <c r="R387" i="1"/>
  <c r="Q387" i="1"/>
  <c r="P387" i="1"/>
  <c r="O387" i="1"/>
  <c r="N387" i="1"/>
  <c r="M387" i="1"/>
  <c r="L387" i="1"/>
  <c r="J387" i="1"/>
  <c r="I387" i="1"/>
  <c r="G387" i="1"/>
  <c r="F387" i="1"/>
  <c r="K387" i="1" s="1"/>
  <c r="T386" i="1"/>
  <c r="S386" i="1"/>
  <c r="R386" i="1"/>
  <c r="Q386" i="1"/>
  <c r="P386" i="1"/>
  <c r="O386" i="1"/>
  <c r="N386" i="1"/>
  <c r="M386" i="1"/>
  <c r="L386" i="1"/>
  <c r="J386" i="1"/>
  <c r="I386" i="1"/>
  <c r="G386" i="1"/>
  <c r="F386" i="1"/>
  <c r="K386" i="1" s="1"/>
  <c r="T385" i="1"/>
  <c r="S385" i="1"/>
  <c r="R385" i="1"/>
  <c r="Q385" i="1"/>
  <c r="P385" i="1"/>
  <c r="O385" i="1"/>
  <c r="N385" i="1"/>
  <c r="M385" i="1"/>
  <c r="L385" i="1"/>
  <c r="J385" i="1"/>
  <c r="I385" i="1"/>
  <c r="G385" i="1"/>
  <c r="F385" i="1"/>
  <c r="K385" i="1" s="1"/>
  <c r="T384" i="1"/>
  <c r="S384" i="1"/>
  <c r="R384" i="1"/>
  <c r="Q384" i="1"/>
  <c r="P384" i="1"/>
  <c r="O384" i="1"/>
  <c r="N384" i="1"/>
  <c r="M384" i="1"/>
  <c r="L384" i="1"/>
  <c r="K384" i="1"/>
  <c r="J384" i="1"/>
  <c r="I384" i="1"/>
  <c r="G384" i="1"/>
  <c r="F384" i="1"/>
  <c r="T383" i="1"/>
  <c r="S383" i="1"/>
  <c r="R383" i="1"/>
  <c r="Q383" i="1"/>
  <c r="P383" i="1"/>
  <c r="O383" i="1"/>
  <c r="N383" i="1"/>
  <c r="M383" i="1"/>
  <c r="L383" i="1"/>
  <c r="K383" i="1"/>
  <c r="J383" i="1"/>
  <c r="I383" i="1"/>
  <c r="G383" i="1"/>
  <c r="F383" i="1"/>
  <c r="T382" i="1"/>
  <c r="S382" i="1"/>
  <c r="R382" i="1"/>
  <c r="Q382" i="1"/>
  <c r="P382" i="1"/>
  <c r="O382" i="1"/>
  <c r="N382" i="1"/>
  <c r="M382" i="1"/>
  <c r="K382" i="1"/>
  <c r="J382" i="1"/>
  <c r="I382" i="1"/>
  <c r="G382" i="1"/>
  <c r="F382" i="1"/>
  <c r="L382" i="1" s="1"/>
  <c r="T381" i="1"/>
  <c r="S381" i="1"/>
  <c r="R381" i="1"/>
  <c r="P381" i="1"/>
  <c r="O381" i="1"/>
  <c r="N381" i="1"/>
  <c r="M381" i="1"/>
  <c r="L381" i="1"/>
  <c r="K381" i="1"/>
  <c r="J381" i="1"/>
  <c r="I381" i="1"/>
  <c r="G381" i="1"/>
  <c r="F381" i="1"/>
  <c r="Q381" i="1" s="1"/>
  <c r="T380" i="1"/>
  <c r="S380" i="1"/>
  <c r="R380" i="1"/>
  <c r="P380" i="1"/>
  <c r="O380" i="1"/>
  <c r="N380" i="1"/>
  <c r="M380" i="1"/>
  <c r="L380" i="1"/>
  <c r="K380" i="1"/>
  <c r="J380" i="1"/>
  <c r="I380" i="1"/>
  <c r="G380" i="1"/>
  <c r="F380" i="1"/>
  <c r="Q380" i="1" s="1"/>
  <c r="T379" i="1"/>
  <c r="S379" i="1"/>
  <c r="R379" i="1"/>
  <c r="P379" i="1"/>
  <c r="O379" i="1"/>
  <c r="N379" i="1"/>
  <c r="M379" i="1"/>
  <c r="L379" i="1"/>
  <c r="K379" i="1"/>
  <c r="J379" i="1"/>
  <c r="I379" i="1"/>
  <c r="G379" i="1"/>
  <c r="F379" i="1"/>
  <c r="Q379" i="1" s="1"/>
  <c r="T378" i="1"/>
  <c r="S378" i="1"/>
  <c r="R378" i="1"/>
  <c r="Q378" i="1"/>
  <c r="P378" i="1"/>
  <c r="O378" i="1"/>
  <c r="N378" i="1"/>
  <c r="M378" i="1"/>
  <c r="L378" i="1"/>
  <c r="J378" i="1"/>
  <c r="I378" i="1"/>
  <c r="G378" i="1"/>
  <c r="F378" i="1"/>
  <c r="K378" i="1" s="1"/>
  <c r="T377" i="1"/>
  <c r="S377" i="1"/>
  <c r="R377" i="1"/>
  <c r="Q377" i="1"/>
  <c r="P377" i="1"/>
  <c r="O377" i="1"/>
  <c r="N377" i="1"/>
  <c r="M377" i="1"/>
  <c r="L377" i="1"/>
  <c r="J377" i="1"/>
  <c r="I377" i="1"/>
  <c r="G377" i="1"/>
  <c r="F377" i="1"/>
  <c r="K377" i="1" s="1"/>
  <c r="T376" i="1"/>
  <c r="S376" i="1"/>
  <c r="R376" i="1"/>
  <c r="Q376" i="1"/>
  <c r="P376" i="1"/>
  <c r="O376" i="1"/>
  <c r="N376" i="1"/>
  <c r="M376" i="1"/>
  <c r="L376" i="1"/>
  <c r="J376" i="1"/>
  <c r="I376" i="1"/>
  <c r="G376" i="1"/>
  <c r="F376" i="1"/>
  <c r="K376" i="1" s="1"/>
  <c r="T375" i="1"/>
  <c r="S375" i="1"/>
  <c r="R375" i="1"/>
  <c r="Q375" i="1"/>
  <c r="P375" i="1"/>
  <c r="O375" i="1"/>
  <c r="N375" i="1"/>
  <c r="M375" i="1"/>
  <c r="L375" i="1"/>
  <c r="J375" i="1"/>
  <c r="I375" i="1"/>
  <c r="G375" i="1"/>
  <c r="F375" i="1"/>
  <c r="K375" i="1" s="1"/>
  <c r="T374" i="1"/>
  <c r="S374" i="1"/>
  <c r="R374" i="1"/>
  <c r="Q374" i="1"/>
  <c r="P374" i="1"/>
  <c r="O374" i="1"/>
  <c r="N374" i="1"/>
  <c r="M374" i="1"/>
  <c r="L374" i="1"/>
  <c r="K374" i="1"/>
  <c r="J374" i="1"/>
  <c r="I374" i="1"/>
  <c r="G374" i="1"/>
  <c r="F374" i="1"/>
  <c r="T373" i="1"/>
  <c r="S373" i="1"/>
  <c r="R373" i="1"/>
  <c r="Q373" i="1"/>
  <c r="P373" i="1"/>
  <c r="O373" i="1"/>
  <c r="N373" i="1"/>
  <c r="M373" i="1"/>
  <c r="K373" i="1"/>
  <c r="J373" i="1"/>
  <c r="I373" i="1"/>
  <c r="G373" i="1"/>
  <c r="F373" i="1"/>
  <c r="L373" i="1" s="1"/>
  <c r="T372" i="1"/>
  <c r="S372" i="1"/>
  <c r="R372" i="1"/>
  <c r="P372" i="1"/>
  <c r="O372" i="1"/>
  <c r="N372" i="1"/>
  <c r="M372" i="1"/>
  <c r="L372" i="1"/>
  <c r="K372" i="1"/>
  <c r="J372" i="1"/>
  <c r="I372" i="1"/>
  <c r="G372" i="1"/>
  <c r="F372" i="1"/>
  <c r="Q372" i="1" s="1"/>
  <c r="T371" i="1"/>
  <c r="S371" i="1"/>
  <c r="R371" i="1"/>
  <c r="P371" i="1"/>
  <c r="O371" i="1"/>
  <c r="N371" i="1"/>
  <c r="M371" i="1"/>
  <c r="L371" i="1"/>
  <c r="K371" i="1"/>
  <c r="J371" i="1"/>
  <c r="I371" i="1"/>
  <c r="F371" i="1"/>
  <c r="Q371" i="1" s="1"/>
  <c r="T370" i="1"/>
  <c r="S370" i="1"/>
  <c r="R370" i="1"/>
  <c r="P370" i="1"/>
  <c r="O370" i="1"/>
  <c r="N370" i="1"/>
  <c r="M370" i="1"/>
  <c r="L370" i="1"/>
  <c r="K370" i="1"/>
  <c r="J370" i="1"/>
  <c r="I370" i="1"/>
  <c r="F370" i="1"/>
  <c r="Q370" i="1" s="1"/>
  <c r="T369" i="1"/>
  <c r="S369" i="1"/>
  <c r="R369" i="1"/>
  <c r="P369" i="1"/>
  <c r="O369" i="1"/>
  <c r="N369" i="1"/>
  <c r="M369" i="1"/>
  <c r="L369" i="1"/>
  <c r="K369" i="1"/>
  <c r="J369" i="1"/>
  <c r="I369" i="1"/>
  <c r="F369" i="1"/>
  <c r="Q369" i="1" s="1"/>
  <c r="T368" i="1"/>
  <c r="S368" i="1"/>
  <c r="R368" i="1"/>
  <c r="P368" i="1"/>
  <c r="O368" i="1"/>
  <c r="N368" i="1"/>
  <c r="M368" i="1"/>
  <c r="L368" i="1"/>
  <c r="K368" i="1"/>
  <c r="J368" i="1"/>
  <c r="I368" i="1"/>
  <c r="F368" i="1"/>
  <c r="Q368" i="1" s="1"/>
  <c r="T367" i="1"/>
  <c r="S367" i="1"/>
  <c r="R367" i="1"/>
  <c r="P367" i="1"/>
  <c r="O367" i="1"/>
  <c r="N367" i="1"/>
  <c r="M367" i="1"/>
  <c r="L367" i="1"/>
  <c r="K367" i="1"/>
  <c r="J367" i="1"/>
  <c r="I367" i="1"/>
  <c r="F367" i="1"/>
  <c r="Q367" i="1" s="1"/>
  <c r="T366" i="1"/>
  <c r="S366" i="1"/>
  <c r="R366" i="1"/>
  <c r="P366" i="1"/>
  <c r="O366" i="1"/>
  <c r="N366" i="1"/>
  <c r="M366" i="1"/>
  <c r="L366" i="1"/>
  <c r="K366" i="1"/>
  <c r="J366" i="1"/>
  <c r="I366" i="1"/>
  <c r="F366" i="1"/>
  <c r="Q366" i="1" s="1"/>
  <c r="T365" i="1"/>
  <c r="S365" i="1"/>
  <c r="R365" i="1"/>
  <c r="Q365" i="1"/>
  <c r="P365" i="1"/>
  <c r="O365" i="1"/>
  <c r="N365" i="1"/>
  <c r="M365" i="1"/>
  <c r="L365" i="1"/>
  <c r="J365" i="1"/>
  <c r="I365" i="1"/>
  <c r="G365" i="1"/>
  <c r="F365" i="1"/>
  <c r="K365" i="1" s="1"/>
  <c r="T364" i="1"/>
  <c r="S364" i="1"/>
  <c r="R364" i="1"/>
  <c r="Q364" i="1"/>
  <c r="P364" i="1"/>
  <c r="O364" i="1"/>
  <c r="N364" i="1"/>
  <c r="M364" i="1"/>
  <c r="L364" i="1"/>
  <c r="J364" i="1"/>
  <c r="I364" i="1"/>
  <c r="G364" i="1"/>
  <c r="F364" i="1"/>
  <c r="K364" i="1" s="1"/>
  <c r="T363" i="1"/>
  <c r="S363" i="1"/>
  <c r="R363" i="1"/>
  <c r="Q363" i="1"/>
  <c r="P363" i="1"/>
  <c r="O363" i="1"/>
  <c r="N363" i="1"/>
  <c r="M363" i="1"/>
  <c r="L363" i="1"/>
  <c r="J363" i="1"/>
  <c r="I363" i="1"/>
  <c r="G363" i="1"/>
  <c r="F363" i="1"/>
  <c r="K363" i="1" s="1"/>
  <c r="T362" i="1"/>
  <c r="S362" i="1"/>
  <c r="R362" i="1"/>
  <c r="Q362" i="1"/>
  <c r="P362" i="1"/>
  <c r="O362" i="1"/>
  <c r="N362" i="1"/>
  <c r="M362" i="1"/>
  <c r="L362" i="1"/>
  <c r="J362" i="1"/>
  <c r="I362" i="1"/>
  <c r="G362" i="1"/>
  <c r="F362" i="1"/>
  <c r="K362" i="1" s="1"/>
  <c r="T361" i="1"/>
  <c r="S361" i="1"/>
  <c r="R361" i="1"/>
  <c r="Q361" i="1"/>
  <c r="P361" i="1"/>
  <c r="O361" i="1"/>
  <c r="N361" i="1"/>
  <c r="M361" i="1"/>
  <c r="L361" i="1"/>
  <c r="J361" i="1"/>
  <c r="I361" i="1"/>
  <c r="G361" i="1"/>
  <c r="F361" i="1"/>
  <c r="K361" i="1" s="1"/>
  <c r="T360" i="1"/>
  <c r="S360" i="1"/>
  <c r="R360" i="1"/>
  <c r="Q360" i="1"/>
  <c r="P360" i="1"/>
  <c r="O360" i="1"/>
  <c r="N360" i="1"/>
  <c r="M360" i="1"/>
  <c r="L360" i="1"/>
  <c r="J360" i="1"/>
  <c r="I360" i="1"/>
  <c r="G360" i="1"/>
  <c r="F360" i="1"/>
  <c r="K360" i="1" s="1"/>
  <c r="T359" i="1"/>
  <c r="S359" i="1"/>
  <c r="R359" i="1"/>
  <c r="Q359" i="1"/>
  <c r="P359" i="1"/>
  <c r="O359" i="1"/>
  <c r="N359" i="1"/>
  <c r="M359" i="1"/>
  <c r="L359" i="1"/>
  <c r="K359" i="1"/>
  <c r="J359" i="1"/>
  <c r="I359" i="1"/>
  <c r="G359" i="1"/>
  <c r="F359" i="1"/>
  <c r="T358" i="1"/>
  <c r="S358" i="1"/>
  <c r="Q358" i="1"/>
  <c r="P358" i="1"/>
  <c r="O358" i="1"/>
  <c r="N358" i="1"/>
  <c r="M358" i="1"/>
  <c r="L358" i="1"/>
  <c r="K358" i="1"/>
  <c r="J358" i="1"/>
  <c r="I358" i="1"/>
  <c r="G358" i="1"/>
  <c r="F358" i="1"/>
  <c r="R358" i="1" s="1"/>
  <c r="T357" i="1"/>
  <c r="S357" i="1"/>
  <c r="R357" i="1"/>
  <c r="P357" i="1"/>
  <c r="O357" i="1"/>
  <c r="N357" i="1"/>
  <c r="M357" i="1"/>
  <c r="L357" i="1"/>
  <c r="K357" i="1"/>
  <c r="J357" i="1"/>
  <c r="I357" i="1"/>
  <c r="G357" i="1"/>
  <c r="F357" i="1"/>
  <c r="Q357" i="1" s="1"/>
  <c r="T356" i="1"/>
  <c r="S356" i="1"/>
  <c r="R356" i="1"/>
  <c r="P356" i="1"/>
  <c r="O356" i="1"/>
  <c r="N356" i="1"/>
  <c r="M356" i="1"/>
  <c r="L356" i="1"/>
  <c r="K356" i="1"/>
  <c r="J356" i="1"/>
  <c r="I356" i="1"/>
  <c r="F356" i="1"/>
  <c r="Q356" i="1" s="1"/>
  <c r="T355" i="1"/>
  <c r="S355" i="1"/>
  <c r="R355" i="1"/>
  <c r="P355" i="1"/>
  <c r="O355" i="1"/>
  <c r="N355" i="1"/>
  <c r="M355" i="1"/>
  <c r="L355" i="1"/>
  <c r="K355" i="1"/>
  <c r="J355" i="1"/>
  <c r="I355" i="1"/>
  <c r="F355" i="1"/>
  <c r="Q355" i="1" s="1"/>
  <c r="T354" i="1"/>
  <c r="S354" i="1"/>
  <c r="R354" i="1"/>
  <c r="Q354" i="1"/>
  <c r="P354" i="1"/>
  <c r="O354" i="1"/>
  <c r="N354" i="1"/>
  <c r="M354" i="1"/>
  <c r="L354" i="1"/>
  <c r="J354" i="1"/>
  <c r="I354" i="1"/>
  <c r="G354" i="1"/>
  <c r="F354" i="1"/>
  <c r="K354" i="1" s="1"/>
  <c r="T353" i="1"/>
  <c r="S353" i="1"/>
  <c r="R353" i="1"/>
  <c r="Q353" i="1"/>
  <c r="P353" i="1"/>
  <c r="O353" i="1"/>
  <c r="N353" i="1"/>
  <c r="M353" i="1"/>
  <c r="L353" i="1"/>
  <c r="J353" i="1"/>
  <c r="I353" i="1"/>
  <c r="G353" i="1"/>
  <c r="F353" i="1"/>
  <c r="K353" i="1" s="1"/>
  <c r="T352" i="1"/>
  <c r="S352" i="1"/>
  <c r="R352" i="1"/>
  <c r="Q352" i="1"/>
  <c r="P352" i="1"/>
  <c r="O352" i="1"/>
  <c r="N352" i="1"/>
  <c r="M352" i="1"/>
  <c r="L352" i="1"/>
  <c r="K352" i="1"/>
  <c r="J352" i="1"/>
  <c r="I352" i="1"/>
  <c r="G352" i="1"/>
  <c r="F352" i="1"/>
  <c r="T351" i="1"/>
  <c r="S351" i="1"/>
  <c r="R351" i="1"/>
  <c r="P351" i="1"/>
  <c r="O351" i="1"/>
  <c r="N351" i="1"/>
  <c r="M351" i="1"/>
  <c r="L351" i="1"/>
  <c r="K351" i="1"/>
  <c r="J351" i="1"/>
  <c r="I351" i="1"/>
  <c r="G351" i="1"/>
  <c r="F351" i="1"/>
  <c r="Q351" i="1" s="1"/>
  <c r="T350" i="1"/>
  <c r="S350" i="1"/>
  <c r="R350" i="1"/>
  <c r="P350" i="1"/>
  <c r="O350" i="1"/>
  <c r="N350" i="1"/>
  <c r="M350" i="1"/>
  <c r="L350" i="1"/>
  <c r="K350" i="1"/>
  <c r="J350" i="1"/>
  <c r="I350" i="1"/>
  <c r="G350" i="1"/>
  <c r="F350" i="1"/>
  <c r="Q350" i="1" s="1"/>
  <c r="T349" i="1"/>
  <c r="S349" i="1"/>
  <c r="R349" i="1"/>
  <c r="P349" i="1"/>
  <c r="O349" i="1"/>
  <c r="N349" i="1"/>
  <c r="M349" i="1"/>
  <c r="L349" i="1"/>
  <c r="K349" i="1"/>
  <c r="J349" i="1"/>
  <c r="I349" i="1"/>
  <c r="G349" i="1"/>
  <c r="F349" i="1"/>
  <c r="Q349" i="1" s="1"/>
  <c r="T348" i="1"/>
  <c r="S348" i="1"/>
  <c r="R348" i="1"/>
  <c r="Q348" i="1"/>
  <c r="P348" i="1"/>
  <c r="O348" i="1"/>
  <c r="N348" i="1"/>
  <c r="M348" i="1"/>
  <c r="L348" i="1"/>
  <c r="J348" i="1"/>
  <c r="I348" i="1"/>
  <c r="G348" i="1"/>
  <c r="F348" i="1"/>
  <c r="K348" i="1" s="1"/>
  <c r="T347" i="1"/>
  <c r="S347" i="1"/>
  <c r="R347" i="1"/>
  <c r="Q347" i="1"/>
  <c r="P347" i="1"/>
  <c r="O347" i="1"/>
  <c r="N347" i="1"/>
  <c r="M347" i="1"/>
  <c r="L347" i="1"/>
  <c r="J347" i="1"/>
  <c r="I347" i="1"/>
  <c r="G347" i="1"/>
  <c r="F347" i="1"/>
  <c r="K347" i="1" s="1"/>
  <c r="T346" i="1"/>
  <c r="S346" i="1"/>
  <c r="R346" i="1"/>
  <c r="Q346" i="1"/>
  <c r="P346" i="1"/>
  <c r="O346" i="1"/>
  <c r="N346" i="1"/>
  <c r="M346" i="1"/>
  <c r="L346" i="1"/>
  <c r="J346" i="1"/>
  <c r="I346" i="1"/>
  <c r="G346" i="1"/>
  <c r="F346" i="1"/>
  <c r="K346" i="1" s="1"/>
  <c r="T345" i="1"/>
  <c r="S345" i="1"/>
  <c r="R345" i="1"/>
  <c r="Q345" i="1"/>
  <c r="P345" i="1"/>
  <c r="O345" i="1"/>
  <c r="N345" i="1"/>
  <c r="M345" i="1"/>
  <c r="L345" i="1"/>
  <c r="J345" i="1"/>
  <c r="I345" i="1"/>
  <c r="G345" i="1"/>
  <c r="F345" i="1"/>
  <c r="K345" i="1" s="1"/>
  <c r="T344" i="1"/>
  <c r="S344" i="1"/>
  <c r="R344" i="1"/>
  <c r="Q344" i="1"/>
  <c r="P344" i="1"/>
  <c r="O344" i="1"/>
  <c r="N344" i="1"/>
  <c r="M344" i="1"/>
  <c r="L344" i="1"/>
  <c r="K344" i="1"/>
  <c r="J344" i="1"/>
  <c r="I344" i="1"/>
  <c r="G344" i="1"/>
  <c r="F344" i="1"/>
  <c r="T343" i="1"/>
  <c r="S343" i="1"/>
  <c r="Q343" i="1"/>
  <c r="P343" i="1"/>
  <c r="O343" i="1"/>
  <c r="N343" i="1"/>
  <c r="M343" i="1"/>
  <c r="L343" i="1"/>
  <c r="K343" i="1"/>
  <c r="J343" i="1"/>
  <c r="I343" i="1"/>
  <c r="G343" i="1"/>
  <c r="F343" i="1"/>
  <c r="R343" i="1" s="1"/>
  <c r="T342" i="1"/>
  <c r="S342" i="1"/>
  <c r="R342" i="1"/>
  <c r="P342" i="1"/>
  <c r="O342" i="1"/>
  <c r="N342" i="1"/>
  <c r="M342" i="1"/>
  <c r="L342" i="1"/>
  <c r="K342" i="1"/>
  <c r="J342" i="1"/>
  <c r="I342" i="1"/>
  <c r="G342" i="1"/>
  <c r="F342" i="1"/>
  <c r="Q342" i="1" s="1"/>
  <c r="T341" i="1"/>
  <c r="S341" i="1"/>
  <c r="R341" i="1"/>
  <c r="P341" i="1"/>
  <c r="O341" i="1"/>
  <c r="N341" i="1"/>
  <c r="M341" i="1"/>
  <c r="L341" i="1"/>
  <c r="K341" i="1"/>
  <c r="J341" i="1"/>
  <c r="I341" i="1"/>
  <c r="F341" i="1"/>
  <c r="Q341" i="1" s="1"/>
  <c r="T340" i="1"/>
  <c r="S340" i="1"/>
  <c r="R340" i="1"/>
  <c r="P340" i="1"/>
  <c r="O340" i="1"/>
  <c r="N340" i="1"/>
  <c r="M340" i="1"/>
  <c r="L340" i="1"/>
  <c r="K340" i="1"/>
  <c r="J340" i="1"/>
  <c r="I340" i="1"/>
  <c r="F340" i="1"/>
  <c r="Q340" i="1" s="1"/>
  <c r="T339" i="1"/>
  <c r="S339" i="1"/>
  <c r="R339" i="1"/>
  <c r="P339" i="1"/>
  <c r="O339" i="1"/>
  <c r="N339" i="1"/>
  <c r="M339" i="1"/>
  <c r="L339" i="1"/>
  <c r="K339" i="1"/>
  <c r="J339" i="1"/>
  <c r="I339" i="1"/>
  <c r="F339" i="1"/>
  <c r="Q339" i="1" s="1"/>
  <c r="T338" i="1"/>
  <c r="S338" i="1"/>
  <c r="R338" i="1"/>
  <c r="P338" i="1"/>
  <c r="O338" i="1"/>
  <c r="N338" i="1"/>
  <c r="M338" i="1"/>
  <c r="L338" i="1"/>
  <c r="K338" i="1"/>
  <c r="J338" i="1"/>
  <c r="I338" i="1"/>
  <c r="F338" i="1"/>
  <c r="Q338" i="1" s="1"/>
  <c r="T337" i="1"/>
  <c r="S337" i="1"/>
  <c r="R337" i="1"/>
  <c r="P337" i="1"/>
  <c r="O337" i="1"/>
  <c r="N337" i="1"/>
  <c r="M337" i="1"/>
  <c r="L337" i="1"/>
  <c r="K337" i="1"/>
  <c r="J337" i="1"/>
  <c r="I337" i="1"/>
  <c r="F337" i="1"/>
  <c r="Q337" i="1" s="1"/>
  <c r="T336" i="1"/>
  <c r="S336" i="1"/>
  <c r="R336" i="1"/>
  <c r="Q336" i="1"/>
  <c r="P336" i="1"/>
  <c r="O336" i="1"/>
  <c r="N336" i="1"/>
  <c r="M336" i="1"/>
  <c r="L336" i="1"/>
  <c r="J336" i="1"/>
  <c r="I336" i="1"/>
  <c r="G336" i="1"/>
  <c r="F336" i="1"/>
  <c r="K336" i="1" s="1"/>
  <c r="T335" i="1"/>
  <c r="S335" i="1"/>
  <c r="R335" i="1"/>
  <c r="Q335" i="1"/>
  <c r="P335" i="1"/>
  <c r="O335" i="1"/>
  <c r="N335" i="1"/>
  <c r="M335" i="1"/>
  <c r="L335" i="1"/>
  <c r="J335" i="1"/>
  <c r="I335" i="1"/>
  <c r="G335" i="1"/>
  <c r="F335" i="1"/>
  <c r="K335" i="1" s="1"/>
  <c r="T334" i="1"/>
  <c r="S334" i="1"/>
  <c r="R334" i="1"/>
  <c r="Q334" i="1"/>
  <c r="P334" i="1"/>
  <c r="O334" i="1"/>
  <c r="N334" i="1"/>
  <c r="M334" i="1"/>
  <c r="L334" i="1"/>
  <c r="J334" i="1"/>
  <c r="I334" i="1"/>
  <c r="G334" i="1"/>
  <c r="F334" i="1"/>
  <c r="K334" i="1" s="1"/>
  <c r="T333" i="1"/>
  <c r="S333" i="1"/>
  <c r="R333" i="1"/>
  <c r="Q333" i="1"/>
  <c r="P333" i="1"/>
  <c r="O333" i="1"/>
  <c r="N333" i="1"/>
  <c r="M333" i="1"/>
  <c r="L333" i="1"/>
  <c r="J333" i="1"/>
  <c r="I333" i="1"/>
  <c r="G333" i="1"/>
  <c r="F333" i="1"/>
  <c r="K333" i="1" s="1"/>
  <c r="T332" i="1"/>
  <c r="S332" i="1"/>
  <c r="R332" i="1"/>
  <c r="P332" i="1"/>
  <c r="O332" i="1"/>
  <c r="N332" i="1"/>
  <c r="M332" i="1"/>
  <c r="L332" i="1"/>
  <c r="K332" i="1"/>
  <c r="J332" i="1"/>
  <c r="I332" i="1"/>
  <c r="G332" i="1"/>
  <c r="F332" i="1"/>
  <c r="Q332" i="1" s="1"/>
  <c r="T331" i="1"/>
  <c r="S331" i="1"/>
  <c r="R331" i="1"/>
  <c r="P331" i="1"/>
  <c r="O331" i="1"/>
  <c r="N331" i="1"/>
  <c r="M331" i="1"/>
  <c r="L331" i="1"/>
  <c r="K331" i="1"/>
  <c r="J331" i="1"/>
  <c r="I331" i="1"/>
  <c r="G331" i="1"/>
  <c r="F331" i="1"/>
  <c r="Q331" i="1" s="1"/>
  <c r="T330" i="1"/>
  <c r="S330" i="1"/>
  <c r="R330" i="1"/>
  <c r="P330" i="1"/>
  <c r="O330" i="1"/>
  <c r="N330" i="1"/>
  <c r="M330" i="1"/>
  <c r="L330" i="1"/>
  <c r="K330" i="1"/>
  <c r="J330" i="1"/>
  <c r="I330" i="1"/>
  <c r="G330" i="1"/>
  <c r="F330" i="1"/>
  <c r="Q330" i="1" s="1"/>
  <c r="T329" i="1"/>
  <c r="S329" i="1"/>
  <c r="R329" i="1"/>
  <c r="Q329" i="1"/>
  <c r="P329" i="1"/>
  <c r="O329" i="1"/>
  <c r="N329" i="1"/>
  <c r="M329" i="1"/>
  <c r="L329" i="1"/>
  <c r="J329" i="1"/>
  <c r="I329" i="1"/>
  <c r="G329" i="1"/>
  <c r="F329" i="1"/>
  <c r="K329" i="1" s="1"/>
  <c r="T328" i="1"/>
  <c r="S328" i="1"/>
  <c r="R328" i="1"/>
  <c r="Q328" i="1"/>
  <c r="P328" i="1"/>
  <c r="O328" i="1"/>
  <c r="N328" i="1"/>
  <c r="M328" i="1"/>
  <c r="L328" i="1"/>
  <c r="J328" i="1"/>
  <c r="I328" i="1"/>
  <c r="G328" i="1"/>
  <c r="F328" i="1"/>
  <c r="K328" i="1" s="1"/>
  <c r="T327" i="1"/>
  <c r="S327" i="1"/>
  <c r="R327" i="1"/>
  <c r="Q327" i="1"/>
  <c r="P327" i="1"/>
  <c r="O327" i="1"/>
  <c r="N327" i="1"/>
  <c r="M327" i="1"/>
  <c r="L327" i="1"/>
  <c r="J327" i="1"/>
  <c r="I327" i="1"/>
  <c r="G327" i="1"/>
  <c r="F327" i="1"/>
  <c r="K327" i="1" s="1"/>
  <c r="T326" i="1"/>
  <c r="S326" i="1"/>
  <c r="R326" i="1"/>
  <c r="P326" i="1"/>
  <c r="O326" i="1"/>
  <c r="N326" i="1"/>
  <c r="M326" i="1"/>
  <c r="L326" i="1"/>
  <c r="K326" i="1"/>
  <c r="J326" i="1"/>
  <c r="I326" i="1"/>
  <c r="G326" i="1"/>
  <c r="F326" i="1"/>
  <c r="Q326" i="1" s="1"/>
  <c r="T325" i="1"/>
  <c r="S325" i="1"/>
  <c r="R325" i="1"/>
  <c r="P325" i="1"/>
  <c r="O325" i="1"/>
  <c r="N325" i="1"/>
  <c r="M325" i="1"/>
  <c r="L325" i="1"/>
  <c r="K325" i="1"/>
  <c r="J325" i="1"/>
  <c r="I325" i="1"/>
  <c r="G325" i="1"/>
  <c r="F325" i="1"/>
  <c r="Q325" i="1" s="1"/>
  <c r="T324" i="1"/>
  <c r="S324" i="1"/>
  <c r="R324" i="1"/>
  <c r="P324" i="1"/>
  <c r="O324" i="1"/>
  <c r="N324" i="1"/>
  <c r="M324" i="1"/>
  <c r="L324" i="1"/>
  <c r="K324" i="1"/>
  <c r="J324" i="1"/>
  <c r="I324" i="1"/>
  <c r="G324" i="1"/>
  <c r="F324" i="1"/>
  <c r="Q324" i="1" s="1"/>
  <c r="T323" i="1"/>
  <c r="S323" i="1"/>
  <c r="R323" i="1"/>
  <c r="P323" i="1"/>
  <c r="O323" i="1"/>
  <c r="N323" i="1"/>
  <c r="M323" i="1"/>
  <c r="L323" i="1"/>
  <c r="K323" i="1"/>
  <c r="J323" i="1"/>
  <c r="I323" i="1"/>
  <c r="G323" i="1"/>
  <c r="F323" i="1"/>
  <c r="Q323" i="1" s="1"/>
  <c r="T322" i="1"/>
  <c r="S322" i="1"/>
  <c r="R322" i="1"/>
  <c r="Q322" i="1"/>
  <c r="P322" i="1"/>
  <c r="O322" i="1"/>
  <c r="N322" i="1"/>
  <c r="M322" i="1"/>
  <c r="L322" i="1"/>
  <c r="J322" i="1"/>
  <c r="I322" i="1"/>
  <c r="G322" i="1"/>
  <c r="F322" i="1"/>
  <c r="K322" i="1" s="1"/>
  <c r="T321" i="1"/>
  <c r="S321" i="1"/>
  <c r="R321" i="1"/>
  <c r="Q321" i="1"/>
  <c r="P321" i="1"/>
  <c r="O321" i="1"/>
  <c r="N321" i="1"/>
  <c r="M321" i="1"/>
  <c r="L321" i="1"/>
  <c r="J321" i="1"/>
  <c r="I321" i="1"/>
  <c r="G321" i="1"/>
  <c r="F321" i="1"/>
  <c r="K321" i="1" s="1"/>
  <c r="T320" i="1"/>
  <c r="S320" i="1"/>
  <c r="R320" i="1"/>
  <c r="Q320" i="1"/>
  <c r="P320" i="1"/>
  <c r="O320" i="1"/>
  <c r="N320" i="1"/>
  <c r="M320" i="1"/>
  <c r="L320" i="1"/>
  <c r="J320" i="1"/>
  <c r="I320" i="1"/>
  <c r="G320" i="1"/>
  <c r="F320" i="1"/>
  <c r="K320" i="1" s="1"/>
  <c r="T319" i="1"/>
  <c r="S319" i="1"/>
  <c r="R319" i="1"/>
  <c r="Q319" i="1"/>
  <c r="P319" i="1"/>
  <c r="O319" i="1"/>
  <c r="N319" i="1"/>
  <c r="M319" i="1"/>
  <c r="L319" i="1"/>
  <c r="J319" i="1"/>
  <c r="I319" i="1"/>
  <c r="G319" i="1"/>
  <c r="F319" i="1"/>
  <c r="K319" i="1" s="1"/>
  <c r="T318" i="1"/>
  <c r="S318" i="1"/>
  <c r="R318" i="1"/>
  <c r="Q318" i="1"/>
  <c r="P318" i="1"/>
  <c r="O318" i="1"/>
  <c r="N318" i="1"/>
  <c r="M318" i="1"/>
  <c r="L318" i="1"/>
  <c r="J318" i="1"/>
  <c r="I318" i="1"/>
  <c r="G318" i="1"/>
  <c r="F318" i="1"/>
  <c r="K318" i="1" s="1"/>
  <c r="T317" i="1"/>
  <c r="S317" i="1"/>
  <c r="R317" i="1"/>
  <c r="Q317" i="1"/>
  <c r="P317" i="1"/>
  <c r="O317" i="1"/>
  <c r="N317" i="1"/>
  <c r="M317" i="1"/>
  <c r="L317" i="1"/>
  <c r="K317" i="1"/>
  <c r="J317" i="1"/>
  <c r="I317" i="1"/>
  <c r="G317" i="1"/>
  <c r="F317" i="1"/>
  <c r="T316" i="1"/>
  <c r="S316" i="1"/>
  <c r="R316" i="1"/>
  <c r="Q316" i="1"/>
  <c r="P316" i="1"/>
  <c r="O316" i="1"/>
  <c r="N316" i="1"/>
  <c r="M316" i="1"/>
  <c r="K316" i="1"/>
  <c r="J316" i="1"/>
  <c r="I316" i="1"/>
  <c r="G316" i="1"/>
  <c r="F316" i="1"/>
  <c r="L316" i="1" s="1"/>
  <c r="T315" i="1"/>
  <c r="S315" i="1"/>
  <c r="R315" i="1"/>
  <c r="Q315" i="1"/>
  <c r="P315" i="1"/>
  <c r="O315" i="1"/>
  <c r="N315" i="1"/>
  <c r="M315" i="1"/>
  <c r="K315" i="1"/>
  <c r="J315" i="1"/>
  <c r="I315" i="1"/>
  <c r="G315" i="1"/>
  <c r="F315" i="1"/>
  <c r="L315" i="1" s="1"/>
  <c r="T314" i="1"/>
  <c r="S314" i="1"/>
  <c r="R314" i="1"/>
  <c r="P314" i="1"/>
  <c r="O314" i="1"/>
  <c r="N314" i="1"/>
  <c r="M314" i="1"/>
  <c r="L314" i="1"/>
  <c r="K314" i="1"/>
  <c r="J314" i="1"/>
  <c r="I314" i="1"/>
  <c r="G314" i="1"/>
  <c r="F314" i="1"/>
  <c r="Q314" i="1" s="1"/>
  <c r="T313" i="1"/>
  <c r="S313" i="1"/>
  <c r="R313" i="1"/>
  <c r="P313" i="1"/>
  <c r="O313" i="1"/>
  <c r="N313" i="1"/>
  <c r="M313" i="1"/>
  <c r="L313" i="1"/>
  <c r="K313" i="1"/>
  <c r="J313" i="1"/>
  <c r="I313" i="1"/>
  <c r="G313" i="1"/>
  <c r="F313" i="1"/>
  <c r="Q313" i="1" s="1"/>
  <c r="T312" i="1"/>
  <c r="S312" i="1"/>
  <c r="R312" i="1"/>
  <c r="P312" i="1"/>
  <c r="O312" i="1"/>
  <c r="N312" i="1"/>
  <c r="M312" i="1"/>
  <c r="L312" i="1"/>
  <c r="K312" i="1"/>
  <c r="J312" i="1"/>
  <c r="I312" i="1"/>
  <c r="G312" i="1"/>
  <c r="F312" i="1"/>
  <c r="Q312" i="1" s="1"/>
  <c r="T311" i="1"/>
  <c r="S311" i="1"/>
  <c r="R311" i="1"/>
  <c r="P311" i="1"/>
  <c r="O311" i="1"/>
  <c r="N311" i="1"/>
  <c r="M311" i="1"/>
  <c r="L311" i="1"/>
  <c r="K311" i="1"/>
  <c r="J311" i="1"/>
  <c r="I311" i="1"/>
  <c r="G311" i="1"/>
  <c r="F311" i="1"/>
  <c r="Q311" i="1" s="1"/>
  <c r="T310" i="1"/>
  <c r="S310" i="1"/>
  <c r="R310" i="1"/>
  <c r="P310" i="1"/>
  <c r="O310" i="1"/>
  <c r="N310" i="1"/>
  <c r="M310" i="1"/>
  <c r="L310" i="1"/>
  <c r="K310" i="1"/>
  <c r="J310" i="1"/>
  <c r="I310" i="1"/>
  <c r="G310" i="1"/>
  <c r="F310" i="1"/>
  <c r="Q310" i="1" s="1"/>
  <c r="T309" i="1"/>
  <c r="S309" i="1"/>
  <c r="R309" i="1"/>
  <c r="Q309" i="1"/>
  <c r="P309" i="1"/>
  <c r="O309" i="1"/>
  <c r="N309" i="1"/>
  <c r="M309" i="1"/>
  <c r="L309" i="1"/>
  <c r="J309" i="1"/>
  <c r="I309" i="1"/>
  <c r="G309" i="1"/>
  <c r="F309" i="1"/>
  <c r="K309" i="1" s="1"/>
  <c r="T308" i="1"/>
  <c r="S308" i="1"/>
  <c r="R308" i="1"/>
  <c r="Q308" i="1"/>
  <c r="P308" i="1"/>
  <c r="O308" i="1"/>
  <c r="N308" i="1"/>
  <c r="M308" i="1"/>
  <c r="L308" i="1"/>
  <c r="J308" i="1"/>
  <c r="I308" i="1"/>
  <c r="G308" i="1"/>
  <c r="F308" i="1"/>
  <c r="K308" i="1" s="1"/>
  <c r="T307" i="1"/>
  <c r="S307" i="1"/>
  <c r="R307" i="1"/>
  <c r="Q307" i="1"/>
  <c r="P307" i="1"/>
  <c r="O307" i="1"/>
  <c r="N307" i="1"/>
  <c r="M307" i="1"/>
  <c r="L307" i="1"/>
  <c r="J307" i="1"/>
  <c r="I307" i="1"/>
  <c r="G307" i="1"/>
  <c r="F307" i="1"/>
  <c r="K307" i="1" s="1"/>
  <c r="T306" i="1"/>
  <c r="S306" i="1"/>
  <c r="R306" i="1"/>
  <c r="Q306" i="1"/>
  <c r="P306" i="1"/>
  <c r="O306" i="1"/>
  <c r="N306" i="1"/>
  <c r="M306" i="1"/>
  <c r="L306" i="1"/>
  <c r="K306" i="1"/>
  <c r="J306" i="1"/>
  <c r="I306" i="1"/>
  <c r="G306" i="1"/>
  <c r="F306" i="1"/>
  <c r="T305" i="1"/>
  <c r="S305" i="1"/>
  <c r="R305" i="1"/>
  <c r="Q305" i="1"/>
  <c r="P305" i="1"/>
  <c r="O305" i="1"/>
  <c r="N305" i="1"/>
  <c r="M305" i="1"/>
  <c r="K305" i="1"/>
  <c r="J305" i="1"/>
  <c r="I305" i="1"/>
  <c r="G305" i="1"/>
  <c r="F305" i="1"/>
  <c r="L305" i="1" s="1"/>
  <c r="T304" i="1"/>
  <c r="S304" i="1"/>
  <c r="R304" i="1"/>
  <c r="P304" i="1"/>
  <c r="O304" i="1"/>
  <c r="N304" i="1"/>
  <c r="M304" i="1"/>
  <c r="L304" i="1"/>
  <c r="K304" i="1"/>
  <c r="J304" i="1"/>
  <c r="I304" i="1"/>
  <c r="G304" i="1"/>
  <c r="F304" i="1"/>
  <c r="Q304" i="1" s="1"/>
  <c r="T303" i="1"/>
  <c r="S303" i="1"/>
  <c r="R303" i="1"/>
  <c r="P303" i="1"/>
  <c r="O303" i="1"/>
  <c r="N303" i="1"/>
  <c r="M303" i="1"/>
  <c r="L303" i="1"/>
  <c r="K303" i="1"/>
  <c r="J303" i="1"/>
  <c r="I303" i="1"/>
  <c r="G303" i="1"/>
  <c r="F303" i="1"/>
  <c r="Q303" i="1" s="1"/>
  <c r="T302" i="1"/>
  <c r="S302" i="1"/>
  <c r="R302" i="1"/>
  <c r="P302" i="1"/>
  <c r="O302" i="1"/>
  <c r="N302" i="1"/>
  <c r="M302" i="1"/>
  <c r="L302" i="1"/>
  <c r="K302" i="1"/>
  <c r="J302" i="1"/>
  <c r="I302" i="1"/>
  <c r="G302" i="1"/>
  <c r="F302" i="1"/>
  <c r="Q302" i="1" s="1"/>
  <c r="T301" i="1"/>
  <c r="S301" i="1"/>
  <c r="R301" i="1"/>
  <c r="P301" i="1"/>
  <c r="O301" i="1"/>
  <c r="N301" i="1"/>
  <c r="M301" i="1"/>
  <c r="L301" i="1"/>
  <c r="K301" i="1"/>
  <c r="J301" i="1"/>
  <c r="I301" i="1"/>
  <c r="G301" i="1"/>
  <c r="F301" i="1"/>
  <c r="Q301" i="1" s="1"/>
  <c r="T300" i="1"/>
  <c r="S300" i="1"/>
  <c r="R300" i="1"/>
  <c r="P300" i="1"/>
  <c r="O300" i="1"/>
  <c r="N300" i="1"/>
  <c r="M300" i="1"/>
  <c r="L300" i="1"/>
  <c r="K300" i="1"/>
  <c r="J300" i="1"/>
  <c r="I300" i="1"/>
  <c r="G300" i="1"/>
  <c r="F300" i="1"/>
  <c r="Q300" i="1" s="1"/>
  <c r="T299" i="1"/>
  <c r="S299" i="1"/>
  <c r="R299" i="1"/>
  <c r="Q299" i="1"/>
  <c r="P299" i="1"/>
  <c r="O299" i="1"/>
  <c r="N299" i="1"/>
  <c r="M299" i="1"/>
  <c r="L299" i="1"/>
  <c r="J299" i="1"/>
  <c r="I299" i="1"/>
  <c r="G299" i="1"/>
  <c r="F299" i="1"/>
  <c r="K299" i="1" s="1"/>
  <c r="T298" i="1"/>
  <c r="S298" i="1"/>
  <c r="R298" i="1"/>
  <c r="Q298" i="1"/>
  <c r="P298" i="1"/>
  <c r="O298" i="1"/>
  <c r="N298" i="1"/>
  <c r="M298" i="1"/>
  <c r="L298" i="1"/>
  <c r="J298" i="1"/>
  <c r="I298" i="1"/>
  <c r="G298" i="1"/>
  <c r="F298" i="1"/>
  <c r="K298" i="1" s="1"/>
  <c r="T297" i="1"/>
  <c r="S297" i="1"/>
  <c r="R297" i="1"/>
  <c r="Q297" i="1"/>
  <c r="P297" i="1"/>
  <c r="O297" i="1"/>
  <c r="N297" i="1"/>
  <c r="M297" i="1"/>
  <c r="L297" i="1"/>
  <c r="J297" i="1"/>
  <c r="I297" i="1"/>
  <c r="G297" i="1"/>
  <c r="F297" i="1"/>
  <c r="K297" i="1" s="1"/>
  <c r="T296" i="1"/>
  <c r="S296" i="1"/>
  <c r="R296" i="1"/>
  <c r="Q296" i="1"/>
  <c r="P296" i="1"/>
  <c r="O296" i="1"/>
  <c r="N296" i="1"/>
  <c r="M296" i="1"/>
  <c r="L296" i="1"/>
  <c r="J296" i="1"/>
  <c r="I296" i="1"/>
  <c r="G296" i="1"/>
  <c r="F296" i="1"/>
  <c r="K296" i="1" s="1"/>
  <c r="T295" i="1"/>
  <c r="S295" i="1"/>
  <c r="R295" i="1"/>
  <c r="P295" i="1"/>
  <c r="O295" i="1"/>
  <c r="N295" i="1"/>
  <c r="M295" i="1"/>
  <c r="L295" i="1"/>
  <c r="K295" i="1"/>
  <c r="J295" i="1"/>
  <c r="I295" i="1"/>
  <c r="G295" i="1"/>
  <c r="F295" i="1"/>
  <c r="Q295" i="1" s="1"/>
  <c r="T294" i="1"/>
  <c r="S294" i="1"/>
  <c r="R294" i="1"/>
  <c r="Q294" i="1"/>
  <c r="P294" i="1"/>
  <c r="O294" i="1"/>
  <c r="N294" i="1"/>
  <c r="M294" i="1"/>
  <c r="L294" i="1"/>
  <c r="J294" i="1"/>
  <c r="I294" i="1"/>
  <c r="G294" i="1"/>
  <c r="F294" i="1"/>
  <c r="K294" i="1" s="1"/>
  <c r="T293" i="1"/>
  <c r="S293" i="1"/>
  <c r="R293" i="1"/>
  <c r="Q293" i="1"/>
  <c r="P293" i="1"/>
  <c r="O293" i="1"/>
  <c r="N293" i="1"/>
  <c r="M293" i="1"/>
  <c r="L293" i="1"/>
  <c r="J293" i="1"/>
  <c r="I293" i="1"/>
  <c r="G293" i="1"/>
  <c r="F293" i="1"/>
  <c r="K293" i="1" s="1"/>
  <c r="T292" i="1"/>
  <c r="S292" i="1"/>
  <c r="R292" i="1"/>
  <c r="P292" i="1"/>
  <c r="O292" i="1"/>
  <c r="N292" i="1"/>
  <c r="M292" i="1"/>
  <c r="L292" i="1"/>
  <c r="K292" i="1"/>
  <c r="J292" i="1"/>
  <c r="I292" i="1"/>
  <c r="G292" i="1"/>
  <c r="F292" i="1"/>
  <c r="Q292" i="1" s="1"/>
  <c r="T291" i="1"/>
  <c r="S291" i="1"/>
  <c r="R291" i="1"/>
  <c r="P291" i="1"/>
  <c r="O291" i="1"/>
  <c r="N291" i="1"/>
  <c r="M291" i="1"/>
  <c r="L291" i="1"/>
  <c r="K291" i="1"/>
  <c r="J291" i="1"/>
  <c r="I291" i="1"/>
  <c r="G291" i="1"/>
  <c r="F291" i="1"/>
  <c r="Q291" i="1" s="1"/>
  <c r="T290" i="1"/>
  <c r="S290" i="1"/>
  <c r="R290" i="1"/>
  <c r="P290" i="1"/>
  <c r="O290" i="1"/>
  <c r="N290" i="1"/>
  <c r="M290" i="1"/>
  <c r="L290" i="1"/>
  <c r="K290" i="1"/>
  <c r="J290" i="1"/>
  <c r="I290" i="1"/>
  <c r="G290" i="1"/>
  <c r="F290" i="1"/>
  <c r="Q290" i="1" s="1"/>
  <c r="T289" i="1"/>
  <c r="S289" i="1"/>
  <c r="R289" i="1"/>
  <c r="P289" i="1"/>
  <c r="O289" i="1"/>
  <c r="N289" i="1"/>
  <c r="M289" i="1"/>
  <c r="L289" i="1"/>
  <c r="K289" i="1"/>
  <c r="J289" i="1"/>
  <c r="I289" i="1"/>
  <c r="G289" i="1"/>
  <c r="F289" i="1"/>
  <c r="Q289" i="1" s="1"/>
  <c r="T288" i="1"/>
  <c r="S288" i="1"/>
  <c r="R288" i="1"/>
  <c r="P288" i="1"/>
  <c r="O288" i="1"/>
  <c r="N288" i="1"/>
  <c r="M288" i="1"/>
  <c r="L288" i="1"/>
  <c r="K288" i="1"/>
  <c r="J288" i="1"/>
  <c r="I288" i="1"/>
  <c r="G288" i="1"/>
  <c r="F288" i="1"/>
  <c r="Q288" i="1" s="1"/>
  <c r="T287" i="1"/>
  <c r="S287" i="1"/>
  <c r="R287" i="1"/>
  <c r="Q287" i="1"/>
  <c r="P287" i="1"/>
  <c r="O287" i="1"/>
  <c r="N287" i="1"/>
  <c r="M287" i="1"/>
  <c r="L287" i="1"/>
  <c r="J287" i="1"/>
  <c r="I287" i="1"/>
  <c r="G287" i="1"/>
  <c r="F287" i="1"/>
  <c r="K287" i="1" s="1"/>
  <c r="T286" i="1"/>
  <c r="S286" i="1"/>
  <c r="R286" i="1"/>
  <c r="Q286" i="1"/>
  <c r="P286" i="1"/>
  <c r="O286" i="1"/>
  <c r="N286" i="1"/>
  <c r="M286" i="1"/>
  <c r="L286" i="1"/>
  <c r="J286" i="1"/>
  <c r="I286" i="1"/>
  <c r="G286" i="1"/>
  <c r="F286" i="1"/>
  <c r="K286" i="1" s="1"/>
  <c r="T285" i="1"/>
  <c r="S285" i="1"/>
  <c r="R285" i="1"/>
  <c r="Q285" i="1"/>
  <c r="P285" i="1"/>
  <c r="O285" i="1"/>
  <c r="N285" i="1"/>
  <c r="M285" i="1"/>
  <c r="L285" i="1"/>
  <c r="J285" i="1"/>
  <c r="I285" i="1"/>
  <c r="G285" i="1"/>
  <c r="F285" i="1"/>
  <c r="K285" i="1" s="1"/>
  <c r="T284" i="1"/>
  <c r="S284" i="1"/>
  <c r="R284" i="1"/>
  <c r="Q284" i="1"/>
  <c r="P284" i="1"/>
  <c r="O284" i="1"/>
  <c r="N284" i="1"/>
  <c r="M284" i="1"/>
  <c r="L284" i="1"/>
  <c r="J284" i="1"/>
  <c r="I284" i="1"/>
  <c r="G284" i="1"/>
  <c r="F284" i="1"/>
  <c r="K284" i="1" s="1"/>
  <c r="T283" i="1"/>
  <c r="S283" i="1"/>
  <c r="R283" i="1"/>
  <c r="Q283" i="1"/>
  <c r="P283" i="1"/>
  <c r="O283" i="1"/>
  <c r="N283" i="1"/>
  <c r="M283" i="1"/>
  <c r="L283" i="1"/>
  <c r="J283" i="1"/>
  <c r="I283" i="1"/>
  <c r="G283" i="1"/>
  <c r="F283" i="1"/>
  <c r="K283" i="1" s="1"/>
  <c r="T282" i="1"/>
  <c r="S282" i="1"/>
  <c r="R282" i="1"/>
  <c r="Q282" i="1"/>
  <c r="P282" i="1"/>
  <c r="O282" i="1"/>
  <c r="N282" i="1"/>
  <c r="M282" i="1"/>
  <c r="L282" i="1"/>
  <c r="J282" i="1"/>
  <c r="I282" i="1"/>
  <c r="G282" i="1"/>
  <c r="F282" i="1"/>
  <c r="K282" i="1" s="1"/>
  <c r="T281" i="1"/>
  <c r="S281" i="1"/>
  <c r="Q281" i="1"/>
  <c r="P281" i="1"/>
  <c r="O281" i="1"/>
  <c r="N281" i="1"/>
  <c r="M281" i="1"/>
  <c r="L281" i="1"/>
  <c r="K281" i="1"/>
  <c r="J281" i="1"/>
  <c r="I281" i="1"/>
  <c r="G281" i="1"/>
  <c r="F281" i="1"/>
  <c r="R281" i="1" s="1"/>
  <c r="T280" i="1"/>
  <c r="S280" i="1"/>
  <c r="R280" i="1"/>
  <c r="P280" i="1"/>
  <c r="O280" i="1"/>
  <c r="N280" i="1"/>
  <c r="M280" i="1"/>
  <c r="L280" i="1"/>
  <c r="K280" i="1"/>
  <c r="J280" i="1"/>
  <c r="I280" i="1"/>
  <c r="G280" i="1"/>
  <c r="F280" i="1"/>
  <c r="Q280" i="1" s="1"/>
  <c r="T279" i="1"/>
  <c r="S279" i="1"/>
  <c r="R279" i="1"/>
  <c r="P279" i="1"/>
  <c r="O279" i="1"/>
  <c r="N279" i="1"/>
  <c r="M279" i="1"/>
  <c r="L279" i="1"/>
  <c r="K279" i="1"/>
  <c r="J279" i="1"/>
  <c r="I279" i="1"/>
  <c r="G279" i="1"/>
  <c r="F279" i="1"/>
  <c r="Q279" i="1" s="1"/>
  <c r="T278" i="1"/>
  <c r="S278" i="1"/>
  <c r="R278" i="1"/>
  <c r="P278" i="1"/>
  <c r="O278" i="1"/>
  <c r="N278" i="1"/>
  <c r="M278" i="1"/>
  <c r="L278" i="1"/>
  <c r="K278" i="1"/>
  <c r="J278" i="1"/>
  <c r="I278" i="1"/>
  <c r="G278" i="1"/>
  <c r="F278" i="1"/>
  <c r="Q278" i="1" s="1"/>
  <c r="T277" i="1"/>
  <c r="S277" i="1"/>
  <c r="R277" i="1"/>
  <c r="P277" i="1"/>
  <c r="O277" i="1"/>
  <c r="N277" i="1"/>
  <c r="M277" i="1"/>
  <c r="L277" i="1"/>
  <c r="K277" i="1"/>
  <c r="J277" i="1"/>
  <c r="I277" i="1"/>
  <c r="G277" i="1"/>
  <c r="F277" i="1"/>
  <c r="Q277" i="1" s="1"/>
  <c r="T276" i="1"/>
  <c r="S276" i="1"/>
  <c r="R276" i="1"/>
  <c r="Q276" i="1"/>
  <c r="P276" i="1"/>
  <c r="O276" i="1"/>
  <c r="N276" i="1"/>
  <c r="M276" i="1"/>
  <c r="L276" i="1"/>
  <c r="J276" i="1"/>
  <c r="I276" i="1"/>
  <c r="G276" i="1"/>
  <c r="F276" i="1"/>
  <c r="K276" i="1" s="1"/>
  <c r="T275" i="1"/>
  <c r="S275" i="1"/>
  <c r="R275" i="1"/>
  <c r="Q275" i="1"/>
  <c r="P275" i="1"/>
  <c r="O275" i="1"/>
  <c r="N275" i="1"/>
  <c r="M275" i="1"/>
  <c r="L275" i="1"/>
  <c r="J275" i="1"/>
  <c r="I275" i="1"/>
  <c r="G275" i="1"/>
  <c r="F275" i="1"/>
  <c r="K275" i="1" s="1"/>
  <c r="T274" i="1"/>
  <c r="S274" i="1"/>
  <c r="R274" i="1"/>
  <c r="P274" i="1"/>
  <c r="O274" i="1"/>
  <c r="N274" i="1"/>
  <c r="M274" i="1"/>
  <c r="L274" i="1"/>
  <c r="K274" i="1"/>
  <c r="J274" i="1"/>
  <c r="I274" i="1"/>
  <c r="G274" i="1"/>
  <c r="F274" i="1"/>
  <c r="Q274" i="1" s="1"/>
  <c r="T273" i="1"/>
  <c r="S273" i="1"/>
  <c r="R273" i="1"/>
  <c r="P273" i="1"/>
  <c r="O273" i="1"/>
  <c r="N273" i="1"/>
  <c r="M273" i="1"/>
  <c r="L273" i="1"/>
  <c r="K273" i="1"/>
  <c r="J273" i="1"/>
  <c r="I273" i="1"/>
  <c r="F273" i="1"/>
  <c r="Q273" i="1" s="1"/>
  <c r="T272" i="1"/>
  <c r="S272" i="1"/>
  <c r="R272" i="1"/>
  <c r="P272" i="1"/>
  <c r="O272" i="1"/>
  <c r="N272" i="1"/>
  <c r="M272" i="1"/>
  <c r="L272" i="1"/>
  <c r="K272" i="1"/>
  <c r="J272" i="1"/>
  <c r="I272" i="1"/>
  <c r="F272" i="1"/>
  <c r="Q272" i="1" s="1"/>
  <c r="T271" i="1"/>
  <c r="S271" i="1"/>
  <c r="R271" i="1"/>
  <c r="P271" i="1"/>
  <c r="O271" i="1"/>
  <c r="N271" i="1"/>
  <c r="M271" i="1"/>
  <c r="L271" i="1"/>
  <c r="K271" i="1"/>
  <c r="J271" i="1"/>
  <c r="I271" i="1"/>
  <c r="F271" i="1"/>
  <c r="Q271" i="1" s="1"/>
  <c r="T270" i="1"/>
  <c r="S270" i="1"/>
  <c r="R270" i="1"/>
  <c r="Q270" i="1"/>
  <c r="P270" i="1"/>
  <c r="O270" i="1"/>
  <c r="N270" i="1"/>
  <c r="M270" i="1"/>
  <c r="L270" i="1"/>
  <c r="J270" i="1"/>
  <c r="I270" i="1"/>
  <c r="G270" i="1"/>
  <c r="F270" i="1"/>
  <c r="K270" i="1" s="1"/>
  <c r="T269" i="1"/>
  <c r="S269" i="1"/>
  <c r="R269" i="1"/>
  <c r="Q269" i="1"/>
  <c r="P269" i="1"/>
  <c r="O269" i="1"/>
  <c r="N269" i="1"/>
  <c r="M269" i="1"/>
  <c r="L269" i="1"/>
  <c r="K269" i="1"/>
  <c r="J269" i="1"/>
  <c r="I269" i="1"/>
  <c r="G269" i="1"/>
  <c r="F269" i="1"/>
  <c r="T268" i="1"/>
  <c r="S268" i="1"/>
  <c r="R268" i="1"/>
  <c r="Q268" i="1"/>
  <c r="P268" i="1"/>
  <c r="O268" i="1"/>
  <c r="N268" i="1"/>
  <c r="M268" i="1"/>
  <c r="K268" i="1"/>
  <c r="J268" i="1"/>
  <c r="I268" i="1"/>
  <c r="G268" i="1"/>
  <c r="F268" i="1"/>
  <c r="L268" i="1" s="1"/>
  <c r="T267" i="1"/>
  <c r="S267" i="1"/>
  <c r="R267" i="1"/>
  <c r="P267" i="1"/>
  <c r="O267" i="1"/>
  <c r="N267" i="1"/>
  <c r="M267" i="1"/>
  <c r="L267" i="1"/>
  <c r="K267" i="1"/>
  <c r="J267" i="1"/>
  <c r="I267" i="1"/>
  <c r="G267" i="1"/>
  <c r="F267" i="1"/>
  <c r="Q267" i="1" s="1"/>
  <c r="T266" i="1"/>
  <c r="S266" i="1"/>
  <c r="R266" i="1"/>
  <c r="P266" i="1"/>
  <c r="O266" i="1"/>
  <c r="N266" i="1"/>
  <c r="M266" i="1"/>
  <c r="L266" i="1"/>
  <c r="K266" i="1"/>
  <c r="J266" i="1"/>
  <c r="I266" i="1"/>
  <c r="G266" i="1"/>
  <c r="F266" i="1"/>
  <c r="Q266" i="1" s="1"/>
  <c r="T265" i="1"/>
  <c r="S265" i="1"/>
  <c r="R265" i="1"/>
  <c r="P265" i="1"/>
  <c r="O265" i="1"/>
  <c r="N265" i="1"/>
  <c r="M265" i="1"/>
  <c r="L265" i="1"/>
  <c r="K265" i="1"/>
  <c r="J265" i="1"/>
  <c r="I265" i="1"/>
  <c r="G265" i="1"/>
  <c r="F265" i="1"/>
  <c r="Q265" i="1" s="1"/>
  <c r="T264" i="1"/>
  <c r="S264" i="1"/>
  <c r="R264" i="1"/>
  <c r="Q264" i="1"/>
  <c r="P264" i="1"/>
  <c r="O264" i="1"/>
  <c r="N264" i="1"/>
  <c r="M264" i="1"/>
  <c r="L264" i="1"/>
  <c r="J264" i="1"/>
  <c r="I264" i="1"/>
  <c r="G264" i="1"/>
  <c r="F264" i="1"/>
  <c r="K264" i="1" s="1"/>
  <c r="T263" i="1"/>
  <c r="S263" i="1"/>
  <c r="R263" i="1"/>
  <c r="Q263" i="1"/>
  <c r="P263" i="1"/>
  <c r="O263" i="1"/>
  <c r="N263" i="1"/>
  <c r="M263" i="1"/>
  <c r="L263" i="1"/>
  <c r="J263" i="1"/>
  <c r="I263" i="1"/>
  <c r="G263" i="1"/>
  <c r="F263" i="1"/>
  <c r="K263" i="1" s="1"/>
  <c r="T262" i="1"/>
  <c r="S262" i="1"/>
  <c r="R262" i="1"/>
  <c r="Q262" i="1"/>
  <c r="P262" i="1"/>
  <c r="O262" i="1"/>
  <c r="N262" i="1"/>
  <c r="M262" i="1"/>
  <c r="L262" i="1"/>
  <c r="J262" i="1"/>
  <c r="I262" i="1"/>
  <c r="G262" i="1"/>
  <c r="F262" i="1"/>
  <c r="K262" i="1" s="1"/>
  <c r="T261" i="1"/>
  <c r="S261" i="1"/>
  <c r="R261" i="1"/>
  <c r="Q261" i="1"/>
  <c r="P261" i="1"/>
  <c r="O261" i="1"/>
  <c r="N261" i="1"/>
  <c r="M261" i="1"/>
  <c r="L261" i="1"/>
  <c r="J261" i="1"/>
  <c r="I261" i="1"/>
  <c r="G261" i="1"/>
  <c r="F261" i="1"/>
  <c r="K261" i="1" s="1"/>
  <c r="T260" i="1"/>
  <c r="S260" i="1"/>
  <c r="R260" i="1"/>
  <c r="Q260" i="1"/>
  <c r="P260" i="1"/>
  <c r="O260" i="1"/>
  <c r="N260" i="1"/>
  <c r="M260" i="1"/>
  <c r="L260" i="1"/>
  <c r="J260" i="1"/>
  <c r="I260" i="1"/>
  <c r="G260" i="1"/>
  <c r="F260" i="1"/>
  <c r="K260" i="1" s="1"/>
  <c r="T259" i="1"/>
  <c r="S259" i="1"/>
  <c r="R259" i="1"/>
  <c r="Q259" i="1"/>
  <c r="P259" i="1"/>
  <c r="O259" i="1"/>
  <c r="N259" i="1"/>
  <c r="M259" i="1"/>
  <c r="L259" i="1"/>
  <c r="J259" i="1"/>
  <c r="I259" i="1"/>
  <c r="G259" i="1"/>
  <c r="F259" i="1"/>
  <c r="K259" i="1" s="1"/>
  <c r="T258" i="1"/>
  <c r="S258" i="1"/>
  <c r="R258" i="1"/>
  <c r="Q258" i="1"/>
  <c r="P258" i="1"/>
  <c r="O258" i="1"/>
  <c r="N258" i="1"/>
  <c r="M258" i="1"/>
  <c r="L258" i="1"/>
  <c r="J258" i="1"/>
  <c r="I258" i="1"/>
  <c r="G258" i="1"/>
  <c r="F258" i="1"/>
  <c r="K258" i="1" s="1"/>
  <c r="T257" i="1"/>
  <c r="S257" i="1"/>
  <c r="R257" i="1"/>
  <c r="Q257" i="1"/>
  <c r="P257" i="1"/>
  <c r="O257" i="1"/>
  <c r="N257" i="1"/>
  <c r="M257" i="1"/>
  <c r="L257" i="1"/>
  <c r="K257" i="1"/>
  <c r="J257" i="1"/>
  <c r="I257" i="1"/>
  <c r="G257" i="1"/>
  <c r="F257" i="1"/>
  <c r="T256" i="1"/>
  <c r="S256" i="1"/>
  <c r="R256" i="1"/>
  <c r="Q256" i="1"/>
  <c r="P256" i="1"/>
  <c r="O256" i="1"/>
  <c r="N256" i="1"/>
  <c r="M256" i="1"/>
  <c r="L256" i="1"/>
  <c r="K256" i="1"/>
  <c r="J256" i="1"/>
  <c r="I256" i="1"/>
  <c r="G256" i="1"/>
  <c r="F256" i="1"/>
  <c r="T255" i="1"/>
  <c r="S255" i="1"/>
  <c r="R255" i="1"/>
  <c r="P255" i="1"/>
  <c r="O255" i="1"/>
  <c r="N255" i="1"/>
  <c r="M255" i="1"/>
  <c r="L255" i="1"/>
  <c r="K255" i="1"/>
  <c r="J255" i="1"/>
  <c r="I255" i="1"/>
  <c r="G255" i="1"/>
  <c r="F255" i="1"/>
  <c r="Q255" i="1" s="1"/>
  <c r="T254" i="1"/>
  <c r="S254" i="1"/>
  <c r="R254" i="1"/>
  <c r="P254" i="1"/>
  <c r="O254" i="1"/>
  <c r="N254" i="1"/>
  <c r="M254" i="1"/>
  <c r="L254" i="1"/>
  <c r="K254" i="1"/>
  <c r="J254" i="1"/>
  <c r="I254" i="1"/>
  <c r="G254" i="1"/>
  <c r="F254" i="1"/>
  <c r="Q254" i="1" s="1"/>
  <c r="T253" i="1"/>
  <c r="S253" i="1"/>
  <c r="R253" i="1"/>
  <c r="Q253" i="1"/>
  <c r="P253" i="1"/>
  <c r="O253" i="1"/>
  <c r="N253" i="1"/>
  <c r="M253" i="1"/>
  <c r="L253" i="1"/>
  <c r="J253" i="1"/>
  <c r="I253" i="1"/>
  <c r="G253" i="1"/>
  <c r="F253" i="1"/>
  <c r="K253" i="1" s="1"/>
  <c r="T252" i="1"/>
  <c r="S252" i="1"/>
  <c r="R252" i="1"/>
  <c r="Q252" i="1"/>
  <c r="P252" i="1"/>
  <c r="O252" i="1"/>
  <c r="N252" i="1"/>
  <c r="M252" i="1"/>
  <c r="L252" i="1"/>
  <c r="J252" i="1"/>
  <c r="I252" i="1"/>
  <c r="G252" i="1"/>
  <c r="F252" i="1"/>
  <c r="K252" i="1" s="1"/>
  <c r="T251" i="1"/>
  <c r="S251" i="1"/>
  <c r="R251" i="1"/>
  <c r="Q251" i="1"/>
  <c r="P251" i="1"/>
  <c r="O251" i="1"/>
  <c r="N251" i="1"/>
  <c r="M251" i="1"/>
  <c r="L251" i="1"/>
  <c r="J251" i="1"/>
  <c r="I251" i="1"/>
  <c r="G251" i="1"/>
  <c r="F251" i="1"/>
  <c r="K251" i="1" s="1"/>
  <c r="T250" i="1"/>
  <c r="S250" i="1"/>
  <c r="R250" i="1"/>
  <c r="P250" i="1"/>
  <c r="O250" i="1"/>
  <c r="N250" i="1"/>
  <c r="M250" i="1"/>
  <c r="L250" i="1"/>
  <c r="K250" i="1"/>
  <c r="J250" i="1"/>
  <c r="I250" i="1"/>
  <c r="G250" i="1"/>
  <c r="F250" i="1"/>
  <c r="Q250" i="1" s="1"/>
  <c r="T249" i="1"/>
  <c r="S249" i="1"/>
  <c r="R249" i="1"/>
  <c r="P249" i="1"/>
  <c r="O249" i="1"/>
  <c r="N249" i="1"/>
  <c r="M249" i="1"/>
  <c r="L249" i="1"/>
  <c r="K249" i="1"/>
  <c r="J249" i="1"/>
  <c r="I249" i="1"/>
  <c r="G249" i="1"/>
  <c r="F249" i="1"/>
  <c r="Q249" i="1" s="1"/>
  <c r="T248" i="1"/>
  <c r="S248" i="1"/>
  <c r="R248" i="1"/>
  <c r="Q248" i="1"/>
  <c r="P248" i="1"/>
  <c r="O248" i="1"/>
  <c r="N248" i="1"/>
  <c r="M248" i="1"/>
  <c r="L248" i="1"/>
  <c r="J248" i="1"/>
  <c r="I248" i="1"/>
  <c r="G248" i="1"/>
  <c r="F248" i="1"/>
  <c r="K248" i="1" s="1"/>
  <c r="T247" i="1"/>
  <c r="S247" i="1"/>
  <c r="R247" i="1"/>
  <c r="Q247" i="1"/>
  <c r="P247" i="1"/>
  <c r="O247" i="1"/>
  <c r="N247" i="1"/>
  <c r="M247" i="1"/>
  <c r="L247" i="1"/>
  <c r="J247" i="1"/>
  <c r="I247" i="1"/>
  <c r="G247" i="1"/>
  <c r="F247" i="1"/>
  <c r="K247" i="1" s="1"/>
  <c r="T246" i="1"/>
  <c r="S246" i="1"/>
  <c r="R246" i="1"/>
  <c r="Q246" i="1"/>
  <c r="P246" i="1"/>
  <c r="O246" i="1"/>
  <c r="N246" i="1"/>
  <c r="M246" i="1"/>
  <c r="L246" i="1"/>
  <c r="J246" i="1"/>
  <c r="I246" i="1"/>
  <c r="G246" i="1"/>
  <c r="F246" i="1"/>
  <c r="K246" i="1" s="1"/>
  <c r="T245" i="1"/>
  <c r="S245" i="1"/>
  <c r="R245" i="1"/>
  <c r="Q245" i="1"/>
  <c r="P245" i="1"/>
  <c r="O245" i="1"/>
  <c r="N245" i="1"/>
  <c r="M245" i="1"/>
  <c r="L245" i="1"/>
  <c r="J245" i="1"/>
  <c r="I245" i="1"/>
  <c r="G245" i="1"/>
  <c r="F245" i="1"/>
  <c r="K245" i="1" s="1"/>
  <c r="T244" i="1"/>
  <c r="S244" i="1"/>
  <c r="R244" i="1"/>
  <c r="Q244" i="1"/>
  <c r="P244" i="1"/>
  <c r="O244" i="1"/>
  <c r="N244" i="1"/>
  <c r="M244" i="1"/>
  <c r="L244" i="1"/>
  <c r="J244" i="1"/>
  <c r="I244" i="1"/>
  <c r="G244" i="1"/>
  <c r="F244" i="1"/>
  <c r="K244" i="1" s="1"/>
  <c r="G170" i="2" l="1"/>
  <c r="G144" i="2"/>
  <c r="G164" i="2"/>
  <c r="G169" i="2"/>
  <c r="G179" i="2"/>
  <c r="G175" i="2"/>
  <c r="F176" i="2"/>
  <c r="K176" i="2" s="1"/>
  <c r="F82" i="2" l="1"/>
  <c r="H81" i="2"/>
  <c r="G81" i="2"/>
  <c r="F81" i="2"/>
  <c r="F241" i="1"/>
  <c r="F240" i="1"/>
  <c r="F239" i="1"/>
  <c r="F238" i="1"/>
  <c r="F237" i="1"/>
  <c r="F236" i="1"/>
  <c r="G235" i="1"/>
  <c r="F235" i="1"/>
  <c r="G234" i="1"/>
  <c r="F234" i="1"/>
  <c r="G233" i="1"/>
  <c r="F233" i="1"/>
  <c r="G232" i="1"/>
  <c r="F232" i="1"/>
  <c r="G231" i="1"/>
  <c r="F231" i="1"/>
  <c r="G26" i="5"/>
  <c r="F230" i="1"/>
  <c r="F78" i="2"/>
  <c r="F77" i="2"/>
  <c r="H76" i="2"/>
  <c r="G76" i="2"/>
  <c r="F76" i="2"/>
  <c r="H75" i="2"/>
  <c r="G75" i="2"/>
  <c r="F75" i="2"/>
  <c r="F229" i="1"/>
  <c r="F228" i="1"/>
  <c r="F227" i="1"/>
  <c r="G226" i="1"/>
  <c r="F226" i="1"/>
  <c r="G225" i="1"/>
  <c r="F225" i="1"/>
  <c r="G224" i="1"/>
  <c r="F224" i="1"/>
  <c r="G223" i="1"/>
  <c r="F223" i="1"/>
  <c r="G222" i="1"/>
  <c r="F222" i="1"/>
  <c r="F221" i="1"/>
  <c r="G220" i="1"/>
  <c r="F220" i="1"/>
  <c r="G219" i="1"/>
  <c r="F219" i="1"/>
  <c r="G218" i="1"/>
  <c r="F218" i="1"/>
  <c r="F72" i="2"/>
  <c r="F71" i="2"/>
  <c r="F70" i="2"/>
  <c r="F69" i="2"/>
  <c r="H68" i="2"/>
  <c r="G68" i="2"/>
  <c r="F68" i="2"/>
  <c r="G215" i="1"/>
  <c r="F215" i="1"/>
  <c r="F214" i="1"/>
  <c r="F213" i="1"/>
  <c r="F212" i="1"/>
  <c r="G211" i="1"/>
  <c r="F211" i="1"/>
  <c r="G210" i="1"/>
  <c r="F210" i="1"/>
  <c r="G209" i="1"/>
  <c r="F209" i="1"/>
  <c r="G208" i="1"/>
  <c r="F208" i="1"/>
  <c r="G207" i="1"/>
  <c r="F207" i="1"/>
  <c r="G206" i="1"/>
  <c r="F206" i="1"/>
  <c r="W27" i="5"/>
  <c r="F203" i="1" l="1"/>
  <c r="F202" i="1"/>
  <c r="F201" i="1"/>
  <c r="F200" i="1"/>
  <c r="F199" i="1"/>
  <c r="G198" i="1"/>
  <c r="F198" i="1"/>
  <c r="G197" i="1"/>
  <c r="F197" i="1"/>
  <c r="G196" i="1"/>
  <c r="F196" i="1"/>
  <c r="F66" i="2" l="1"/>
  <c r="H65" i="2"/>
  <c r="G65" i="2"/>
  <c r="F65" i="2"/>
  <c r="T64" i="2"/>
  <c r="S64" i="2"/>
  <c r="R64" i="2"/>
  <c r="Q64" i="2"/>
  <c r="P64" i="2"/>
  <c r="O64" i="2"/>
  <c r="N64" i="2"/>
  <c r="M64" i="2"/>
  <c r="L64" i="2"/>
  <c r="K64" i="2"/>
  <c r="J64" i="2"/>
  <c r="I64" i="2"/>
  <c r="F194" i="1" l="1"/>
  <c r="F193" i="1"/>
  <c r="F192" i="1"/>
  <c r="G191" i="1"/>
  <c r="F191" i="1"/>
  <c r="G190" i="1"/>
  <c r="F190" i="1"/>
  <c r="G189" i="1"/>
  <c r="F189" i="1"/>
  <c r="G188" i="1"/>
  <c r="F188" i="1"/>
  <c r="G187" i="1"/>
  <c r="F187" i="1"/>
  <c r="G186" i="1"/>
  <c r="F186" i="1"/>
  <c r="F185" i="1"/>
  <c r="E182" i="3"/>
  <c r="F182" i="3" s="1"/>
  <c r="E178" i="3"/>
  <c r="F183" i="1"/>
  <c r="G182" i="1"/>
  <c r="F182" i="1"/>
  <c r="F181" i="1"/>
  <c r="F180" i="1"/>
  <c r="F179" i="1"/>
  <c r="F178" i="1"/>
  <c r="F177" i="1"/>
  <c r="F176" i="1"/>
  <c r="F175" i="1"/>
  <c r="F174" i="1"/>
  <c r="H173" i="1"/>
  <c r="G173" i="1" s="1"/>
  <c r="F173" i="1"/>
  <c r="G172" i="1"/>
  <c r="F172" i="1"/>
  <c r="G171" i="1"/>
  <c r="F171" i="1"/>
  <c r="G170" i="1"/>
  <c r="F170" i="1"/>
  <c r="G169" i="1"/>
  <c r="F169" i="1"/>
  <c r="F63" i="2"/>
  <c r="F167" i="1"/>
  <c r="F166" i="1"/>
  <c r="F165" i="1"/>
  <c r="G164" i="1"/>
  <c r="F164" i="1"/>
  <c r="G163" i="1"/>
  <c r="F163" i="1"/>
  <c r="G162" i="1"/>
  <c r="F162" i="1"/>
  <c r="F160" i="1"/>
  <c r="F159" i="1"/>
  <c r="G158" i="1"/>
  <c r="F158" i="1"/>
  <c r="G157" i="1"/>
  <c r="F157" i="1"/>
  <c r="G156" i="1"/>
  <c r="F156" i="1"/>
  <c r="G155" i="1"/>
  <c r="F155" i="1"/>
  <c r="G154" i="1"/>
  <c r="F154" i="1"/>
  <c r="G153" i="1"/>
  <c r="F153" i="1"/>
  <c r="G152" i="1"/>
  <c r="F152" i="1"/>
  <c r="F61" i="2"/>
  <c r="F60" i="2"/>
  <c r="H59" i="2"/>
  <c r="G59" i="2"/>
  <c r="F59" i="2"/>
  <c r="H58" i="2"/>
  <c r="G58" i="2"/>
  <c r="F58" i="2"/>
  <c r="F150" i="1"/>
  <c r="F149" i="1"/>
  <c r="F148" i="1"/>
  <c r="F147" i="1"/>
  <c r="F146" i="1"/>
  <c r="G145" i="1"/>
  <c r="F145" i="1"/>
  <c r="G144" i="1"/>
  <c r="F144" i="1"/>
  <c r="G143" i="1"/>
  <c r="F143" i="1"/>
  <c r="F56" i="2"/>
  <c r="H55" i="2"/>
  <c r="G55" i="2" s="1"/>
  <c r="F55" i="2"/>
  <c r="F142" i="1"/>
  <c r="F141" i="1"/>
  <c r="F140" i="1"/>
  <c r="F139" i="1"/>
  <c r="F138" i="1"/>
  <c r="F137" i="1"/>
  <c r="G136" i="1"/>
  <c r="F136" i="1"/>
  <c r="G135" i="1"/>
  <c r="F135" i="1"/>
  <c r="G134" i="1"/>
  <c r="F134" i="1"/>
  <c r="G133" i="1"/>
  <c r="F133" i="1"/>
  <c r="G132" i="1"/>
  <c r="F132" i="1"/>
  <c r="F132" i="3"/>
  <c r="E127" i="3"/>
  <c r="F53" i="2"/>
  <c r="F52" i="2"/>
  <c r="H51" i="2"/>
  <c r="G51" i="2"/>
  <c r="F129" i="1"/>
  <c r="F128" i="1"/>
  <c r="F127" i="1"/>
  <c r="F126" i="1"/>
  <c r="F125" i="1"/>
  <c r="H124" i="1"/>
  <c r="G124" i="1" s="1"/>
  <c r="F124" i="1"/>
  <c r="H123" i="1"/>
  <c r="G123" i="1" s="1"/>
  <c r="F123" i="1"/>
  <c r="G122" i="1"/>
  <c r="F122" i="1"/>
  <c r="G121" i="1"/>
  <c r="F121" i="1"/>
  <c r="W19" i="5"/>
  <c r="S26" i="5"/>
  <c r="S32" i="5"/>
  <c r="W9" i="5"/>
  <c r="S16" i="5"/>
  <c r="AA39" i="5" l="1"/>
  <c r="F51" i="2"/>
  <c r="F117" i="3"/>
  <c r="F50" i="2"/>
  <c r="G120" i="1"/>
  <c r="F120" i="1"/>
  <c r="F119" i="1"/>
  <c r="F118" i="1"/>
  <c r="G117" i="1"/>
  <c r="F117" i="1"/>
  <c r="G116" i="1"/>
  <c r="F116" i="1"/>
  <c r="G115" i="1"/>
  <c r="F115" i="1"/>
  <c r="F47" i="2" l="1"/>
  <c r="H46" i="2"/>
  <c r="G46" i="2"/>
  <c r="F46" i="2"/>
  <c r="F45" i="2"/>
  <c r="H44" i="2"/>
  <c r="G44" i="2"/>
  <c r="F44" i="2"/>
  <c r="F114" i="1"/>
  <c r="F113" i="1"/>
  <c r="F112" i="1"/>
  <c r="F111" i="1"/>
  <c r="F110" i="1"/>
  <c r="G109" i="1"/>
  <c r="F109" i="1"/>
  <c r="G108" i="1"/>
  <c r="F108" i="1"/>
  <c r="G107" i="1"/>
  <c r="F107" i="1"/>
  <c r="G106" i="1"/>
  <c r="F106" i="1"/>
  <c r="F43" i="2"/>
  <c r="F42" i="2"/>
  <c r="G103" i="1"/>
  <c r="F103" i="1"/>
  <c r="F102" i="1"/>
  <c r="F101" i="1"/>
  <c r="F100" i="1"/>
  <c r="G99" i="1"/>
  <c r="F99" i="1"/>
  <c r="G98" i="1"/>
  <c r="F98" i="1"/>
  <c r="G97" i="1"/>
  <c r="F97" i="1"/>
  <c r="G96" i="1"/>
  <c r="F96" i="1"/>
  <c r="G95" i="1"/>
  <c r="F95" i="1"/>
  <c r="F39" i="2"/>
  <c r="H38" i="2"/>
  <c r="G38" i="2"/>
  <c r="F38" i="2"/>
  <c r="F37" i="2"/>
  <c r="F36" i="2"/>
  <c r="H35" i="2"/>
  <c r="G35" i="2" s="1"/>
  <c r="F35" i="2"/>
  <c r="F92" i="1"/>
  <c r="F91" i="1"/>
  <c r="F90" i="1"/>
  <c r="F89" i="1"/>
  <c r="F88" i="1"/>
  <c r="G87" i="1"/>
  <c r="F87" i="1"/>
  <c r="G86" i="1"/>
  <c r="F86" i="1"/>
  <c r="G85" i="1"/>
  <c r="F85" i="1"/>
  <c r="S21" i="5"/>
  <c r="L41" i="5"/>
  <c r="S28" i="5"/>
  <c r="W17" i="5"/>
  <c r="W22" i="5"/>
  <c r="F32" i="2" l="1"/>
  <c r="H31" i="2"/>
  <c r="G31" i="2" s="1"/>
  <c r="F31" i="2"/>
  <c r="H29" i="2"/>
  <c r="G29" i="2" s="1"/>
  <c r="H28" i="2"/>
  <c r="G28" i="2"/>
  <c r="F28" i="2"/>
  <c r="F82" i="1"/>
  <c r="F81" i="1"/>
  <c r="F80" i="1"/>
  <c r="F79" i="1"/>
  <c r="G78" i="1"/>
  <c r="F78" i="1"/>
  <c r="G77" i="1"/>
  <c r="F77" i="1"/>
  <c r="G76" i="1"/>
  <c r="F76" i="1"/>
  <c r="F24" i="2"/>
  <c r="H23" i="2"/>
  <c r="G23" i="2"/>
  <c r="F23" i="2"/>
  <c r="F22" i="2"/>
  <c r="F21" i="2"/>
  <c r="H20" i="2"/>
  <c r="G20" i="2" s="1"/>
  <c r="F20" i="2"/>
  <c r="G19" i="2"/>
  <c r="F19" i="2"/>
  <c r="H18" i="2"/>
  <c r="G18" i="2" s="1"/>
  <c r="F18" i="2"/>
  <c r="H17" i="2"/>
  <c r="G17" i="2" s="1"/>
  <c r="F17" i="2"/>
  <c r="F74" i="1"/>
  <c r="F73" i="1"/>
  <c r="F72" i="1"/>
  <c r="G71" i="1"/>
  <c r="F71" i="1"/>
  <c r="G70" i="1"/>
  <c r="F70" i="1"/>
  <c r="G69" i="1"/>
  <c r="F69" i="1"/>
  <c r="G68" i="1"/>
  <c r="F68" i="1"/>
  <c r="F16" i="2"/>
  <c r="G67" i="1"/>
  <c r="F67" i="1"/>
  <c r="F66" i="1"/>
  <c r="F65" i="1"/>
  <c r="F64" i="1"/>
  <c r="G63" i="1"/>
  <c r="F63" i="1"/>
  <c r="G62" i="1"/>
  <c r="F62" i="1"/>
  <c r="G61" i="1"/>
  <c r="F61" i="1"/>
  <c r="G15" i="2"/>
  <c r="F15" i="2"/>
  <c r="E40" i="3"/>
  <c r="W25" i="5"/>
  <c r="S23" i="5"/>
  <c r="W15" i="5"/>
  <c r="S27" i="5"/>
  <c r="W18" i="5"/>
  <c r="AD13" i="5"/>
  <c r="S9" i="5"/>
  <c r="G60" i="1" l="1"/>
  <c r="F60" i="1"/>
  <c r="F59" i="1"/>
  <c r="G58" i="1"/>
  <c r="F58" i="1"/>
  <c r="G57" i="1"/>
  <c r="F57" i="1"/>
  <c r="G56" i="1"/>
  <c r="F56" i="1"/>
  <c r="F3" i="2"/>
  <c r="F4" i="2"/>
  <c r="F5" i="2"/>
  <c r="F6" i="2"/>
  <c r="F7" i="2"/>
  <c r="F8" i="2"/>
  <c r="F9" i="2"/>
  <c r="F10" i="2"/>
  <c r="F11" i="2"/>
  <c r="F12" i="2"/>
  <c r="F13" i="2"/>
  <c r="F14" i="2"/>
  <c r="W57" i="5"/>
  <c r="H11" i="2" l="1"/>
  <c r="G11" i="2" s="1"/>
  <c r="F55" i="1"/>
  <c r="F54" i="1"/>
  <c r="F53" i="1"/>
  <c r="G52" i="1"/>
  <c r="F52" i="1"/>
  <c r="G51" i="1"/>
  <c r="F51" i="1"/>
  <c r="G50" i="1"/>
  <c r="F50" i="1"/>
  <c r="G43" i="1"/>
  <c r="F43" i="1"/>
  <c r="S12" i="5"/>
  <c r="F48" i="1" l="1"/>
  <c r="F47" i="1"/>
  <c r="F46" i="1"/>
  <c r="F45" i="1"/>
  <c r="F44" i="1"/>
  <c r="G42" i="1"/>
  <c r="F42" i="1"/>
  <c r="G41" i="1"/>
  <c r="F41" i="1"/>
  <c r="G40" i="1"/>
  <c r="F40" i="1"/>
  <c r="G39" i="1"/>
  <c r="F39" i="1"/>
  <c r="G8" i="2"/>
  <c r="G7" i="2"/>
  <c r="F36" i="1"/>
  <c r="F35" i="1"/>
  <c r="F34" i="1"/>
  <c r="F33" i="1"/>
  <c r="F32" i="1"/>
  <c r="F31" i="1"/>
  <c r="F30" i="1"/>
  <c r="F29" i="1"/>
  <c r="F28" i="1"/>
  <c r="G27" i="1"/>
  <c r="F27" i="1"/>
  <c r="G26" i="1"/>
  <c r="F26" i="1"/>
  <c r="G25" i="1"/>
  <c r="F25" i="1"/>
  <c r="G24" i="1"/>
  <c r="F24" i="1"/>
  <c r="H23" i="1"/>
  <c r="G23" i="1"/>
  <c r="F23" i="1"/>
  <c r="G22" i="1"/>
  <c r="F22" i="1"/>
  <c r="S54" i="5"/>
  <c r="W72" i="5"/>
  <c r="W71" i="5"/>
  <c r="W61" i="5"/>
  <c r="W60" i="5"/>
  <c r="W59" i="5"/>
  <c r="W58" i="5"/>
  <c r="W56" i="5"/>
  <c r="W51" i="5"/>
  <c r="S78" i="5"/>
  <c r="S74" i="5"/>
  <c r="S73" i="5"/>
  <c r="S72" i="5"/>
  <c r="S70" i="5"/>
  <c r="S66" i="5"/>
  <c r="S65" i="5"/>
  <c r="S64" i="5"/>
  <c r="S62" i="5"/>
  <c r="S61" i="5"/>
  <c r="S56" i="5"/>
  <c r="AD10" i="5"/>
  <c r="S25" i="5"/>
  <c r="W12" i="5"/>
  <c r="S68" i="5"/>
  <c r="W21" i="5"/>
  <c r="W11" i="5"/>
  <c r="W54" i="5" l="1"/>
  <c r="W53" i="5"/>
  <c r="S71" i="5"/>
  <c r="W62" i="5"/>
  <c r="H5" i="2"/>
  <c r="G5" i="2"/>
  <c r="F21" i="1"/>
  <c r="F20" i="1"/>
  <c r="F19" i="1"/>
  <c r="F18" i="1"/>
  <c r="F17" i="1"/>
  <c r="F16" i="1"/>
  <c r="G15" i="1"/>
  <c r="F15" i="1"/>
  <c r="G14" i="1"/>
  <c r="F14" i="1"/>
  <c r="G13" i="1"/>
  <c r="F13" i="1"/>
  <c r="G12" i="1"/>
  <c r="F12" i="1"/>
  <c r="G11" i="1"/>
  <c r="F11" i="1"/>
  <c r="G10" i="1"/>
  <c r="F10" i="1"/>
  <c r="S79" i="5"/>
  <c r="B14" i="5"/>
  <c r="S31" i="5"/>
  <c r="B12" i="5"/>
  <c r="D4" i="5"/>
  <c r="B20" i="5"/>
  <c r="W7" i="5"/>
  <c r="B6" i="5"/>
  <c r="B18" i="5"/>
  <c r="F14" i="5"/>
  <c r="F18" i="5"/>
  <c r="D6" i="5"/>
  <c r="B4" i="5"/>
  <c r="F20" i="5"/>
  <c r="S29" i="5"/>
  <c r="F12" i="5"/>
  <c r="G4" i="5" l="1"/>
  <c r="B8" i="5"/>
  <c r="E26" i="5"/>
  <c r="AA7" i="5"/>
  <c r="AC7" i="5" s="1"/>
  <c r="AD5" i="5" s="1"/>
  <c r="S51" i="5"/>
  <c r="W49" i="5"/>
  <c r="S75" i="5"/>
  <c r="S77" i="5"/>
  <c r="AE7" i="5"/>
  <c r="H2" i="2" l="1"/>
  <c r="G2" i="2"/>
  <c r="F2" i="2"/>
  <c r="K2" i="2" s="1"/>
  <c r="F9" i="1"/>
  <c r="Q9" i="1" s="1"/>
  <c r="F8" i="1"/>
  <c r="Q8" i="1" s="1"/>
  <c r="F7" i="1"/>
  <c r="Q7" i="1" s="1"/>
  <c r="F6" i="1"/>
  <c r="Q6" i="1" s="1"/>
  <c r="G5" i="1"/>
  <c r="F5" i="1"/>
  <c r="K5" i="1" s="1"/>
  <c r="G4" i="1"/>
  <c r="F4" i="1"/>
  <c r="K4" i="1" s="1"/>
  <c r="G3" i="1"/>
  <c r="F3" i="1"/>
  <c r="G2" i="1"/>
  <c r="F2" i="1"/>
  <c r="K2" i="1" s="1"/>
  <c r="L37" i="5"/>
  <c r="AG23" i="5"/>
  <c r="AA23" i="5"/>
  <c r="AC23" i="5" s="1"/>
  <c r="AD21" i="5" s="1"/>
  <c r="AG7" i="5"/>
  <c r="F3" i="3"/>
  <c r="G3" i="3" s="1"/>
  <c r="L3" i="3"/>
  <c r="M3" i="3" s="1"/>
  <c r="G4" i="3"/>
  <c r="L4" i="3"/>
  <c r="M4" i="3" s="1"/>
  <c r="G5" i="3"/>
  <c r="L5" i="3"/>
  <c r="M5" i="3" s="1"/>
  <c r="G6" i="3"/>
  <c r="L6" i="3"/>
  <c r="M6" i="3" s="1"/>
  <c r="G7" i="3"/>
  <c r="L7" i="3"/>
  <c r="M7" i="3" s="1"/>
  <c r="G8" i="3"/>
  <c r="L8" i="3"/>
  <c r="M8" i="3" s="1"/>
  <c r="F9" i="3"/>
  <c r="G9" i="3" s="1"/>
  <c r="L9" i="3"/>
  <c r="M9" i="3" s="1"/>
  <c r="G10" i="3"/>
  <c r="L10" i="3"/>
  <c r="M10" i="3" s="1"/>
  <c r="F11" i="3"/>
  <c r="G11" i="3" s="1"/>
  <c r="L11" i="3"/>
  <c r="M11" i="3" s="1"/>
  <c r="G12" i="3"/>
  <c r="L12" i="3"/>
  <c r="M12" i="3" s="1"/>
  <c r="G13" i="3"/>
  <c r="L13" i="3"/>
  <c r="M13" i="3" s="1"/>
  <c r="G14" i="3"/>
  <c r="L14" i="3"/>
  <c r="M14" i="3" s="1"/>
  <c r="G15" i="3"/>
  <c r="L15" i="3"/>
  <c r="M15" i="3" s="1"/>
  <c r="G16" i="3"/>
  <c r="L16" i="3"/>
  <c r="M16" i="3" s="1"/>
  <c r="G17" i="3"/>
  <c r="L17" i="3"/>
  <c r="M17" i="3" s="1"/>
  <c r="G18" i="3"/>
  <c r="L18" i="3"/>
  <c r="M18" i="3" s="1"/>
  <c r="G19" i="3"/>
  <c r="L19" i="3"/>
  <c r="M19" i="3" s="1"/>
  <c r="G20" i="3"/>
  <c r="L20" i="3"/>
  <c r="M20" i="3" s="1"/>
  <c r="F21" i="3"/>
  <c r="G21" i="3" s="1"/>
  <c r="L21" i="3"/>
  <c r="M21" i="3" s="1"/>
  <c r="G22" i="3"/>
  <c r="L22" i="3"/>
  <c r="M22" i="3" s="1"/>
  <c r="F23" i="3"/>
  <c r="G23" i="3" s="1"/>
  <c r="L23" i="3"/>
  <c r="M23" i="3" s="1"/>
  <c r="F24" i="3"/>
  <c r="G24" i="3" s="1"/>
  <c r="L24" i="3"/>
  <c r="M24" i="3" s="1"/>
  <c r="F25" i="3"/>
  <c r="G25" i="3" s="1"/>
  <c r="L25" i="3"/>
  <c r="M25" i="3" s="1"/>
  <c r="G26" i="3"/>
  <c r="L26" i="3"/>
  <c r="M26" i="3" s="1"/>
  <c r="G27" i="3"/>
  <c r="L27" i="3"/>
  <c r="M27" i="3" s="1"/>
  <c r="F28" i="3"/>
  <c r="G28" i="3" s="1"/>
  <c r="L28" i="3"/>
  <c r="M28" i="3" s="1"/>
  <c r="F29" i="3"/>
  <c r="G29" i="3" s="1"/>
  <c r="L29" i="3"/>
  <c r="M29" i="3" s="1"/>
  <c r="F30" i="3"/>
  <c r="G30" i="3" s="1"/>
  <c r="L30" i="3"/>
  <c r="M30" i="3" s="1"/>
  <c r="G31" i="3"/>
  <c r="L31" i="3"/>
  <c r="M31" i="3" s="1"/>
  <c r="G32" i="3"/>
  <c r="L32" i="3"/>
  <c r="M32" i="3" s="1"/>
  <c r="G33" i="3"/>
  <c r="L33" i="3"/>
  <c r="M33" i="3" s="1"/>
  <c r="F34" i="3"/>
  <c r="G34" i="3" s="1"/>
  <c r="L34" i="3"/>
  <c r="M34" i="3" s="1"/>
  <c r="G35" i="3"/>
  <c r="L35" i="3"/>
  <c r="M35" i="3" s="1"/>
  <c r="G36" i="3"/>
  <c r="L36" i="3"/>
  <c r="M36" i="3" s="1"/>
  <c r="G37" i="3"/>
  <c r="L37" i="3"/>
  <c r="M37" i="3" s="1"/>
  <c r="F38" i="3"/>
  <c r="G38" i="3" s="1"/>
  <c r="L38" i="3"/>
  <c r="M38" i="3" s="1"/>
  <c r="G39" i="3"/>
  <c r="L39" i="3"/>
  <c r="M39" i="3" s="1"/>
  <c r="F40" i="3"/>
  <c r="G40" i="3" s="1"/>
  <c r="L40" i="3"/>
  <c r="M40" i="3" s="1"/>
  <c r="G41" i="3"/>
  <c r="L41" i="3"/>
  <c r="M41" i="3" s="1"/>
  <c r="F42" i="3"/>
  <c r="G42" i="3" s="1"/>
  <c r="L42" i="3"/>
  <c r="M42" i="3" s="1"/>
  <c r="F43" i="3"/>
  <c r="G43" i="3" s="1"/>
  <c r="L43" i="3"/>
  <c r="M43" i="3" s="1"/>
  <c r="F44" i="3"/>
  <c r="G44" i="3" s="1"/>
  <c r="L44" i="3"/>
  <c r="M44" i="3" s="1"/>
  <c r="G45" i="3"/>
  <c r="L45" i="3"/>
  <c r="M45" i="3" s="1"/>
  <c r="G46" i="3"/>
  <c r="L46" i="3"/>
  <c r="M46" i="3" s="1"/>
  <c r="G47" i="3"/>
  <c r="L47" i="3"/>
  <c r="M47" i="3" s="1"/>
  <c r="G48" i="3"/>
  <c r="L48" i="3"/>
  <c r="M48" i="3" s="1"/>
  <c r="G49" i="3"/>
  <c r="L49" i="3"/>
  <c r="M49" i="3" s="1"/>
  <c r="F50" i="3"/>
  <c r="G50" i="3" s="1"/>
  <c r="L50" i="3"/>
  <c r="M50" i="3" s="1"/>
  <c r="F51" i="3"/>
  <c r="G51" i="3" s="1"/>
  <c r="L51" i="3"/>
  <c r="M51" i="3" s="1"/>
  <c r="G52" i="3"/>
  <c r="L52" i="3"/>
  <c r="M52" i="3" s="1"/>
  <c r="G53" i="3"/>
  <c r="L53" i="3"/>
  <c r="M53" i="3" s="1"/>
  <c r="F54" i="3"/>
  <c r="G54" i="3" s="1"/>
  <c r="L54" i="3"/>
  <c r="M54" i="3" s="1"/>
  <c r="F55" i="3"/>
  <c r="G55" i="3" s="1"/>
  <c r="L55" i="3"/>
  <c r="M55" i="3" s="1"/>
  <c r="F56" i="3"/>
  <c r="G56" i="3" s="1"/>
  <c r="L56" i="3"/>
  <c r="M56" i="3" s="1"/>
  <c r="F57" i="3"/>
  <c r="G57" i="3" s="1"/>
  <c r="L57" i="3"/>
  <c r="M57" i="3" s="1"/>
  <c r="G58" i="3"/>
  <c r="L58" i="3"/>
  <c r="M58" i="3" s="1"/>
  <c r="G59" i="3"/>
  <c r="L59" i="3"/>
  <c r="M59" i="3" s="1"/>
  <c r="G60" i="3"/>
  <c r="L60" i="3"/>
  <c r="M60" i="3" s="1"/>
  <c r="G61" i="3"/>
  <c r="L61" i="3"/>
  <c r="M61" i="3" s="1"/>
  <c r="F62" i="3"/>
  <c r="G62" i="3" s="1"/>
  <c r="L62" i="3"/>
  <c r="M62" i="3" s="1"/>
  <c r="G63" i="3"/>
  <c r="L63" i="3"/>
  <c r="M63" i="3" s="1"/>
  <c r="G64" i="3"/>
  <c r="L64" i="3"/>
  <c r="M64" i="3" s="1"/>
  <c r="G65" i="3"/>
  <c r="L65" i="3"/>
  <c r="M65" i="3" s="1"/>
  <c r="G66" i="3"/>
  <c r="L66" i="3"/>
  <c r="M66" i="3" s="1"/>
  <c r="F67" i="3"/>
  <c r="G67" i="3" s="1"/>
  <c r="L67" i="3"/>
  <c r="M67" i="3" s="1"/>
  <c r="G68" i="3"/>
  <c r="L68" i="3"/>
  <c r="M68" i="3" s="1"/>
  <c r="F69" i="3"/>
  <c r="G69" i="3" s="1"/>
  <c r="L69" i="3"/>
  <c r="M69" i="3" s="1"/>
  <c r="G70" i="3"/>
  <c r="L70" i="3"/>
  <c r="M70" i="3" s="1"/>
  <c r="F71" i="3"/>
  <c r="G71" i="3" s="1"/>
  <c r="L71" i="3"/>
  <c r="M71" i="3" s="1"/>
  <c r="G72" i="3"/>
  <c r="L72" i="3"/>
  <c r="M72" i="3" s="1"/>
  <c r="G73" i="3"/>
  <c r="L73" i="3"/>
  <c r="M73" i="3" s="1"/>
  <c r="G74" i="3"/>
  <c r="L74" i="3"/>
  <c r="M74" i="3" s="1"/>
  <c r="F75" i="3"/>
  <c r="G75" i="3" s="1"/>
  <c r="L75" i="3"/>
  <c r="M75" i="3" s="1"/>
  <c r="G76" i="3"/>
  <c r="L76" i="3"/>
  <c r="M76" i="3" s="1"/>
  <c r="G77" i="3"/>
  <c r="L77" i="3"/>
  <c r="M77" i="3" s="1"/>
  <c r="F78" i="3"/>
  <c r="G78" i="3" s="1"/>
  <c r="L78" i="3"/>
  <c r="M78" i="3" s="1"/>
  <c r="G79" i="3"/>
  <c r="L79" i="3"/>
  <c r="M79" i="3" s="1"/>
  <c r="F80" i="3"/>
  <c r="G80" i="3" s="1"/>
  <c r="L80" i="3"/>
  <c r="M80" i="3" s="1"/>
  <c r="F81" i="3"/>
  <c r="G81" i="3" s="1"/>
  <c r="L81" i="3"/>
  <c r="M81" i="3" s="1"/>
  <c r="G82" i="3"/>
  <c r="L82" i="3"/>
  <c r="M82" i="3" s="1"/>
  <c r="F83" i="3"/>
  <c r="G83" i="3" s="1"/>
  <c r="L83" i="3"/>
  <c r="M83" i="3" s="1"/>
  <c r="G84" i="3"/>
  <c r="L84" i="3"/>
  <c r="M84" i="3" s="1"/>
  <c r="F85" i="3"/>
  <c r="G85" i="3" s="1"/>
  <c r="L85" i="3"/>
  <c r="M85" i="3" s="1"/>
  <c r="F86" i="3"/>
  <c r="G86" i="3" s="1"/>
  <c r="L86" i="3"/>
  <c r="M86" i="3" s="1"/>
  <c r="F87" i="3"/>
  <c r="G87" i="3" s="1"/>
  <c r="L87" i="3"/>
  <c r="M87" i="3" s="1"/>
  <c r="G88" i="3"/>
  <c r="L88" i="3"/>
  <c r="M88" i="3" s="1"/>
  <c r="G89" i="3"/>
  <c r="L89" i="3"/>
  <c r="M89" i="3" s="1"/>
  <c r="G90" i="3"/>
  <c r="L90" i="3"/>
  <c r="M90" i="3" s="1"/>
  <c r="G91" i="3"/>
  <c r="L91" i="3"/>
  <c r="M91" i="3" s="1"/>
  <c r="G92" i="3"/>
  <c r="L92" i="3"/>
  <c r="M92" i="3" s="1"/>
  <c r="G93" i="3"/>
  <c r="L93" i="3"/>
  <c r="M93" i="3" s="1"/>
  <c r="G94" i="3"/>
  <c r="L94" i="3"/>
  <c r="M94" i="3" s="1"/>
  <c r="F95" i="3"/>
  <c r="G95" i="3" s="1"/>
  <c r="L95" i="3"/>
  <c r="M95" i="3" s="1"/>
  <c r="F96" i="3"/>
  <c r="G96" i="3" s="1"/>
  <c r="L96" i="3"/>
  <c r="M96" i="3" s="1"/>
  <c r="G97" i="3"/>
  <c r="L97" i="3"/>
  <c r="M97" i="3" s="1"/>
  <c r="F98" i="3"/>
  <c r="G98" i="3" s="1"/>
  <c r="L98" i="3"/>
  <c r="M98" i="3" s="1"/>
  <c r="F99" i="3"/>
  <c r="G99" i="3" s="1"/>
  <c r="L99" i="3"/>
  <c r="M99" i="3" s="1"/>
  <c r="G100" i="3"/>
  <c r="L100" i="3"/>
  <c r="M100" i="3" s="1"/>
  <c r="F101" i="3"/>
  <c r="G101" i="3" s="1"/>
  <c r="L101" i="3"/>
  <c r="M101" i="3" s="1"/>
  <c r="F102" i="3"/>
  <c r="G102" i="3" s="1"/>
  <c r="L102" i="3"/>
  <c r="M102" i="3" s="1"/>
  <c r="F103" i="3"/>
  <c r="G103" i="3" s="1"/>
  <c r="L103" i="3"/>
  <c r="M103" i="3" s="1"/>
  <c r="F104" i="3"/>
  <c r="G104" i="3" s="1"/>
  <c r="L104" i="3"/>
  <c r="M104" i="3" s="1"/>
  <c r="G105" i="3"/>
  <c r="L105" i="3"/>
  <c r="M105" i="3" s="1"/>
  <c r="F106" i="3"/>
  <c r="G106" i="3" s="1"/>
  <c r="L106" i="3"/>
  <c r="M106" i="3" s="1"/>
  <c r="F107" i="3"/>
  <c r="G107" i="3" s="1"/>
  <c r="L107" i="3"/>
  <c r="M107" i="3" s="1"/>
  <c r="G108" i="3"/>
  <c r="L108" i="3"/>
  <c r="M108" i="3" s="1"/>
  <c r="F109" i="3"/>
  <c r="G109" i="3" s="1"/>
  <c r="L109" i="3"/>
  <c r="M109" i="3" s="1"/>
  <c r="F110" i="3"/>
  <c r="G110" i="3" s="1"/>
  <c r="L110" i="3"/>
  <c r="M110" i="3" s="1"/>
  <c r="G111" i="3"/>
  <c r="L111" i="3"/>
  <c r="M111" i="3" s="1"/>
  <c r="F112" i="3"/>
  <c r="G112" i="3" s="1"/>
  <c r="L112" i="3"/>
  <c r="M112" i="3" s="1"/>
  <c r="F113" i="3"/>
  <c r="G113" i="3" s="1"/>
  <c r="L113" i="3"/>
  <c r="M113" i="3" s="1"/>
  <c r="G114" i="3"/>
  <c r="L114" i="3"/>
  <c r="M114" i="3" s="1"/>
  <c r="G115" i="3"/>
  <c r="L115" i="3"/>
  <c r="M115" i="3" s="1"/>
  <c r="G116" i="3"/>
  <c r="L116" i="3"/>
  <c r="M116" i="3" s="1"/>
  <c r="G117" i="3"/>
  <c r="L117" i="3"/>
  <c r="M117" i="3" s="1"/>
  <c r="G118" i="3"/>
  <c r="L118" i="3"/>
  <c r="M118" i="3" s="1"/>
  <c r="G119" i="3"/>
  <c r="L119" i="3"/>
  <c r="M119" i="3" s="1"/>
  <c r="F120" i="3"/>
  <c r="G120" i="3" s="1"/>
  <c r="L120" i="3"/>
  <c r="M120" i="3" s="1"/>
  <c r="G121" i="3"/>
  <c r="L121" i="3"/>
  <c r="M121" i="3" s="1"/>
  <c r="G122" i="3"/>
  <c r="L122" i="3"/>
  <c r="M122" i="3" s="1"/>
  <c r="G123" i="3"/>
  <c r="L123" i="3"/>
  <c r="M123" i="3" s="1"/>
  <c r="G124" i="3"/>
  <c r="L124" i="3"/>
  <c r="M124" i="3" s="1"/>
  <c r="G125" i="3"/>
  <c r="L125" i="3"/>
  <c r="M125" i="3" s="1"/>
  <c r="F126" i="3"/>
  <c r="G126" i="3" s="1"/>
  <c r="L126" i="3"/>
  <c r="M126" i="3" s="1"/>
  <c r="F127" i="3"/>
  <c r="G127" i="3" s="1"/>
  <c r="L127" i="3"/>
  <c r="M127" i="3" s="1"/>
  <c r="F128" i="3"/>
  <c r="G128" i="3" s="1"/>
  <c r="L128" i="3"/>
  <c r="M128" i="3" s="1"/>
  <c r="F129" i="3"/>
  <c r="G129" i="3" s="1"/>
  <c r="L129" i="3"/>
  <c r="M129" i="3" s="1"/>
  <c r="G130" i="3"/>
  <c r="L130" i="3"/>
  <c r="M130" i="3" s="1"/>
  <c r="G131" i="3"/>
  <c r="L131" i="3"/>
  <c r="M131" i="3" s="1"/>
  <c r="G132" i="3"/>
  <c r="L132" i="3"/>
  <c r="M132" i="3" s="1"/>
  <c r="G133" i="3"/>
  <c r="L133" i="3"/>
  <c r="M133" i="3" s="1"/>
  <c r="F134" i="3"/>
  <c r="G134" i="3" s="1"/>
  <c r="L134" i="3"/>
  <c r="M134" i="3" s="1"/>
  <c r="F135" i="3"/>
  <c r="G135" i="3" s="1"/>
  <c r="L135" i="3"/>
  <c r="M135" i="3" s="1"/>
  <c r="G136" i="3"/>
  <c r="L136" i="3"/>
  <c r="M136" i="3" s="1"/>
  <c r="F137" i="3"/>
  <c r="G137" i="3" s="1"/>
  <c r="L137" i="3"/>
  <c r="M137" i="3" s="1"/>
  <c r="G138" i="3"/>
  <c r="L138" i="3"/>
  <c r="M138" i="3" s="1"/>
  <c r="G139" i="3"/>
  <c r="L139" i="3"/>
  <c r="M139" i="3" s="1"/>
  <c r="F140" i="3"/>
  <c r="G140" i="3" s="1"/>
  <c r="L140" i="3"/>
  <c r="M140" i="3" s="1"/>
  <c r="G141" i="3"/>
  <c r="L141" i="3"/>
  <c r="M141" i="3" s="1"/>
  <c r="G142" i="3"/>
  <c r="L142" i="3"/>
  <c r="M142" i="3" s="1"/>
  <c r="G143" i="3"/>
  <c r="L143" i="3"/>
  <c r="M143" i="3" s="1"/>
  <c r="F144" i="3"/>
  <c r="G144" i="3" s="1"/>
  <c r="L144" i="3"/>
  <c r="M144" i="3" s="1"/>
  <c r="F145" i="3"/>
  <c r="G145" i="3" s="1"/>
  <c r="L145" i="3"/>
  <c r="M145" i="3" s="1"/>
  <c r="G146" i="3"/>
  <c r="L146" i="3"/>
  <c r="M146" i="3" s="1"/>
  <c r="G147" i="3"/>
  <c r="L147" i="3"/>
  <c r="M147" i="3" s="1"/>
  <c r="F148" i="3"/>
  <c r="G148" i="3" s="1"/>
  <c r="L148" i="3"/>
  <c r="M148" i="3" s="1"/>
  <c r="F149" i="3"/>
  <c r="G149" i="3" s="1"/>
  <c r="L149" i="3"/>
  <c r="M149" i="3" s="1"/>
  <c r="G150" i="3"/>
  <c r="L150" i="3"/>
  <c r="M150" i="3" s="1"/>
  <c r="F151" i="3"/>
  <c r="G151" i="3" s="1"/>
  <c r="L151" i="3"/>
  <c r="M151" i="3" s="1"/>
  <c r="F152" i="3"/>
  <c r="G152" i="3" s="1"/>
  <c r="L152" i="3"/>
  <c r="M152" i="3" s="1"/>
  <c r="G153" i="3"/>
  <c r="L153" i="3"/>
  <c r="M153" i="3" s="1"/>
  <c r="G154" i="3"/>
  <c r="L154" i="3"/>
  <c r="M154" i="3" s="1"/>
  <c r="F155" i="3"/>
  <c r="G155" i="3" s="1"/>
  <c r="L155" i="3"/>
  <c r="M155" i="3" s="1"/>
  <c r="G156" i="3"/>
  <c r="L156" i="3"/>
  <c r="M156" i="3" s="1"/>
  <c r="G157" i="3"/>
  <c r="L157" i="3"/>
  <c r="M157" i="3" s="1"/>
  <c r="F158" i="3"/>
  <c r="G158" i="3" s="1"/>
  <c r="L158" i="3"/>
  <c r="M158" i="3" s="1"/>
  <c r="G159" i="3"/>
  <c r="L159" i="3"/>
  <c r="M159" i="3" s="1"/>
  <c r="F160" i="3"/>
  <c r="G160" i="3" s="1"/>
  <c r="L160" i="3"/>
  <c r="M160" i="3" s="1"/>
  <c r="G161" i="3"/>
  <c r="L161" i="3"/>
  <c r="M161" i="3" s="1"/>
  <c r="G162" i="3"/>
  <c r="L162" i="3"/>
  <c r="M162" i="3" s="1"/>
  <c r="F163" i="3"/>
  <c r="G163" i="3" s="1"/>
  <c r="L163" i="3"/>
  <c r="M163" i="3" s="1"/>
  <c r="G164" i="3"/>
  <c r="L164" i="3"/>
  <c r="M164" i="3" s="1"/>
  <c r="G165" i="3"/>
  <c r="L165" i="3"/>
  <c r="M165" i="3" s="1"/>
  <c r="F166" i="3"/>
  <c r="G166" i="3" s="1"/>
  <c r="L166" i="3"/>
  <c r="M166" i="3" s="1"/>
  <c r="F167" i="3"/>
  <c r="G167" i="3" s="1"/>
  <c r="L167" i="3"/>
  <c r="M167" i="3" s="1"/>
  <c r="F168" i="3"/>
  <c r="G168" i="3" s="1"/>
  <c r="L168" i="3"/>
  <c r="M168" i="3" s="1"/>
  <c r="F169" i="3"/>
  <c r="G169" i="3" s="1"/>
  <c r="L169" i="3"/>
  <c r="M169" i="3" s="1"/>
  <c r="F170" i="3"/>
  <c r="G170" i="3" s="1"/>
  <c r="L170" i="3"/>
  <c r="M170" i="3" s="1"/>
  <c r="G171" i="3"/>
  <c r="L171" i="3"/>
  <c r="M171" i="3" s="1"/>
  <c r="F172" i="3"/>
  <c r="G172" i="3" s="1"/>
  <c r="L172" i="3"/>
  <c r="M172" i="3" s="1"/>
  <c r="F173" i="3"/>
  <c r="G173" i="3" s="1"/>
  <c r="L173" i="3"/>
  <c r="M173" i="3" s="1"/>
  <c r="G174" i="3"/>
  <c r="L174" i="3"/>
  <c r="M174" i="3" s="1"/>
  <c r="F175" i="3"/>
  <c r="G175" i="3" s="1"/>
  <c r="L175" i="3"/>
  <c r="M175" i="3" s="1"/>
  <c r="G176" i="3"/>
  <c r="L176" i="3"/>
  <c r="M176" i="3" s="1"/>
  <c r="G177" i="3"/>
  <c r="L177" i="3"/>
  <c r="M177" i="3" s="1"/>
  <c r="F178" i="3"/>
  <c r="G178" i="3" s="1"/>
  <c r="L178" i="3"/>
  <c r="M178" i="3" s="1"/>
  <c r="F179" i="3"/>
  <c r="G179" i="3" s="1"/>
  <c r="L179" i="3"/>
  <c r="M179" i="3" s="1"/>
  <c r="G180" i="3"/>
  <c r="L180" i="3"/>
  <c r="M180" i="3" s="1"/>
  <c r="G181" i="3"/>
  <c r="L181" i="3"/>
  <c r="M181" i="3" s="1"/>
  <c r="G182" i="3"/>
  <c r="L182" i="3"/>
  <c r="M182" i="3" s="1"/>
  <c r="F183" i="3"/>
  <c r="G183" i="3" s="1"/>
  <c r="L183" i="3"/>
  <c r="M183" i="3" s="1"/>
  <c r="G184" i="3"/>
  <c r="L184" i="3"/>
  <c r="M184" i="3" s="1"/>
  <c r="G185" i="3"/>
  <c r="L185" i="3"/>
  <c r="M185" i="3" s="1"/>
  <c r="F186" i="3"/>
  <c r="G186" i="3" s="1"/>
  <c r="L186" i="3"/>
  <c r="M186" i="3" s="1"/>
  <c r="G187" i="3"/>
  <c r="L187" i="3"/>
  <c r="M187" i="3" s="1"/>
  <c r="G188" i="3"/>
  <c r="L188" i="3"/>
  <c r="M188" i="3" s="1"/>
  <c r="F189" i="3"/>
  <c r="G189" i="3" s="1"/>
  <c r="L189" i="3"/>
  <c r="M189" i="3" s="1"/>
  <c r="F190" i="3"/>
  <c r="G190" i="3" s="1"/>
  <c r="L190" i="3"/>
  <c r="M190" i="3" s="1"/>
  <c r="F191" i="3"/>
  <c r="G191" i="3" s="1"/>
  <c r="L191" i="3"/>
  <c r="M191" i="3" s="1"/>
  <c r="F192" i="3"/>
  <c r="G192" i="3" s="1"/>
  <c r="L192" i="3"/>
  <c r="M192" i="3" s="1"/>
  <c r="F193" i="3"/>
  <c r="G193" i="3" s="1"/>
  <c r="L193" i="3"/>
  <c r="M193" i="3" s="1"/>
  <c r="G194" i="3"/>
  <c r="L194" i="3"/>
  <c r="M194" i="3" s="1"/>
  <c r="F195" i="3"/>
  <c r="G195" i="3" s="1"/>
  <c r="L195" i="3"/>
  <c r="M195" i="3" s="1"/>
  <c r="F196" i="3"/>
  <c r="G196" i="3" s="1"/>
  <c r="L196" i="3"/>
  <c r="M196" i="3" s="1"/>
  <c r="G197" i="3"/>
  <c r="L197" i="3"/>
  <c r="M197" i="3" s="1"/>
  <c r="F198" i="3"/>
  <c r="G198" i="3" s="1"/>
  <c r="L198" i="3"/>
  <c r="M198" i="3" s="1"/>
  <c r="G199" i="3"/>
  <c r="L199" i="3"/>
  <c r="M199" i="3" s="1"/>
  <c r="G200" i="3"/>
  <c r="L200" i="3"/>
  <c r="M200" i="3" s="1"/>
  <c r="F201" i="3"/>
  <c r="G201" i="3" s="1"/>
  <c r="L201" i="3"/>
  <c r="M201" i="3" s="1"/>
  <c r="G202" i="3"/>
  <c r="L202" i="3"/>
  <c r="M202" i="3" s="1"/>
  <c r="G203" i="3"/>
  <c r="L203" i="3"/>
  <c r="M203" i="3" s="1"/>
  <c r="G204" i="3"/>
  <c r="L204" i="3"/>
  <c r="M204" i="3" s="1"/>
  <c r="F205" i="3"/>
  <c r="G205" i="3" s="1"/>
  <c r="L205" i="3"/>
  <c r="M205" i="3" s="1"/>
  <c r="G206" i="3"/>
  <c r="L206" i="3"/>
  <c r="M206" i="3" s="1"/>
  <c r="F207" i="3"/>
  <c r="G207" i="3" s="1"/>
  <c r="L207" i="3"/>
  <c r="M207" i="3" s="1"/>
  <c r="F208" i="3"/>
  <c r="G208" i="3" s="1"/>
  <c r="L208" i="3"/>
  <c r="M208" i="3" s="1"/>
  <c r="G209" i="3"/>
  <c r="L209" i="3"/>
  <c r="M209" i="3" s="1"/>
  <c r="G210" i="3"/>
  <c r="L210" i="3"/>
  <c r="M210" i="3" s="1"/>
  <c r="G211" i="3"/>
  <c r="L211" i="3"/>
  <c r="M211" i="3" s="1"/>
  <c r="F212" i="3"/>
  <c r="G212" i="3" s="1"/>
  <c r="L212" i="3"/>
  <c r="M212" i="3" s="1"/>
  <c r="G213" i="3"/>
  <c r="L213" i="3"/>
  <c r="M213" i="3" s="1"/>
  <c r="G214" i="3"/>
  <c r="L214" i="3"/>
  <c r="M214" i="3" s="1"/>
  <c r="G215" i="3"/>
  <c r="L215" i="3"/>
  <c r="M215" i="3" s="1"/>
  <c r="G216" i="3"/>
  <c r="L216" i="3"/>
  <c r="M216" i="3" s="1"/>
  <c r="F217" i="3"/>
  <c r="G217" i="3" s="1"/>
  <c r="L217" i="3"/>
  <c r="M217" i="3" s="1"/>
  <c r="G218" i="3"/>
  <c r="L218" i="3"/>
  <c r="M218" i="3" s="1"/>
  <c r="F219" i="3"/>
  <c r="G219" i="3" s="1"/>
  <c r="L219" i="3"/>
  <c r="M219" i="3" s="1"/>
  <c r="G220" i="3"/>
  <c r="L220" i="3"/>
  <c r="M220" i="3" s="1"/>
  <c r="G221" i="3"/>
  <c r="L221" i="3"/>
  <c r="M221" i="3" s="1"/>
  <c r="F222" i="3"/>
  <c r="G222" i="3" s="1"/>
  <c r="L222" i="3"/>
  <c r="M222" i="3" s="1"/>
  <c r="G223" i="3"/>
  <c r="L223" i="3"/>
  <c r="M223" i="3" s="1"/>
  <c r="F224" i="3"/>
  <c r="G224" i="3" s="1"/>
  <c r="L224" i="3"/>
  <c r="M224" i="3" s="1"/>
  <c r="F225" i="3"/>
  <c r="G225" i="3" s="1"/>
  <c r="L225" i="3"/>
  <c r="M225" i="3" s="1"/>
  <c r="G226" i="3"/>
  <c r="L226" i="3"/>
  <c r="M226" i="3" s="1"/>
  <c r="G227" i="3"/>
  <c r="L227" i="3"/>
  <c r="M227" i="3" s="1"/>
  <c r="G228" i="3"/>
  <c r="L228" i="3"/>
  <c r="M228" i="3" s="1"/>
  <c r="F229" i="3"/>
  <c r="G229" i="3" s="1"/>
  <c r="L229" i="3"/>
  <c r="M229" i="3" s="1"/>
  <c r="G230" i="3"/>
  <c r="L230" i="3"/>
  <c r="M230" i="3" s="1"/>
  <c r="G231" i="3"/>
  <c r="L231" i="3"/>
  <c r="M231" i="3" s="1"/>
  <c r="F232" i="3"/>
  <c r="G232" i="3" s="1"/>
  <c r="L232" i="3"/>
  <c r="M232" i="3" s="1"/>
  <c r="G233" i="3"/>
  <c r="L233" i="3"/>
  <c r="M233" i="3" s="1"/>
  <c r="F234" i="3"/>
  <c r="G234" i="3" s="1"/>
  <c r="L234" i="3"/>
  <c r="M234" i="3" s="1"/>
  <c r="G235" i="3"/>
  <c r="L235" i="3"/>
  <c r="M235" i="3" s="1"/>
  <c r="G236" i="3"/>
  <c r="L236" i="3"/>
  <c r="M236" i="3" s="1"/>
  <c r="F237" i="3"/>
  <c r="G237" i="3" s="1"/>
  <c r="L237" i="3"/>
  <c r="M237" i="3" s="1"/>
  <c r="G238" i="3"/>
  <c r="L238" i="3"/>
  <c r="M238" i="3" s="1"/>
  <c r="F239" i="3"/>
  <c r="G239" i="3" s="1"/>
  <c r="L239" i="3"/>
  <c r="M239" i="3" s="1"/>
  <c r="G240" i="3"/>
  <c r="L240" i="3"/>
  <c r="M240" i="3" s="1"/>
  <c r="G241" i="3"/>
  <c r="L241" i="3"/>
  <c r="M241" i="3" s="1"/>
  <c r="G242" i="3"/>
  <c r="L242" i="3"/>
  <c r="M242" i="3" s="1"/>
  <c r="G243" i="3"/>
  <c r="L243" i="3"/>
  <c r="M243" i="3" s="1"/>
  <c r="F244" i="3"/>
  <c r="G244" i="3" s="1"/>
  <c r="L244" i="3"/>
  <c r="M244" i="3" s="1"/>
  <c r="F245" i="3"/>
  <c r="G245" i="3" s="1"/>
  <c r="L245" i="3"/>
  <c r="M245" i="3" s="1"/>
  <c r="L2" i="3"/>
  <c r="M2" i="3" s="1"/>
  <c r="F2" i="3"/>
  <c r="G2" i="3" s="1"/>
  <c r="G3" i="2"/>
  <c r="I3" i="2"/>
  <c r="J3" i="2"/>
  <c r="K3" i="2"/>
  <c r="L3" i="2"/>
  <c r="M3" i="2"/>
  <c r="N3" i="2"/>
  <c r="O3" i="2"/>
  <c r="P3" i="2"/>
  <c r="Q3" i="2"/>
  <c r="R3" i="2"/>
  <c r="S3" i="2"/>
  <c r="T3" i="2"/>
  <c r="G4" i="2"/>
  <c r="I4" i="2"/>
  <c r="J4" i="2"/>
  <c r="K4" i="2"/>
  <c r="L4" i="2"/>
  <c r="M4" i="2"/>
  <c r="N4" i="2"/>
  <c r="O4" i="2"/>
  <c r="P4" i="2"/>
  <c r="Q4" i="2"/>
  <c r="R4" i="2"/>
  <c r="S4" i="2"/>
  <c r="T4" i="2"/>
  <c r="I5" i="2"/>
  <c r="J5" i="2"/>
  <c r="K5" i="2"/>
  <c r="L5" i="2"/>
  <c r="M5" i="2"/>
  <c r="N5" i="2"/>
  <c r="O5" i="2"/>
  <c r="P5" i="2"/>
  <c r="Q5" i="2"/>
  <c r="R5" i="2"/>
  <c r="S5" i="2"/>
  <c r="T5" i="2"/>
  <c r="G6" i="2"/>
  <c r="I6" i="2"/>
  <c r="J6" i="2"/>
  <c r="K6" i="2"/>
  <c r="L6" i="2"/>
  <c r="M6" i="2"/>
  <c r="N6" i="2"/>
  <c r="O6" i="2"/>
  <c r="P6" i="2"/>
  <c r="Q6" i="2"/>
  <c r="R6" i="2"/>
  <c r="S6" i="2"/>
  <c r="T6" i="2"/>
  <c r="I7" i="2"/>
  <c r="J7" i="2"/>
  <c r="K7" i="2"/>
  <c r="L7" i="2"/>
  <c r="M7" i="2"/>
  <c r="N7" i="2"/>
  <c r="O7" i="2"/>
  <c r="P7" i="2"/>
  <c r="Q7" i="2"/>
  <c r="R7" i="2"/>
  <c r="S7" i="2"/>
  <c r="T7" i="2"/>
  <c r="I8" i="2"/>
  <c r="J8" i="2"/>
  <c r="K8" i="2"/>
  <c r="L8" i="2"/>
  <c r="M8" i="2"/>
  <c r="N8" i="2"/>
  <c r="O8" i="2"/>
  <c r="P8" i="2"/>
  <c r="Q8" i="2"/>
  <c r="R8" i="2"/>
  <c r="S8" i="2"/>
  <c r="T8" i="2"/>
  <c r="G9" i="2"/>
  <c r="I9" i="2"/>
  <c r="J9" i="2"/>
  <c r="K9" i="2"/>
  <c r="L9" i="2"/>
  <c r="M9" i="2"/>
  <c r="N9" i="2"/>
  <c r="O9" i="2"/>
  <c r="P9" i="2"/>
  <c r="Q9" i="2"/>
  <c r="R9" i="2"/>
  <c r="S9" i="2"/>
  <c r="T9" i="2"/>
  <c r="G10" i="2"/>
  <c r="I10" i="2"/>
  <c r="J10" i="2"/>
  <c r="K10" i="2"/>
  <c r="L10" i="2"/>
  <c r="M10" i="2"/>
  <c r="N10" i="2"/>
  <c r="O10" i="2"/>
  <c r="P10" i="2"/>
  <c r="Q10" i="2"/>
  <c r="R10" i="2"/>
  <c r="S10" i="2"/>
  <c r="T10" i="2"/>
  <c r="I11" i="2"/>
  <c r="J11" i="2"/>
  <c r="K11" i="2"/>
  <c r="L11" i="2"/>
  <c r="M11" i="2"/>
  <c r="N11" i="2"/>
  <c r="O11" i="2"/>
  <c r="P11" i="2"/>
  <c r="Q11" i="2"/>
  <c r="R11" i="2"/>
  <c r="S11" i="2"/>
  <c r="T11" i="2"/>
  <c r="G12" i="2"/>
  <c r="I12" i="2"/>
  <c r="J12" i="2"/>
  <c r="K12" i="2"/>
  <c r="L12" i="2"/>
  <c r="M12" i="2"/>
  <c r="N12" i="2"/>
  <c r="O12" i="2"/>
  <c r="P12" i="2"/>
  <c r="Q12" i="2"/>
  <c r="R12" i="2"/>
  <c r="S12" i="2"/>
  <c r="T12" i="2"/>
  <c r="G13" i="2"/>
  <c r="I13" i="2"/>
  <c r="J13" i="2"/>
  <c r="K13" i="2"/>
  <c r="L13" i="2"/>
  <c r="M13" i="2"/>
  <c r="N13" i="2"/>
  <c r="O13" i="2"/>
  <c r="P13" i="2"/>
  <c r="Q13" i="2"/>
  <c r="R13" i="2"/>
  <c r="S13" i="2"/>
  <c r="T13" i="2"/>
  <c r="G14" i="2"/>
  <c r="I14" i="2"/>
  <c r="J14" i="2"/>
  <c r="K14" i="2"/>
  <c r="L14" i="2"/>
  <c r="M14" i="2"/>
  <c r="N14" i="2"/>
  <c r="O14" i="2"/>
  <c r="P14" i="2"/>
  <c r="Q14" i="2"/>
  <c r="R14" i="2"/>
  <c r="S14" i="2"/>
  <c r="T14" i="2"/>
  <c r="I15" i="2"/>
  <c r="J15" i="2"/>
  <c r="K15" i="2"/>
  <c r="L15" i="2"/>
  <c r="M15" i="2"/>
  <c r="N15" i="2"/>
  <c r="O15" i="2"/>
  <c r="P15" i="2"/>
  <c r="Q15" i="2"/>
  <c r="R15" i="2"/>
  <c r="S15" i="2"/>
  <c r="T15" i="2"/>
  <c r="G16" i="2"/>
  <c r="I16" i="2"/>
  <c r="J16" i="2"/>
  <c r="K16" i="2"/>
  <c r="L16" i="2"/>
  <c r="M16" i="2"/>
  <c r="N16" i="2"/>
  <c r="O16" i="2"/>
  <c r="P16" i="2"/>
  <c r="Q16" i="2"/>
  <c r="R16" i="2"/>
  <c r="S16" i="2"/>
  <c r="T16" i="2"/>
  <c r="I17" i="2"/>
  <c r="J17" i="2"/>
  <c r="K17" i="2"/>
  <c r="L17" i="2"/>
  <c r="M17" i="2"/>
  <c r="N17" i="2"/>
  <c r="O17" i="2"/>
  <c r="P17" i="2"/>
  <c r="Q17" i="2"/>
  <c r="R17" i="2"/>
  <c r="S17" i="2"/>
  <c r="T17" i="2"/>
  <c r="I18" i="2"/>
  <c r="J18" i="2"/>
  <c r="K18" i="2"/>
  <c r="L18" i="2"/>
  <c r="M18" i="2"/>
  <c r="N18" i="2"/>
  <c r="O18" i="2"/>
  <c r="P18" i="2"/>
  <c r="Q18" i="2"/>
  <c r="R18" i="2"/>
  <c r="S18" i="2"/>
  <c r="T18" i="2"/>
  <c r="I19" i="2"/>
  <c r="J19" i="2"/>
  <c r="K19" i="2"/>
  <c r="L19" i="2"/>
  <c r="M19" i="2"/>
  <c r="N19" i="2"/>
  <c r="O19" i="2"/>
  <c r="P19" i="2"/>
  <c r="Q19" i="2"/>
  <c r="R19" i="2"/>
  <c r="S19" i="2"/>
  <c r="T19" i="2"/>
  <c r="I20" i="2"/>
  <c r="J20" i="2"/>
  <c r="K20" i="2"/>
  <c r="L20" i="2"/>
  <c r="M20" i="2"/>
  <c r="N20" i="2"/>
  <c r="O20" i="2"/>
  <c r="P20" i="2"/>
  <c r="Q20" i="2"/>
  <c r="R20" i="2"/>
  <c r="S20" i="2"/>
  <c r="T20" i="2"/>
  <c r="I21" i="2"/>
  <c r="J21" i="2"/>
  <c r="K21" i="2"/>
  <c r="L21" i="2"/>
  <c r="M21" i="2"/>
  <c r="N21" i="2"/>
  <c r="O21" i="2"/>
  <c r="P21" i="2"/>
  <c r="Q21" i="2"/>
  <c r="R21" i="2"/>
  <c r="S21" i="2"/>
  <c r="T21" i="2"/>
  <c r="I22" i="2"/>
  <c r="J22" i="2"/>
  <c r="K22" i="2"/>
  <c r="L22" i="2"/>
  <c r="M22" i="2"/>
  <c r="N22" i="2"/>
  <c r="O22" i="2"/>
  <c r="P22" i="2"/>
  <c r="Q22" i="2"/>
  <c r="R22" i="2"/>
  <c r="S22" i="2"/>
  <c r="T22" i="2"/>
  <c r="I23" i="2"/>
  <c r="J23" i="2"/>
  <c r="K23" i="2"/>
  <c r="L23" i="2"/>
  <c r="M23" i="2"/>
  <c r="N23" i="2"/>
  <c r="O23" i="2"/>
  <c r="P23" i="2"/>
  <c r="Q23" i="2"/>
  <c r="R23" i="2"/>
  <c r="S23" i="2"/>
  <c r="T23" i="2"/>
  <c r="G24" i="2"/>
  <c r="I24" i="2"/>
  <c r="J24" i="2"/>
  <c r="K24" i="2"/>
  <c r="L24" i="2"/>
  <c r="M24" i="2"/>
  <c r="N24" i="2"/>
  <c r="O24" i="2"/>
  <c r="P24" i="2"/>
  <c r="Q24" i="2"/>
  <c r="R24" i="2"/>
  <c r="S24" i="2"/>
  <c r="T24" i="2"/>
  <c r="F25" i="2"/>
  <c r="G25" i="2"/>
  <c r="I25" i="2"/>
  <c r="J25" i="2"/>
  <c r="K25" i="2"/>
  <c r="L25" i="2"/>
  <c r="M25" i="2"/>
  <c r="N25" i="2"/>
  <c r="O25" i="2"/>
  <c r="P25" i="2"/>
  <c r="Q25" i="2"/>
  <c r="R25" i="2"/>
  <c r="S25" i="2"/>
  <c r="T25" i="2"/>
  <c r="F26" i="2"/>
  <c r="G26" i="2"/>
  <c r="I26" i="2"/>
  <c r="J26" i="2"/>
  <c r="K26" i="2"/>
  <c r="L26" i="2"/>
  <c r="M26" i="2"/>
  <c r="N26" i="2"/>
  <c r="O26" i="2"/>
  <c r="P26" i="2"/>
  <c r="Q26" i="2"/>
  <c r="R26" i="2"/>
  <c r="S26" i="2"/>
  <c r="T26" i="2"/>
  <c r="F27" i="2"/>
  <c r="G27" i="2"/>
  <c r="I27" i="2"/>
  <c r="J27" i="2"/>
  <c r="K27" i="2"/>
  <c r="L27" i="2"/>
  <c r="M27" i="2"/>
  <c r="N27" i="2"/>
  <c r="O27" i="2"/>
  <c r="P27" i="2"/>
  <c r="Q27" i="2"/>
  <c r="R27" i="2"/>
  <c r="S27" i="2"/>
  <c r="T27" i="2"/>
  <c r="I28" i="2"/>
  <c r="J28" i="2"/>
  <c r="K28" i="2"/>
  <c r="L28" i="2"/>
  <c r="M28" i="2"/>
  <c r="N28" i="2"/>
  <c r="O28" i="2"/>
  <c r="P28" i="2"/>
  <c r="Q28" i="2"/>
  <c r="R28" i="2"/>
  <c r="S28" i="2"/>
  <c r="T28" i="2"/>
  <c r="I29" i="2"/>
  <c r="J29" i="2"/>
  <c r="K29" i="2"/>
  <c r="L29" i="2"/>
  <c r="M29" i="2"/>
  <c r="N29" i="2"/>
  <c r="O29" i="2"/>
  <c r="P29" i="2"/>
  <c r="Q29" i="2"/>
  <c r="R29" i="2"/>
  <c r="S29" i="2"/>
  <c r="T29" i="2"/>
  <c r="I30" i="2"/>
  <c r="J30" i="2"/>
  <c r="K30" i="2"/>
  <c r="L30" i="2"/>
  <c r="M30" i="2"/>
  <c r="N30" i="2"/>
  <c r="O30" i="2"/>
  <c r="P30" i="2"/>
  <c r="Q30" i="2"/>
  <c r="R30" i="2"/>
  <c r="S30" i="2"/>
  <c r="T30" i="2"/>
  <c r="I31" i="2"/>
  <c r="J31" i="2"/>
  <c r="K31" i="2"/>
  <c r="L31" i="2"/>
  <c r="M31" i="2"/>
  <c r="N31" i="2"/>
  <c r="O31" i="2"/>
  <c r="P31" i="2"/>
  <c r="Q31" i="2"/>
  <c r="R31" i="2"/>
  <c r="S31" i="2"/>
  <c r="T31" i="2"/>
  <c r="G32" i="2"/>
  <c r="I32" i="2"/>
  <c r="J32" i="2"/>
  <c r="K32" i="2"/>
  <c r="L32" i="2"/>
  <c r="M32" i="2"/>
  <c r="N32" i="2"/>
  <c r="O32" i="2"/>
  <c r="P32" i="2"/>
  <c r="Q32" i="2"/>
  <c r="R32" i="2"/>
  <c r="S32" i="2"/>
  <c r="T32" i="2"/>
  <c r="F33" i="2"/>
  <c r="G33" i="2"/>
  <c r="I33" i="2"/>
  <c r="J33" i="2"/>
  <c r="K33" i="2"/>
  <c r="L33" i="2"/>
  <c r="M33" i="2"/>
  <c r="N33" i="2"/>
  <c r="O33" i="2"/>
  <c r="P33" i="2"/>
  <c r="Q33" i="2"/>
  <c r="R33" i="2"/>
  <c r="S33" i="2"/>
  <c r="T33" i="2"/>
  <c r="F34" i="2"/>
  <c r="G34" i="2"/>
  <c r="I34" i="2"/>
  <c r="J34" i="2"/>
  <c r="K34" i="2"/>
  <c r="L34" i="2"/>
  <c r="M34" i="2"/>
  <c r="N34" i="2"/>
  <c r="O34" i="2"/>
  <c r="P34" i="2"/>
  <c r="Q34" i="2"/>
  <c r="R34" i="2"/>
  <c r="S34" i="2"/>
  <c r="T34" i="2"/>
  <c r="I35" i="2"/>
  <c r="J35" i="2"/>
  <c r="K35" i="2"/>
  <c r="L35" i="2"/>
  <c r="M35" i="2"/>
  <c r="N35" i="2"/>
  <c r="O35" i="2"/>
  <c r="P35" i="2"/>
  <c r="Q35" i="2"/>
  <c r="R35" i="2"/>
  <c r="S35" i="2"/>
  <c r="T35" i="2"/>
  <c r="I36" i="2"/>
  <c r="J36" i="2"/>
  <c r="K36" i="2"/>
  <c r="L36" i="2"/>
  <c r="M36" i="2"/>
  <c r="N36" i="2"/>
  <c r="O36" i="2"/>
  <c r="P36" i="2"/>
  <c r="Q36" i="2"/>
  <c r="R36" i="2"/>
  <c r="S36" i="2"/>
  <c r="T36" i="2"/>
  <c r="I37" i="2"/>
  <c r="J37" i="2"/>
  <c r="K37" i="2"/>
  <c r="L37" i="2"/>
  <c r="M37" i="2"/>
  <c r="N37" i="2"/>
  <c r="O37" i="2"/>
  <c r="P37" i="2"/>
  <c r="Q37" i="2"/>
  <c r="R37" i="2"/>
  <c r="S37" i="2"/>
  <c r="T37" i="2"/>
  <c r="I38" i="2"/>
  <c r="J38" i="2"/>
  <c r="K38" i="2"/>
  <c r="L38" i="2"/>
  <c r="M38" i="2"/>
  <c r="N38" i="2"/>
  <c r="O38" i="2"/>
  <c r="P38" i="2"/>
  <c r="Q38" i="2"/>
  <c r="R38" i="2"/>
  <c r="S38" i="2"/>
  <c r="T38" i="2"/>
  <c r="G39" i="2"/>
  <c r="I39" i="2"/>
  <c r="J39" i="2"/>
  <c r="K39" i="2"/>
  <c r="L39" i="2"/>
  <c r="M39" i="2"/>
  <c r="N39" i="2"/>
  <c r="O39" i="2"/>
  <c r="P39" i="2"/>
  <c r="Q39" i="2"/>
  <c r="R39" i="2"/>
  <c r="S39" i="2"/>
  <c r="T39" i="2"/>
  <c r="F40" i="2"/>
  <c r="G40" i="2"/>
  <c r="I40" i="2"/>
  <c r="J40" i="2"/>
  <c r="K40" i="2"/>
  <c r="L40" i="2"/>
  <c r="M40" i="2"/>
  <c r="N40" i="2"/>
  <c r="O40" i="2"/>
  <c r="P40" i="2"/>
  <c r="Q40" i="2"/>
  <c r="R40" i="2"/>
  <c r="S40" i="2"/>
  <c r="T40" i="2"/>
  <c r="F41" i="2"/>
  <c r="G41" i="2"/>
  <c r="I41" i="2"/>
  <c r="J41" i="2"/>
  <c r="K41" i="2"/>
  <c r="L41" i="2"/>
  <c r="M41" i="2"/>
  <c r="N41" i="2"/>
  <c r="O41" i="2"/>
  <c r="P41" i="2"/>
  <c r="Q41" i="2"/>
  <c r="R41" i="2"/>
  <c r="S41" i="2"/>
  <c r="T41" i="2"/>
  <c r="G42" i="2"/>
  <c r="I42" i="2"/>
  <c r="J42" i="2"/>
  <c r="K42" i="2"/>
  <c r="L42" i="2"/>
  <c r="M42" i="2"/>
  <c r="N42" i="2"/>
  <c r="O42" i="2"/>
  <c r="P42" i="2"/>
  <c r="Q42" i="2"/>
  <c r="R42" i="2"/>
  <c r="S42" i="2"/>
  <c r="T42" i="2"/>
  <c r="G43" i="2"/>
  <c r="I43" i="2"/>
  <c r="J43" i="2"/>
  <c r="K43" i="2"/>
  <c r="L43" i="2"/>
  <c r="M43" i="2"/>
  <c r="N43" i="2"/>
  <c r="O43" i="2"/>
  <c r="P43" i="2"/>
  <c r="Q43" i="2"/>
  <c r="R43" i="2"/>
  <c r="S43" i="2"/>
  <c r="T43" i="2"/>
  <c r="I44" i="2"/>
  <c r="J44" i="2"/>
  <c r="K44" i="2"/>
  <c r="L44" i="2"/>
  <c r="M44" i="2"/>
  <c r="N44" i="2"/>
  <c r="O44" i="2"/>
  <c r="P44" i="2"/>
  <c r="Q44" i="2"/>
  <c r="R44" i="2"/>
  <c r="S44" i="2"/>
  <c r="T44" i="2"/>
  <c r="I45" i="2"/>
  <c r="J45" i="2"/>
  <c r="K45" i="2"/>
  <c r="L45" i="2"/>
  <c r="M45" i="2"/>
  <c r="N45" i="2"/>
  <c r="O45" i="2"/>
  <c r="P45" i="2"/>
  <c r="Q45" i="2"/>
  <c r="R45" i="2"/>
  <c r="S45" i="2"/>
  <c r="T45" i="2"/>
  <c r="I46" i="2"/>
  <c r="J46" i="2"/>
  <c r="K46" i="2"/>
  <c r="L46" i="2"/>
  <c r="M46" i="2"/>
  <c r="N46" i="2"/>
  <c r="O46" i="2"/>
  <c r="P46" i="2"/>
  <c r="Q46" i="2"/>
  <c r="R46" i="2"/>
  <c r="S46" i="2"/>
  <c r="T46" i="2"/>
  <c r="G47" i="2"/>
  <c r="I47" i="2"/>
  <c r="J47" i="2"/>
  <c r="K47" i="2"/>
  <c r="L47" i="2"/>
  <c r="M47" i="2"/>
  <c r="N47" i="2"/>
  <c r="O47" i="2"/>
  <c r="P47" i="2"/>
  <c r="Q47" i="2"/>
  <c r="R47" i="2"/>
  <c r="S47" i="2"/>
  <c r="T47" i="2"/>
  <c r="F48" i="2"/>
  <c r="G48" i="2"/>
  <c r="I48" i="2"/>
  <c r="J48" i="2"/>
  <c r="K48" i="2"/>
  <c r="L48" i="2"/>
  <c r="M48" i="2"/>
  <c r="N48" i="2"/>
  <c r="O48" i="2"/>
  <c r="P48" i="2"/>
  <c r="Q48" i="2"/>
  <c r="R48" i="2"/>
  <c r="S48" i="2"/>
  <c r="T48" i="2"/>
  <c r="F49" i="2"/>
  <c r="G49" i="2"/>
  <c r="I49" i="2"/>
  <c r="J49" i="2"/>
  <c r="K49" i="2"/>
  <c r="L49" i="2"/>
  <c r="M49" i="2"/>
  <c r="N49" i="2"/>
  <c r="O49" i="2"/>
  <c r="P49" i="2"/>
  <c r="Q49" i="2"/>
  <c r="R49" i="2"/>
  <c r="S49" i="2"/>
  <c r="T49" i="2"/>
  <c r="G50" i="2"/>
  <c r="I50" i="2"/>
  <c r="J50" i="2"/>
  <c r="K50" i="2"/>
  <c r="L50" i="2"/>
  <c r="M50" i="2"/>
  <c r="N50" i="2"/>
  <c r="O50" i="2"/>
  <c r="P50" i="2"/>
  <c r="Q50" i="2"/>
  <c r="R50" i="2"/>
  <c r="S50" i="2"/>
  <c r="T50" i="2"/>
  <c r="I51" i="2"/>
  <c r="J51" i="2"/>
  <c r="K51" i="2"/>
  <c r="L51" i="2"/>
  <c r="M51" i="2"/>
  <c r="N51" i="2"/>
  <c r="O51" i="2"/>
  <c r="P51" i="2"/>
  <c r="Q51" i="2"/>
  <c r="R51" i="2"/>
  <c r="S51" i="2"/>
  <c r="T51" i="2"/>
  <c r="G52" i="2"/>
  <c r="I52" i="2"/>
  <c r="J52" i="2"/>
  <c r="K52" i="2"/>
  <c r="L52" i="2"/>
  <c r="M52" i="2"/>
  <c r="N52" i="2"/>
  <c r="O52" i="2"/>
  <c r="P52" i="2"/>
  <c r="Q52" i="2"/>
  <c r="R52" i="2"/>
  <c r="S52" i="2"/>
  <c r="T52" i="2"/>
  <c r="G53" i="2"/>
  <c r="I53" i="2"/>
  <c r="J53" i="2"/>
  <c r="K53" i="2"/>
  <c r="L53" i="2"/>
  <c r="M53" i="2"/>
  <c r="N53" i="2"/>
  <c r="O53" i="2"/>
  <c r="P53" i="2"/>
  <c r="Q53" i="2"/>
  <c r="R53" i="2"/>
  <c r="S53" i="2"/>
  <c r="T53" i="2"/>
  <c r="F54" i="2"/>
  <c r="G54" i="2"/>
  <c r="I54" i="2"/>
  <c r="J54" i="2"/>
  <c r="K54" i="2"/>
  <c r="L54" i="2"/>
  <c r="M54" i="2"/>
  <c r="N54" i="2"/>
  <c r="O54" i="2"/>
  <c r="P54" i="2"/>
  <c r="Q54" i="2"/>
  <c r="R54" i="2"/>
  <c r="S54" i="2"/>
  <c r="T54" i="2"/>
  <c r="I55" i="2"/>
  <c r="J55" i="2"/>
  <c r="K55" i="2"/>
  <c r="L55" i="2"/>
  <c r="M55" i="2"/>
  <c r="N55" i="2"/>
  <c r="O55" i="2"/>
  <c r="P55" i="2"/>
  <c r="Q55" i="2"/>
  <c r="R55" i="2"/>
  <c r="S55" i="2"/>
  <c r="T55" i="2"/>
  <c r="G56" i="2"/>
  <c r="I56" i="2"/>
  <c r="J56" i="2"/>
  <c r="K56" i="2"/>
  <c r="L56" i="2"/>
  <c r="M56" i="2"/>
  <c r="N56" i="2"/>
  <c r="O56" i="2"/>
  <c r="P56" i="2"/>
  <c r="Q56" i="2"/>
  <c r="R56" i="2"/>
  <c r="S56" i="2"/>
  <c r="T56" i="2"/>
  <c r="F57" i="2"/>
  <c r="G57" i="2"/>
  <c r="I57" i="2"/>
  <c r="J57" i="2"/>
  <c r="K57" i="2"/>
  <c r="L57" i="2"/>
  <c r="M57" i="2"/>
  <c r="N57" i="2"/>
  <c r="O57" i="2"/>
  <c r="P57" i="2"/>
  <c r="Q57" i="2"/>
  <c r="R57" i="2"/>
  <c r="S57" i="2"/>
  <c r="T57" i="2"/>
  <c r="I58" i="2"/>
  <c r="J58" i="2"/>
  <c r="K58" i="2"/>
  <c r="L58" i="2"/>
  <c r="M58" i="2"/>
  <c r="N58" i="2"/>
  <c r="O58" i="2"/>
  <c r="P58" i="2"/>
  <c r="Q58" i="2"/>
  <c r="R58" i="2"/>
  <c r="S58" i="2"/>
  <c r="T58" i="2"/>
  <c r="I59" i="2"/>
  <c r="J59" i="2"/>
  <c r="K59" i="2"/>
  <c r="L59" i="2"/>
  <c r="M59" i="2"/>
  <c r="N59" i="2"/>
  <c r="O59" i="2"/>
  <c r="P59" i="2"/>
  <c r="Q59" i="2"/>
  <c r="R59" i="2"/>
  <c r="S59" i="2"/>
  <c r="T59" i="2"/>
  <c r="G60" i="2"/>
  <c r="I60" i="2"/>
  <c r="J60" i="2"/>
  <c r="K60" i="2"/>
  <c r="L60" i="2"/>
  <c r="M60" i="2"/>
  <c r="N60" i="2"/>
  <c r="O60" i="2"/>
  <c r="P60" i="2"/>
  <c r="Q60" i="2"/>
  <c r="R60" i="2"/>
  <c r="S60" i="2"/>
  <c r="T60" i="2"/>
  <c r="G61" i="2"/>
  <c r="I61" i="2"/>
  <c r="J61" i="2"/>
  <c r="K61" i="2"/>
  <c r="L61" i="2"/>
  <c r="M61" i="2"/>
  <c r="N61" i="2"/>
  <c r="O61" i="2"/>
  <c r="P61" i="2"/>
  <c r="Q61" i="2"/>
  <c r="R61" i="2"/>
  <c r="S61" i="2"/>
  <c r="T61" i="2"/>
  <c r="F62" i="2"/>
  <c r="G62" i="2"/>
  <c r="I62" i="2"/>
  <c r="J62" i="2"/>
  <c r="K62" i="2"/>
  <c r="L62" i="2"/>
  <c r="M62" i="2"/>
  <c r="N62" i="2"/>
  <c r="O62" i="2"/>
  <c r="P62" i="2"/>
  <c r="Q62" i="2"/>
  <c r="R62" i="2"/>
  <c r="S62" i="2"/>
  <c r="T62" i="2"/>
  <c r="G63" i="2"/>
  <c r="I63" i="2"/>
  <c r="J63" i="2"/>
  <c r="K63" i="2"/>
  <c r="L63" i="2"/>
  <c r="M63" i="2"/>
  <c r="N63" i="2"/>
  <c r="O63" i="2"/>
  <c r="P63" i="2"/>
  <c r="Q63" i="2"/>
  <c r="R63" i="2"/>
  <c r="S63" i="2"/>
  <c r="T63" i="2"/>
  <c r="I65" i="2"/>
  <c r="J65" i="2"/>
  <c r="K65" i="2"/>
  <c r="L65" i="2"/>
  <c r="M65" i="2"/>
  <c r="N65" i="2"/>
  <c r="O65" i="2"/>
  <c r="P65" i="2"/>
  <c r="Q65" i="2"/>
  <c r="R65" i="2"/>
  <c r="S65" i="2"/>
  <c r="T65" i="2"/>
  <c r="G66" i="2"/>
  <c r="I66" i="2"/>
  <c r="J66" i="2"/>
  <c r="K66" i="2"/>
  <c r="L66" i="2"/>
  <c r="M66" i="2"/>
  <c r="N66" i="2"/>
  <c r="O66" i="2"/>
  <c r="P66" i="2"/>
  <c r="Q66" i="2"/>
  <c r="R66" i="2"/>
  <c r="S66" i="2"/>
  <c r="T66" i="2"/>
  <c r="F67" i="2"/>
  <c r="G67" i="2"/>
  <c r="I67" i="2"/>
  <c r="J67" i="2"/>
  <c r="K67" i="2"/>
  <c r="L67" i="2"/>
  <c r="M67" i="2"/>
  <c r="N67" i="2"/>
  <c r="O67" i="2"/>
  <c r="P67" i="2"/>
  <c r="Q67" i="2"/>
  <c r="R67" i="2"/>
  <c r="S67" i="2"/>
  <c r="T67" i="2"/>
  <c r="I68" i="2"/>
  <c r="J68" i="2"/>
  <c r="K68" i="2"/>
  <c r="L68" i="2"/>
  <c r="M68" i="2"/>
  <c r="N68" i="2"/>
  <c r="O68" i="2"/>
  <c r="P68" i="2"/>
  <c r="Q68" i="2"/>
  <c r="R68" i="2"/>
  <c r="S68" i="2"/>
  <c r="T68" i="2"/>
  <c r="G69" i="2"/>
  <c r="I69" i="2"/>
  <c r="J69" i="2"/>
  <c r="K69" i="2"/>
  <c r="L69" i="2"/>
  <c r="M69" i="2"/>
  <c r="N69" i="2"/>
  <c r="O69" i="2"/>
  <c r="P69" i="2"/>
  <c r="Q69" i="2"/>
  <c r="R69" i="2"/>
  <c r="S69" i="2"/>
  <c r="T69" i="2"/>
  <c r="G70" i="2"/>
  <c r="I70" i="2"/>
  <c r="J70" i="2"/>
  <c r="K70" i="2"/>
  <c r="L70" i="2"/>
  <c r="M70" i="2"/>
  <c r="N70" i="2"/>
  <c r="O70" i="2"/>
  <c r="P70" i="2"/>
  <c r="Q70" i="2"/>
  <c r="R70" i="2"/>
  <c r="S70" i="2"/>
  <c r="T70" i="2"/>
  <c r="G71" i="2"/>
  <c r="I71" i="2"/>
  <c r="J71" i="2"/>
  <c r="K71" i="2"/>
  <c r="L71" i="2"/>
  <c r="M71" i="2"/>
  <c r="N71" i="2"/>
  <c r="O71" i="2"/>
  <c r="P71" i="2"/>
  <c r="Q71" i="2"/>
  <c r="R71" i="2"/>
  <c r="S71" i="2"/>
  <c r="T71" i="2"/>
  <c r="G72" i="2"/>
  <c r="I72" i="2"/>
  <c r="J72" i="2"/>
  <c r="K72" i="2"/>
  <c r="L72" i="2"/>
  <c r="M72" i="2"/>
  <c r="N72" i="2"/>
  <c r="O72" i="2"/>
  <c r="P72" i="2"/>
  <c r="Q72" i="2"/>
  <c r="R72" i="2"/>
  <c r="S72" i="2"/>
  <c r="T72" i="2"/>
  <c r="F73" i="2"/>
  <c r="G73" i="2"/>
  <c r="I73" i="2"/>
  <c r="J73" i="2"/>
  <c r="K73" i="2"/>
  <c r="L73" i="2"/>
  <c r="M73" i="2"/>
  <c r="N73" i="2"/>
  <c r="O73" i="2"/>
  <c r="P73" i="2"/>
  <c r="Q73" i="2"/>
  <c r="R73" i="2"/>
  <c r="S73" i="2"/>
  <c r="T73" i="2"/>
  <c r="F74" i="2"/>
  <c r="G74" i="2"/>
  <c r="I74" i="2"/>
  <c r="J74" i="2"/>
  <c r="K74" i="2"/>
  <c r="L74" i="2"/>
  <c r="M74" i="2"/>
  <c r="N74" i="2"/>
  <c r="O74" i="2"/>
  <c r="P74" i="2"/>
  <c r="Q74" i="2"/>
  <c r="R74" i="2"/>
  <c r="S74" i="2"/>
  <c r="T74" i="2"/>
  <c r="I75" i="2"/>
  <c r="J75" i="2"/>
  <c r="K75" i="2"/>
  <c r="L75" i="2"/>
  <c r="M75" i="2"/>
  <c r="N75" i="2"/>
  <c r="O75" i="2"/>
  <c r="P75" i="2"/>
  <c r="Q75" i="2"/>
  <c r="R75" i="2"/>
  <c r="S75" i="2"/>
  <c r="T75" i="2"/>
  <c r="I76" i="2"/>
  <c r="J76" i="2"/>
  <c r="K76" i="2"/>
  <c r="L76" i="2"/>
  <c r="M76" i="2"/>
  <c r="N76" i="2"/>
  <c r="O76" i="2"/>
  <c r="P76" i="2"/>
  <c r="Q76" i="2"/>
  <c r="R76" i="2"/>
  <c r="S76" i="2"/>
  <c r="T76" i="2"/>
  <c r="G77" i="2"/>
  <c r="I77" i="2"/>
  <c r="J77" i="2"/>
  <c r="K77" i="2"/>
  <c r="L77" i="2"/>
  <c r="M77" i="2"/>
  <c r="N77" i="2"/>
  <c r="O77" i="2"/>
  <c r="P77" i="2"/>
  <c r="Q77" i="2"/>
  <c r="R77" i="2"/>
  <c r="S77" i="2"/>
  <c r="T77" i="2"/>
  <c r="G78" i="2"/>
  <c r="I78" i="2"/>
  <c r="J78" i="2"/>
  <c r="K78" i="2"/>
  <c r="L78" i="2"/>
  <c r="M78" i="2"/>
  <c r="N78" i="2"/>
  <c r="O78" i="2"/>
  <c r="P78" i="2"/>
  <c r="Q78" i="2"/>
  <c r="R78" i="2"/>
  <c r="S78" i="2"/>
  <c r="T78" i="2"/>
  <c r="F79" i="2"/>
  <c r="G79" i="2"/>
  <c r="I79" i="2"/>
  <c r="J79" i="2"/>
  <c r="K79" i="2"/>
  <c r="L79" i="2"/>
  <c r="M79" i="2"/>
  <c r="N79" i="2"/>
  <c r="O79" i="2"/>
  <c r="P79" i="2"/>
  <c r="Q79" i="2"/>
  <c r="R79" i="2"/>
  <c r="S79" i="2"/>
  <c r="T79" i="2"/>
  <c r="F80" i="2"/>
  <c r="G80" i="2"/>
  <c r="I80" i="2"/>
  <c r="J80" i="2"/>
  <c r="K80" i="2"/>
  <c r="L80" i="2"/>
  <c r="M80" i="2"/>
  <c r="N80" i="2"/>
  <c r="O80" i="2"/>
  <c r="P80" i="2"/>
  <c r="Q80" i="2"/>
  <c r="R80" i="2"/>
  <c r="S80" i="2"/>
  <c r="T80" i="2"/>
  <c r="I81" i="2"/>
  <c r="J81" i="2"/>
  <c r="K81" i="2"/>
  <c r="L81" i="2"/>
  <c r="M81" i="2"/>
  <c r="N81" i="2"/>
  <c r="O81" i="2"/>
  <c r="P81" i="2"/>
  <c r="Q81" i="2"/>
  <c r="R81" i="2"/>
  <c r="S81" i="2"/>
  <c r="T81" i="2"/>
  <c r="G82" i="2"/>
  <c r="I82" i="2"/>
  <c r="J82" i="2"/>
  <c r="K82" i="2"/>
  <c r="L82" i="2"/>
  <c r="M82" i="2"/>
  <c r="N82" i="2"/>
  <c r="O82" i="2"/>
  <c r="P82" i="2"/>
  <c r="Q82" i="2"/>
  <c r="R82" i="2"/>
  <c r="S82" i="2"/>
  <c r="T82" i="2"/>
  <c r="F83" i="2"/>
  <c r="G83" i="2"/>
  <c r="I83" i="2"/>
  <c r="J83" i="2"/>
  <c r="K83" i="2"/>
  <c r="L83" i="2"/>
  <c r="M83" i="2"/>
  <c r="N83" i="2"/>
  <c r="O83" i="2"/>
  <c r="P83" i="2"/>
  <c r="Q83" i="2"/>
  <c r="R83" i="2"/>
  <c r="S83" i="2"/>
  <c r="T83" i="2"/>
  <c r="T2" i="2"/>
  <c r="S2" i="2"/>
  <c r="R2" i="2"/>
  <c r="Q2" i="2"/>
  <c r="P2" i="2"/>
  <c r="O2" i="2"/>
  <c r="N2" i="2"/>
  <c r="M2" i="2"/>
  <c r="L2" i="2"/>
  <c r="J2" i="2"/>
  <c r="I2" i="2"/>
  <c r="I2" i="1"/>
  <c r="J2" i="1"/>
  <c r="L2" i="1"/>
  <c r="M2" i="1"/>
  <c r="N2" i="1"/>
  <c r="O2" i="1"/>
  <c r="P2" i="1"/>
  <c r="Q2" i="1"/>
  <c r="R2" i="1"/>
  <c r="S2" i="1"/>
  <c r="T2" i="1"/>
  <c r="I3" i="1"/>
  <c r="J3" i="1"/>
  <c r="K3" i="1"/>
  <c r="L3" i="1"/>
  <c r="M3" i="1"/>
  <c r="N3" i="1"/>
  <c r="O3" i="1"/>
  <c r="P3" i="1"/>
  <c r="Q3" i="1"/>
  <c r="R3" i="1"/>
  <c r="S3" i="1"/>
  <c r="T3" i="1"/>
  <c r="I4" i="1"/>
  <c r="J4" i="1"/>
  <c r="L4" i="1"/>
  <c r="M4" i="1"/>
  <c r="N4" i="1"/>
  <c r="O4" i="1"/>
  <c r="P4" i="1"/>
  <c r="Q4" i="1"/>
  <c r="R4" i="1"/>
  <c r="S4" i="1"/>
  <c r="T4" i="1"/>
  <c r="I5" i="1"/>
  <c r="J5" i="1"/>
  <c r="L5" i="1"/>
  <c r="M5" i="1"/>
  <c r="N5" i="1"/>
  <c r="O5" i="1"/>
  <c r="P5" i="1"/>
  <c r="Q5" i="1"/>
  <c r="R5" i="1"/>
  <c r="S5" i="1"/>
  <c r="T5" i="1"/>
  <c r="G6" i="1"/>
  <c r="I6" i="1"/>
  <c r="J6" i="1"/>
  <c r="K6" i="1"/>
  <c r="L6" i="1"/>
  <c r="M6" i="1"/>
  <c r="N6" i="1"/>
  <c r="O6" i="1"/>
  <c r="P6" i="1"/>
  <c r="R6" i="1"/>
  <c r="S6" i="1"/>
  <c r="T6" i="1"/>
  <c r="G7" i="1"/>
  <c r="I7" i="1"/>
  <c r="J7" i="1"/>
  <c r="K7" i="1"/>
  <c r="L7" i="1"/>
  <c r="M7" i="1"/>
  <c r="N7" i="1"/>
  <c r="O7" i="1"/>
  <c r="P7" i="1"/>
  <c r="R7" i="1"/>
  <c r="S7" i="1"/>
  <c r="T7" i="1"/>
  <c r="G8" i="1"/>
  <c r="I8" i="1"/>
  <c r="J8" i="1"/>
  <c r="K8" i="1"/>
  <c r="L8" i="1"/>
  <c r="M8" i="1"/>
  <c r="N8" i="1"/>
  <c r="O8" i="1"/>
  <c r="P8" i="1"/>
  <c r="R8" i="1"/>
  <c r="S8" i="1"/>
  <c r="T8" i="1"/>
  <c r="G9" i="1"/>
  <c r="I9" i="1"/>
  <c r="J9" i="1"/>
  <c r="K9" i="1"/>
  <c r="L9" i="1"/>
  <c r="M9" i="1"/>
  <c r="N9" i="1"/>
  <c r="O9" i="1"/>
  <c r="P9" i="1"/>
  <c r="R9" i="1"/>
  <c r="S9" i="1"/>
  <c r="T9" i="1"/>
  <c r="I10" i="1"/>
  <c r="J10" i="1"/>
  <c r="K10" i="1"/>
  <c r="L10" i="1"/>
  <c r="M10" i="1"/>
  <c r="N10" i="1"/>
  <c r="O10" i="1"/>
  <c r="P10" i="1"/>
  <c r="Q10" i="1"/>
  <c r="R10" i="1"/>
  <c r="S10" i="1"/>
  <c r="T10" i="1"/>
  <c r="I11" i="1"/>
  <c r="J11" i="1"/>
  <c r="K11" i="1"/>
  <c r="L11" i="1"/>
  <c r="M11" i="1"/>
  <c r="N11" i="1"/>
  <c r="O11" i="1"/>
  <c r="P11" i="1"/>
  <c r="Q11" i="1"/>
  <c r="R11" i="1"/>
  <c r="S11" i="1"/>
  <c r="T11" i="1"/>
  <c r="I12" i="1"/>
  <c r="J12" i="1"/>
  <c r="K12" i="1"/>
  <c r="L12" i="1"/>
  <c r="M12" i="1"/>
  <c r="N12" i="1"/>
  <c r="O12" i="1"/>
  <c r="P12" i="1"/>
  <c r="Q12" i="1"/>
  <c r="R12" i="1"/>
  <c r="S12" i="1"/>
  <c r="T12" i="1"/>
  <c r="I13" i="1"/>
  <c r="J13" i="1"/>
  <c r="K13" i="1"/>
  <c r="L13" i="1"/>
  <c r="M13" i="1"/>
  <c r="N13" i="1"/>
  <c r="O13" i="1"/>
  <c r="P13" i="1"/>
  <c r="Q13" i="1"/>
  <c r="R13" i="1"/>
  <c r="S13" i="1"/>
  <c r="T13" i="1"/>
  <c r="I14" i="1"/>
  <c r="J14" i="1"/>
  <c r="K14" i="1"/>
  <c r="L14" i="1"/>
  <c r="M14" i="1"/>
  <c r="N14" i="1"/>
  <c r="O14" i="1"/>
  <c r="P14" i="1"/>
  <c r="Q14" i="1"/>
  <c r="R14" i="1"/>
  <c r="S14" i="1"/>
  <c r="T14" i="1"/>
  <c r="I15" i="1"/>
  <c r="J15" i="1"/>
  <c r="K15" i="1"/>
  <c r="L15" i="1"/>
  <c r="M15" i="1"/>
  <c r="N15" i="1"/>
  <c r="O15" i="1"/>
  <c r="P15" i="1"/>
  <c r="Q15" i="1"/>
  <c r="R15" i="1"/>
  <c r="S15" i="1"/>
  <c r="T15" i="1"/>
  <c r="G16" i="1"/>
  <c r="I16" i="1"/>
  <c r="J16" i="1"/>
  <c r="K16" i="1"/>
  <c r="L16" i="1"/>
  <c r="M16" i="1"/>
  <c r="N16" i="1"/>
  <c r="O16" i="1"/>
  <c r="P16" i="1"/>
  <c r="Q16" i="1"/>
  <c r="R16" i="1"/>
  <c r="S16" i="1"/>
  <c r="T16" i="1"/>
  <c r="G17" i="1"/>
  <c r="I17" i="1"/>
  <c r="J17" i="1"/>
  <c r="K17" i="1"/>
  <c r="L17" i="1"/>
  <c r="M17" i="1"/>
  <c r="N17" i="1"/>
  <c r="O17" i="1"/>
  <c r="P17" i="1"/>
  <c r="Q17" i="1"/>
  <c r="R17" i="1"/>
  <c r="S17" i="1"/>
  <c r="T17" i="1"/>
  <c r="G18" i="1"/>
  <c r="I18" i="1"/>
  <c r="J18" i="1"/>
  <c r="K18" i="1"/>
  <c r="L18" i="1"/>
  <c r="M18" i="1"/>
  <c r="N18" i="1"/>
  <c r="O18" i="1"/>
  <c r="P18" i="1"/>
  <c r="Q18" i="1"/>
  <c r="R18" i="1"/>
  <c r="S18" i="1"/>
  <c r="T18" i="1"/>
  <c r="G19" i="1"/>
  <c r="I19" i="1"/>
  <c r="J19" i="1"/>
  <c r="K19" i="1"/>
  <c r="L19" i="1"/>
  <c r="M19" i="1"/>
  <c r="N19" i="1"/>
  <c r="O19" i="1"/>
  <c r="P19" i="1"/>
  <c r="Q19" i="1"/>
  <c r="R19" i="1"/>
  <c r="S19" i="1"/>
  <c r="T19" i="1"/>
  <c r="G20" i="1"/>
  <c r="I20" i="1"/>
  <c r="J20" i="1"/>
  <c r="K20" i="1"/>
  <c r="L20" i="1"/>
  <c r="M20" i="1"/>
  <c r="N20" i="1"/>
  <c r="O20" i="1"/>
  <c r="P20" i="1"/>
  <c r="Q20" i="1"/>
  <c r="R20" i="1"/>
  <c r="S20" i="1"/>
  <c r="T20" i="1"/>
  <c r="G21" i="1"/>
  <c r="I21" i="1"/>
  <c r="J21" i="1"/>
  <c r="K21" i="1"/>
  <c r="L21" i="1"/>
  <c r="M21" i="1"/>
  <c r="N21" i="1"/>
  <c r="O21" i="1"/>
  <c r="P21" i="1"/>
  <c r="Q21" i="1"/>
  <c r="R21" i="1"/>
  <c r="S21" i="1"/>
  <c r="T21" i="1"/>
  <c r="I22" i="1"/>
  <c r="J22" i="1"/>
  <c r="K22" i="1"/>
  <c r="L22" i="1"/>
  <c r="M22" i="1"/>
  <c r="N22" i="1"/>
  <c r="O22" i="1"/>
  <c r="P22" i="1"/>
  <c r="Q22" i="1"/>
  <c r="R22" i="1"/>
  <c r="S22" i="1"/>
  <c r="T22" i="1"/>
  <c r="I23" i="1"/>
  <c r="J23" i="1"/>
  <c r="K23" i="1"/>
  <c r="L23" i="1"/>
  <c r="M23" i="1"/>
  <c r="N23" i="1"/>
  <c r="O23" i="1"/>
  <c r="P23" i="1"/>
  <c r="Q23" i="1"/>
  <c r="R23" i="1"/>
  <c r="S23" i="1"/>
  <c r="T23" i="1"/>
  <c r="I24" i="1"/>
  <c r="J24" i="1"/>
  <c r="K24" i="1"/>
  <c r="L24" i="1"/>
  <c r="M24" i="1"/>
  <c r="N24" i="1"/>
  <c r="O24" i="1"/>
  <c r="P24" i="1"/>
  <c r="Q24" i="1"/>
  <c r="R24" i="1"/>
  <c r="S24" i="1"/>
  <c r="T24" i="1"/>
  <c r="I25" i="1"/>
  <c r="J25" i="1"/>
  <c r="K25" i="1"/>
  <c r="L25" i="1"/>
  <c r="M25" i="1"/>
  <c r="N25" i="1"/>
  <c r="O25" i="1"/>
  <c r="P25" i="1"/>
  <c r="Q25" i="1"/>
  <c r="R25" i="1"/>
  <c r="S25" i="1"/>
  <c r="T25" i="1"/>
  <c r="I26" i="1"/>
  <c r="J26" i="1"/>
  <c r="K26" i="1"/>
  <c r="L26" i="1"/>
  <c r="M26" i="1"/>
  <c r="N26" i="1"/>
  <c r="O26" i="1"/>
  <c r="P26" i="1"/>
  <c r="Q26" i="1"/>
  <c r="R26" i="1"/>
  <c r="S26" i="1"/>
  <c r="T26" i="1"/>
  <c r="I27" i="1"/>
  <c r="J27" i="1"/>
  <c r="K27" i="1"/>
  <c r="L27" i="1"/>
  <c r="M27" i="1"/>
  <c r="N27" i="1"/>
  <c r="O27" i="1"/>
  <c r="P27" i="1"/>
  <c r="Q27" i="1"/>
  <c r="R27" i="1"/>
  <c r="S27" i="1"/>
  <c r="T27" i="1"/>
  <c r="G28" i="1"/>
  <c r="I28" i="1"/>
  <c r="J28" i="1"/>
  <c r="K28" i="1"/>
  <c r="L28" i="1"/>
  <c r="M28" i="1"/>
  <c r="N28" i="1"/>
  <c r="O28" i="1"/>
  <c r="P28" i="1"/>
  <c r="Q28" i="1"/>
  <c r="R28" i="1"/>
  <c r="S28" i="1"/>
  <c r="T28" i="1"/>
  <c r="G29" i="1"/>
  <c r="I29" i="1"/>
  <c r="J29" i="1"/>
  <c r="K29" i="1"/>
  <c r="L29" i="1"/>
  <c r="M29" i="1"/>
  <c r="N29" i="1"/>
  <c r="O29" i="1"/>
  <c r="P29" i="1"/>
  <c r="Q29" i="1"/>
  <c r="R29" i="1"/>
  <c r="S29" i="1"/>
  <c r="T29" i="1"/>
  <c r="G30" i="1"/>
  <c r="I30" i="1"/>
  <c r="J30" i="1"/>
  <c r="K30" i="1"/>
  <c r="L30" i="1"/>
  <c r="M30" i="1"/>
  <c r="N30" i="1"/>
  <c r="O30" i="1"/>
  <c r="P30" i="1"/>
  <c r="Q30" i="1"/>
  <c r="R30" i="1"/>
  <c r="S30" i="1"/>
  <c r="T30" i="1"/>
  <c r="G31" i="1"/>
  <c r="I31" i="1"/>
  <c r="J31" i="1"/>
  <c r="K31" i="1"/>
  <c r="L31" i="1"/>
  <c r="M31" i="1"/>
  <c r="N31" i="1"/>
  <c r="O31" i="1"/>
  <c r="P31" i="1"/>
  <c r="Q31" i="1"/>
  <c r="R31" i="1"/>
  <c r="S31" i="1"/>
  <c r="T31" i="1"/>
  <c r="G32" i="1"/>
  <c r="I32" i="1"/>
  <c r="J32" i="1"/>
  <c r="K32" i="1"/>
  <c r="L32" i="1"/>
  <c r="M32" i="1"/>
  <c r="N32" i="1"/>
  <c r="O32" i="1"/>
  <c r="P32" i="1"/>
  <c r="Q32" i="1"/>
  <c r="R32" i="1"/>
  <c r="S32" i="1"/>
  <c r="T32" i="1"/>
  <c r="G33" i="1"/>
  <c r="I33" i="1"/>
  <c r="J33" i="1"/>
  <c r="K33" i="1"/>
  <c r="L33" i="1"/>
  <c r="M33" i="1"/>
  <c r="N33" i="1"/>
  <c r="O33" i="1"/>
  <c r="P33" i="1"/>
  <c r="Q33" i="1"/>
  <c r="R33" i="1"/>
  <c r="S33" i="1"/>
  <c r="T33" i="1"/>
  <c r="G34" i="1"/>
  <c r="I34" i="1"/>
  <c r="J34" i="1"/>
  <c r="K34" i="1"/>
  <c r="L34" i="1"/>
  <c r="M34" i="1"/>
  <c r="N34" i="1"/>
  <c r="O34" i="1"/>
  <c r="P34" i="1"/>
  <c r="Q34" i="1"/>
  <c r="R34" i="1"/>
  <c r="S34" i="1"/>
  <c r="T34" i="1"/>
  <c r="G35" i="1"/>
  <c r="I35" i="1"/>
  <c r="J35" i="1"/>
  <c r="K35" i="1"/>
  <c r="L35" i="1"/>
  <c r="M35" i="1"/>
  <c r="N35" i="1"/>
  <c r="O35" i="1"/>
  <c r="P35" i="1"/>
  <c r="Q35" i="1"/>
  <c r="R35" i="1"/>
  <c r="S35" i="1"/>
  <c r="T35" i="1"/>
  <c r="G36" i="1"/>
  <c r="I36" i="1"/>
  <c r="J36" i="1"/>
  <c r="K36" i="1"/>
  <c r="L36" i="1"/>
  <c r="M36" i="1"/>
  <c r="N36" i="1"/>
  <c r="O36" i="1"/>
  <c r="P36" i="1"/>
  <c r="Q36" i="1"/>
  <c r="R36" i="1"/>
  <c r="S36" i="1"/>
  <c r="T36" i="1"/>
  <c r="F37" i="1"/>
  <c r="G37" i="1"/>
  <c r="I37" i="1"/>
  <c r="J37" i="1"/>
  <c r="K37" i="1"/>
  <c r="L37" i="1"/>
  <c r="M37" i="1"/>
  <c r="N37" i="1"/>
  <c r="O37" i="1"/>
  <c r="P37" i="1"/>
  <c r="Q37" i="1"/>
  <c r="R37" i="1"/>
  <c r="S37" i="1"/>
  <c r="T37" i="1"/>
  <c r="F38" i="1"/>
  <c r="G38" i="1"/>
  <c r="I38" i="1"/>
  <c r="J38" i="1"/>
  <c r="K38" i="1"/>
  <c r="L38" i="1"/>
  <c r="M38" i="1"/>
  <c r="N38" i="1"/>
  <c r="O38" i="1"/>
  <c r="P38" i="1"/>
  <c r="Q38" i="1"/>
  <c r="R38" i="1"/>
  <c r="S38" i="1"/>
  <c r="T38" i="1"/>
  <c r="I39" i="1"/>
  <c r="J39" i="1"/>
  <c r="K39" i="1"/>
  <c r="L39" i="1"/>
  <c r="M39" i="1"/>
  <c r="N39" i="1"/>
  <c r="O39" i="1"/>
  <c r="P39" i="1"/>
  <c r="Q39" i="1"/>
  <c r="R39" i="1"/>
  <c r="S39" i="1"/>
  <c r="T39" i="1"/>
  <c r="I40" i="1"/>
  <c r="J40" i="1"/>
  <c r="K40" i="1"/>
  <c r="L40" i="1"/>
  <c r="M40" i="1"/>
  <c r="N40" i="1"/>
  <c r="O40" i="1"/>
  <c r="P40" i="1"/>
  <c r="Q40" i="1"/>
  <c r="R40" i="1"/>
  <c r="S40" i="1"/>
  <c r="T40" i="1"/>
  <c r="I41" i="1"/>
  <c r="J41" i="1"/>
  <c r="K41" i="1"/>
  <c r="L41" i="1"/>
  <c r="M41" i="1"/>
  <c r="N41" i="1"/>
  <c r="O41" i="1"/>
  <c r="P41" i="1"/>
  <c r="Q41" i="1"/>
  <c r="R41" i="1"/>
  <c r="S41" i="1"/>
  <c r="T41" i="1"/>
  <c r="I42" i="1"/>
  <c r="J42" i="1"/>
  <c r="K42" i="1"/>
  <c r="L42" i="1"/>
  <c r="M42" i="1"/>
  <c r="N42" i="1"/>
  <c r="O42" i="1"/>
  <c r="P42" i="1"/>
  <c r="Q42" i="1"/>
  <c r="R42" i="1"/>
  <c r="S42" i="1"/>
  <c r="T42" i="1"/>
  <c r="I43" i="1"/>
  <c r="J43" i="1"/>
  <c r="K43" i="1"/>
  <c r="L43" i="1"/>
  <c r="M43" i="1"/>
  <c r="N43" i="1"/>
  <c r="O43" i="1"/>
  <c r="P43" i="1"/>
  <c r="Q43" i="1"/>
  <c r="R43" i="1"/>
  <c r="S43" i="1"/>
  <c r="T43" i="1"/>
  <c r="G44" i="1"/>
  <c r="I44" i="1"/>
  <c r="J44" i="1"/>
  <c r="K44" i="1"/>
  <c r="L44" i="1"/>
  <c r="M44" i="1"/>
  <c r="N44" i="1"/>
  <c r="O44" i="1"/>
  <c r="P44" i="1"/>
  <c r="Q44" i="1"/>
  <c r="R44" i="1"/>
  <c r="S44" i="1"/>
  <c r="T44" i="1"/>
  <c r="G45" i="1"/>
  <c r="I45" i="1"/>
  <c r="J45" i="1"/>
  <c r="K45" i="1"/>
  <c r="L45" i="1"/>
  <c r="M45" i="1"/>
  <c r="N45" i="1"/>
  <c r="O45" i="1"/>
  <c r="P45" i="1"/>
  <c r="Q45" i="1"/>
  <c r="R45" i="1"/>
  <c r="S45" i="1"/>
  <c r="T45" i="1"/>
  <c r="G46" i="1"/>
  <c r="I46" i="1"/>
  <c r="J46" i="1"/>
  <c r="K46" i="1"/>
  <c r="L46" i="1"/>
  <c r="M46" i="1"/>
  <c r="N46" i="1"/>
  <c r="O46" i="1"/>
  <c r="P46" i="1"/>
  <c r="Q46" i="1"/>
  <c r="R46" i="1"/>
  <c r="S46" i="1"/>
  <c r="T46" i="1"/>
  <c r="G47" i="1"/>
  <c r="I47" i="1"/>
  <c r="J47" i="1"/>
  <c r="K47" i="1"/>
  <c r="L47" i="1"/>
  <c r="M47" i="1"/>
  <c r="N47" i="1"/>
  <c r="O47" i="1"/>
  <c r="P47" i="1"/>
  <c r="Q47" i="1"/>
  <c r="R47" i="1"/>
  <c r="S47" i="1"/>
  <c r="T47" i="1"/>
  <c r="G48" i="1"/>
  <c r="I48" i="1"/>
  <c r="J48" i="1"/>
  <c r="K48" i="1"/>
  <c r="L48" i="1"/>
  <c r="M48" i="1"/>
  <c r="N48" i="1"/>
  <c r="O48" i="1"/>
  <c r="P48" i="1"/>
  <c r="Q48" i="1"/>
  <c r="R48" i="1"/>
  <c r="S48" i="1"/>
  <c r="T48" i="1"/>
  <c r="F49" i="1"/>
  <c r="G49" i="1"/>
  <c r="I49" i="1"/>
  <c r="J49" i="1"/>
  <c r="K49" i="1"/>
  <c r="L49" i="1"/>
  <c r="M49" i="1"/>
  <c r="N49" i="1"/>
  <c r="O49" i="1"/>
  <c r="P49" i="1"/>
  <c r="Q49" i="1"/>
  <c r="R49" i="1"/>
  <c r="S49" i="1"/>
  <c r="T49" i="1"/>
  <c r="I50" i="1"/>
  <c r="J50" i="1"/>
  <c r="K50" i="1"/>
  <c r="L50" i="1"/>
  <c r="M50" i="1"/>
  <c r="N50" i="1"/>
  <c r="O50" i="1"/>
  <c r="P50" i="1"/>
  <c r="Q50" i="1"/>
  <c r="R50" i="1"/>
  <c r="S50" i="1"/>
  <c r="T50" i="1"/>
  <c r="I51" i="1"/>
  <c r="J51" i="1"/>
  <c r="K51" i="1"/>
  <c r="L51" i="1"/>
  <c r="M51" i="1"/>
  <c r="N51" i="1"/>
  <c r="O51" i="1"/>
  <c r="P51" i="1"/>
  <c r="Q51" i="1"/>
  <c r="R51" i="1"/>
  <c r="S51" i="1"/>
  <c r="T51" i="1"/>
  <c r="I52" i="1"/>
  <c r="J52" i="1"/>
  <c r="K52" i="1"/>
  <c r="L52" i="1"/>
  <c r="M52" i="1"/>
  <c r="N52" i="1"/>
  <c r="O52" i="1"/>
  <c r="P52" i="1"/>
  <c r="Q52" i="1"/>
  <c r="R52" i="1"/>
  <c r="S52" i="1"/>
  <c r="T52" i="1"/>
  <c r="G53" i="1"/>
  <c r="I53" i="1"/>
  <c r="J53" i="1"/>
  <c r="K53" i="1"/>
  <c r="L53" i="1"/>
  <c r="M53" i="1"/>
  <c r="N53" i="1"/>
  <c r="O53" i="1"/>
  <c r="P53" i="1"/>
  <c r="Q53" i="1"/>
  <c r="R53" i="1"/>
  <c r="S53" i="1"/>
  <c r="T53" i="1"/>
  <c r="G54" i="1"/>
  <c r="I54" i="1"/>
  <c r="J54" i="1"/>
  <c r="K54" i="1"/>
  <c r="L54" i="1"/>
  <c r="M54" i="1"/>
  <c r="N54" i="1"/>
  <c r="O54" i="1"/>
  <c r="P54" i="1"/>
  <c r="Q54" i="1"/>
  <c r="R54" i="1"/>
  <c r="S54" i="1"/>
  <c r="T54" i="1"/>
  <c r="G55" i="1"/>
  <c r="I55" i="1"/>
  <c r="J55" i="1"/>
  <c r="K55" i="1"/>
  <c r="L55" i="1"/>
  <c r="M55" i="1"/>
  <c r="N55" i="1"/>
  <c r="O55" i="1"/>
  <c r="P55" i="1"/>
  <c r="Q55" i="1"/>
  <c r="R55" i="1"/>
  <c r="S55" i="1"/>
  <c r="T55" i="1"/>
  <c r="I56" i="1"/>
  <c r="J56" i="1"/>
  <c r="K56" i="1"/>
  <c r="L56" i="1"/>
  <c r="M56" i="1"/>
  <c r="N56" i="1"/>
  <c r="O56" i="1"/>
  <c r="P56" i="1"/>
  <c r="Q56" i="1"/>
  <c r="R56" i="1"/>
  <c r="S56" i="1"/>
  <c r="T56" i="1"/>
  <c r="I57" i="1"/>
  <c r="J57" i="1"/>
  <c r="K57" i="1"/>
  <c r="L57" i="1"/>
  <c r="M57" i="1"/>
  <c r="N57" i="1"/>
  <c r="O57" i="1"/>
  <c r="P57" i="1"/>
  <c r="Q57" i="1"/>
  <c r="R57" i="1"/>
  <c r="S57" i="1"/>
  <c r="T57" i="1"/>
  <c r="I58" i="1"/>
  <c r="J58" i="1"/>
  <c r="K58" i="1"/>
  <c r="L58" i="1"/>
  <c r="M58" i="1"/>
  <c r="N58" i="1"/>
  <c r="O58" i="1"/>
  <c r="P58" i="1"/>
  <c r="Q58" i="1"/>
  <c r="R58" i="1"/>
  <c r="S58" i="1"/>
  <c r="T58" i="1"/>
  <c r="G59" i="1"/>
  <c r="I59" i="1"/>
  <c r="J59" i="1"/>
  <c r="K59" i="1"/>
  <c r="L59" i="1"/>
  <c r="M59" i="1"/>
  <c r="N59" i="1"/>
  <c r="O59" i="1"/>
  <c r="P59" i="1"/>
  <c r="Q59" i="1"/>
  <c r="R59" i="1"/>
  <c r="S59" i="1"/>
  <c r="T59" i="1"/>
  <c r="I60" i="1"/>
  <c r="J60" i="1"/>
  <c r="K60" i="1"/>
  <c r="L60" i="1"/>
  <c r="M60" i="1"/>
  <c r="N60" i="1"/>
  <c r="O60" i="1"/>
  <c r="P60" i="1"/>
  <c r="Q60" i="1"/>
  <c r="R60" i="1"/>
  <c r="S60" i="1"/>
  <c r="T60" i="1"/>
  <c r="I61" i="1"/>
  <c r="J61" i="1"/>
  <c r="K61" i="1"/>
  <c r="L61" i="1"/>
  <c r="M61" i="1"/>
  <c r="N61" i="1"/>
  <c r="O61" i="1"/>
  <c r="P61" i="1"/>
  <c r="Q61" i="1"/>
  <c r="R61" i="1"/>
  <c r="S61" i="1"/>
  <c r="T61" i="1"/>
  <c r="I62" i="1"/>
  <c r="J62" i="1"/>
  <c r="K62" i="1"/>
  <c r="L62" i="1"/>
  <c r="M62" i="1"/>
  <c r="N62" i="1"/>
  <c r="O62" i="1"/>
  <c r="P62" i="1"/>
  <c r="Q62" i="1"/>
  <c r="R62" i="1"/>
  <c r="S62" i="1"/>
  <c r="T62" i="1"/>
  <c r="I63" i="1"/>
  <c r="J63" i="1"/>
  <c r="K63" i="1"/>
  <c r="L63" i="1"/>
  <c r="M63" i="1"/>
  <c r="N63" i="1"/>
  <c r="O63" i="1"/>
  <c r="P63" i="1"/>
  <c r="Q63" i="1"/>
  <c r="R63" i="1"/>
  <c r="S63" i="1"/>
  <c r="T63" i="1"/>
  <c r="I64" i="1"/>
  <c r="J64" i="1"/>
  <c r="K64" i="1"/>
  <c r="L64" i="1"/>
  <c r="M64" i="1"/>
  <c r="N64" i="1"/>
  <c r="O64" i="1"/>
  <c r="P64" i="1"/>
  <c r="Q64" i="1"/>
  <c r="R64" i="1"/>
  <c r="S64" i="1"/>
  <c r="T64" i="1"/>
  <c r="I65" i="1"/>
  <c r="J65" i="1"/>
  <c r="K65" i="1"/>
  <c r="L65" i="1"/>
  <c r="M65" i="1"/>
  <c r="N65" i="1"/>
  <c r="O65" i="1"/>
  <c r="P65" i="1"/>
  <c r="Q65" i="1"/>
  <c r="R65" i="1"/>
  <c r="S65" i="1"/>
  <c r="T65" i="1"/>
  <c r="I66" i="1"/>
  <c r="J66" i="1"/>
  <c r="K66" i="1"/>
  <c r="L66" i="1"/>
  <c r="M66" i="1"/>
  <c r="N66" i="1"/>
  <c r="O66" i="1"/>
  <c r="P66" i="1"/>
  <c r="Q66" i="1"/>
  <c r="R66" i="1"/>
  <c r="S66" i="1"/>
  <c r="T66" i="1"/>
  <c r="I67" i="1"/>
  <c r="J67" i="1"/>
  <c r="K67" i="1"/>
  <c r="L67" i="1"/>
  <c r="M67" i="1"/>
  <c r="N67" i="1"/>
  <c r="O67" i="1"/>
  <c r="P67" i="1"/>
  <c r="Q67" i="1"/>
  <c r="R67" i="1"/>
  <c r="S67" i="1"/>
  <c r="T67" i="1"/>
  <c r="I68" i="1"/>
  <c r="J68" i="1"/>
  <c r="K68" i="1"/>
  <c r="L68" i="1"/>
  <c r="M68" i="1"/>
  <c r="N68" i="1"/>
  <c r="O68" i="1"/>
  <c r="P68" i="1"/>
  <c r="Q68" i="1"/>
  <c r="R68" i="1"/>
  <c r="S68" i="1"/>
  <c r="T68" i="1"/>
  <c r="I69" i="1"/>
  <c r="J69" i="1"/>
  <c r="K69" i="1"/>
  <c r="L69" i="1"/>
  <c r="M69" i="1"/>
  <c r="N69" i="1"/>
  <c r="O69" i="1"/>
  <c r="P69" i="1"/>
  <c r="Q69" i="1"/>
  <c r="R69" i="1"/>
  <c r="S69" i="1"/>
  <c r="T69" i="1"/>
  <c r="I70" i="1"/>
  <c r="J70" i="1"/>
  <c r="K70" i="1"/>
  <c r="L70" i="1"/>
  <c r="M70" i="1"/>
  <c r="N70" i="1"/>
  <c r="O70" i="1"/>
  <c r="P70" i="1"/>
  <c r="Q70" i="1"/>
  <c r="R70" i="1"/>
  <c r="S70" i="1"/>
  <c r="T70" i="1"/>
  <c r="I71" i="1"/>
  <c r="J71" i="1"/>
  <c r="K71" i="1"/>
  <c r="L71" i="1"/>
  <c r="M71" i="1"/>
  <c r="N71" i="1"/>
  <c r="O71" i="1"/>
  <c r="P71" i="1"/>
  <c r="Q71" i="1"/>
  <c r="R71" i="1"/>
  <c r="S71" i="1"/>
  <c r="T71" i="1"/>
  <c r="G72" i="1"/>
  <c r="I72" i="1"/>
  <c r="J72" i="1"/>
  <c r="K72" i="1"/>
  <c r="L72" i="1"/>
  <c r="M72" i="1"/>
  <c r="N72" i="1"/>
  <c r="O72" i="1"/>
  <c r="P72" i="1"/>
  <c r="Q72" i="1"/>
  <c r="R72" i="1"/>
  <c r="S72" i="1"/>
  <c r="T72" i="1"/>
  <c r="G73" i="1"/>
  <c r="I73" i="1"/>
  <c r="J73" i="1"/>
  <c r="K73" i="1"/>
  <c r="L73" i="1"/>
  <c r="M73" i="1"/>
  <c r="N73" i="1"/>
  <c r="O73" i="1"/>
  <c r="P73" i="1"/>
  <c r="Q73" i="1"/>
  <c r="R73" i="1"/>
  <c r="S73" i="1"/>
  <c r="T73" i="1"/>
  <c r="G74" i="1"/>
  <c r="I74" i="1"/>
  <c r="J74" i="1"/>
  <c r="K74" i="1"/>
  <c r="L74" i="1"/>
  <c r="M74" i="1"/>
  <c r="N74" i="1"/>
  <c r="O74" i="1"/>
  <c r="P74" i="1"/>
  <c r="Q74" i="1"/>
  <c r="R74" i="1"/>
  <c r="S74" i="1"/>
  <c r="T74" i="1"/>
  <c r="F75" i="1"/>
  <c r="G75" i="1"/>
  <c r="I75" i="1"/>
  <c r="J75" i="1"/>
  <c r="K75" i="1"/>
  <c r="L75" i="1"/>
  <c r="M75" i="1"/>
  <c r="N75" i="1"/>
  <c r="O75" i="1"/>
  <c r="P75" i="1"/>
  <c r="Q75" i="1"/>
  <c r="R75" i="1"/>
  <c r="S75" i="1"/>
  <c r="T75" i="1"/>
  <c r="I76" i="1"/>
  <c r="J76" i="1"/>
  <c r="K76" i="1"/>
  <c r="L76" i="1"/>
  <c r="M76" i="1"/>
  <c r="N76" i="1"/>
  <c r="O76" i="1"/>
  <c r="P76" i="1"/>
  <c r="Q76" i="1"/>
  <c r="R76" i="1"/>
  <c r="S76" i="1"/>
  <c r="T76" i="1"/>
  <c r="I77" i="1"/>
  <c r="J77" i="1"/>
  <c r="K77" i="1"/>
  <c r="L77" i="1"/>
  <c r="M77" i="1"/>
  <c r="N77" i="1"/>
  <c r="O77" i="1"/>
  <c r="P77" i="1"/>
  <c r="Q77" i="1"/>
  <c r="R77" i="1"/>
  <c r="S77" i="1"/>
  <c r="T77" i="1"/>
  <c r="I78" i="1"/>
  <c r="J78" i="1"/>
  <c r="K78" i="1"/>
  <c r="L78" i="1"/>
  <c r="M78" i="1"/>
  <c r="N78" i="1"/>
  <c r="O78" i="1"/>
  <c r="P78" i="1"/>
  <c r="Q78" i="1"/>
  <c r="R78" i="1"/>
  <c r="S78" i="1"/>
  <c r="T78" i="1"/>
  <c r="G79" i="1"/>
  <c r="I79" i="1"/>
  <c r="J79" i="1"/>
  <c r="K79" i="1"/>
  <c r="L79" i="1"/>
  <c r="M79" i="1"/>
  <c r="N79" i="1"/>
  <c r="O79" i="1"/>
  <c r="P79" i="1"/>
  <c r="Q79" i="1"/>
  <c r="R79" i="1"/>
  <c r="S79" i="1"/>
  <c r="T79" i="1"/>
  <c r="G80" i="1"/>
  <c r="I80" i="1"/>
  <c r="J80" i="1"/>
  <c r="K80" i="1"/>
  <c r="L80" i="1"/>
  <c r="M80" i="1"/>
  <c r="N80" i="1"/>
  <c r="O80" i="1"/>
  <c r="P80" i="1"/>
  <c r="Q80" i="1"/>
  <c r="R80" i="1"/>
  <c r="S80" i="1"/>
  <c r="T80" i="1"/>
  <c r="G81" i="1"/>
  <c r="I81" i="1"/>
  <c r="J81" i="1"/>
  <c r="K81" i="1"/>
  <c r="L81" i="1"/>
  <c r="M81" i="1"/>
  <c r="N81" i="1"/>
  <c r="O81" i="1"/>
  <c r="P81" i="1"/>
  <c r="Q81" i="1"/>
  <c r="R81" i="1"/>
  <c r="S81" i="1"/>
  <c r="T81" i="1"/>
  <c r="G82" i="1"/>
  <c r="I82" i="1"/>
  <c r="J82" i="1"/>
  <c r="K82" i="1"/>
  <c r="L82" i="1"/>
  <c r="M82" i="1"/>
  <c r="N82" i="1"/>
  <c r="O82" i="1"/>
  <c r="P82" i="1"/>
  <c r="Q82" i="1"/>
  <c r="R82" i="1"/>
  <c r="S82" i="1"/>
  <c r="T82" i="1"/>
  <c r="F83" i="1"/>
  <c r="G83" i="1"/>
  <c r="I83" i="1"/>
  <c r="J83" i="1"/>
  <c r="K83" i="1"/>
  <c r="L83" i="1"/>
  <c r="M83" i="1"/>
  <c r="N83" i="1"/>
  <c r="O83" i="1"/>
  <c r="P83" i="1"/>
  <c r="Q83" i="1"/>
  <c r="R83" i="1"/>
  <c r="S83" i="1"/>
  <c r="T83" i="1"/>
  <c r="F84" i="1"/>
  <c r="G84" i="1"/>
  <c r="I84" i="1"/>
  <c r="J84" i="1"/>
  <c r="K84" i="1"/>
  <c r="L84" i="1"/>
  <c r="M84" i="1"/>
  <c r="N84" i="1"/>
  <c r="O84" i="1"/>
  <c r="P84" i="1"/>
  <c r="Q84" i="1"/>
  <c r="R84" i="1"/>
  <c r="S84" i="1"/>
  <c r="T84" i="1"/>
  <c r="I85" i="1"/>
  <c r="J85" i="1"/>
  <c r="K85" i="1"/>
  <c r="L85" i="1"/>
  <c r="M85" i="1"/>
  <c r="N85" i="1"/>
  <c r="O85" i="1"/>
  <c r="P85" i="1"/>
  <c r="Q85" i="1"/>
  <c r="R85" i="1"/>
  <c r="S85" i="1"/>
  <c r="T85" i="1"/>
  <c r="I86" i="1"/>
  <c r="J86" i="1"/>
  <c r="K86" i="1"/>
  <c r="L86" i="1"/>
  <c r="M86" i="1"/>
  <c r="N86" i="1"/>
  <c r="O86" i="1"/>
  <c r="P86" i="1"/>
  <c r="Q86" i="1"/>
  <c r="R86" i="1"/>
  <c r="S86" i="1"/>
  <c r="T86" i="1"/>
  <c r="I87" i="1"/>
  <c r="J87" i="1"/>
  <c r="K87" i="1"/>
  <c r="L87" i="1"/>
  <c r="M87" i="1"/>
  <c r="N87" i="1"/>
  <c r="O87" i="1"/>
  <c r="P87" i="1"/>
  <c r="Q87" i="1"/>
  <c r="R87" i="1"/>
  <c r="S87" i="1"/>
  <c r="T87" i="1"/>
  <c r="G88" i="1"/>
  <c r="I88" i="1"/>
  <c r="J88" i="1"/>
  <c r="K88" i="1"/>
  <c r="L88" i="1"/>
  <c r="M88" i="1"/>
  <c r="N88" i="1"/>
  <c r="O88" i="1"/>
  <c r="P88" i="1"/>
  <c r="Q88" i="1"/>
  <c r="R88" i="1"/>
  <c r="S88" i="1"/>
  <c r="T88" i="1"/>
  <c r="G89" i="1"/>
  <c r="I89" i="1"/>
  <c r="J89" i="1"/>
  <c r="K89" i="1"/>
  <c r="L89" i="1"/>
  <c r="M89" i="1"/>
  <c r="N89" i="1"/>
  <c r="O89" i="1"/>
  <c r="P89" i="1"/>
  <c r="Q89" i="1"/>
  <c r="R89" i="1"/>
  <c r="S89" i="1"/>
  <c r="T89" i="1"/>
  <c r="G90" i="1"/>
  <c r="I90" i="1"/>
  <c r="J90" i="1"/>
  <c r="K90" i="1"/>
  <c r="L90" i="1"/>
  <c r="M90" i="1"/>
  <c r="N90" i="1"/>
  <c r="O90" i="1"/>
  <c r="P90" i="1"/>
  <c r="Q90" i="1"/>
  <c r="R90" i="1"/>
  <c r="S90" i="1"/>
  <c r="T90" i="1"/>
  <c r="G91" i="1"/>
  <c r="I91" i="1"/>
  <c r="J91" i="1"/>
  <c r="K91" i="1"/>
  <c r="L91" i="1"/>
  <c r="M91" i="1"/>
  <c r="N91" i="1"/>
  <c r="O91" i="1"/>
  <c r="P91" i="1"/>
  <c r="Q91" i="1"/>
  <c r="R91" i="1"/>
  <c r="S91" i="1"/>
  <c r="T91" i="1"/>
  <c r="G92" i="1"/>
  <c r="I92" i="1"/>
  <c r="J92" i="1"/>
  <c r="K92" i="1"/>
  <c r="L92" i="1"/>
  <c r="M92" i="1"/>
  <c r="N92" i="1"/>
  <c r="O92" i="1"/>
  <c r="P92" i="1"/>
  <c r="Q92" i="1"/>
  <c r="R92" i="1"/>
  <c r="S92" i="1"/>
  <c r="T92" i="1"/>
  <c r="F93" i="1"/>
  <c r="G93" i="1"/>
  <c r="I93" i="1"/>
  <c r="J93" i="1"/>
  <c r="K93" i="1"/>
  <c r="L93" i="1"/>
  <c r="M93" i="1"/>
  <c r="N93" i="1"/>
  <c r="O93" i="1"/>
  <c r="P93" i="1"/>
  <c r="Q93" i="1"/>
  <c r="R93" i="1"/>
  <c r="S93" i="1"/>
  <c r="T93" i="1"/>
  <c r="F94" i="1"/>
  <c r="G94" i="1"/>
  <c r="I94" i="1"/>
  <c r="J94" i="1"/>
  <c r="K94" i="1"/>
  <c r="L94" i="1"/>
  <c r="M94" i="1"/>
  <c r="N94" i="1"/>
  <c r="O94" i="1"/>
  <c r="P94" i="1"/>
  <c r="Q94" i="1"/>
  <c r="R94" i="1"/>
  <c r="S94" i="1"/>
  <c r="T94" i="1"/>
  <c r="I95" i="1"/>
  <c r="J95" i="1"/>
  <c r="K95" i="1"/>
  <c r="L95" i="1"/>
  <c r="M95" i="1"/>
  <c r="N95" i="1"/>
  <c r="O95" i="1"/>
  <c r="P95" i="1"/>
  <c r="Q95" i="1"/>
  <c r="R95" i="1"/>
  <c r="S95" i="1"/>
  <c r="T95" i="1"/>
  <c r="I96" i="1"/>
  <c r="J96" i="1"/>
  <c r="K96" i="1"/>
  <c r="L96" i="1"/>
  <c r="M96" i="1"/>
  <c r="N96" i="1"/>
  <c r="O96" i="1"/>
  <c r="P96" i="1"/>
  <c r="Q96" i="1"/>
  <c r="R96" i="1"/>
  <c r="S96" i="1"/>
  <c r="T96" i="1"/>
  <c r="I97" i="1"/>
  <c r="J97" i="1"/>
  <c r="K97" i="1"/>
  <c r="L97" i="1"/>
  <c r="M97" i="1"/>
  <c r="N97" i="1"/>
  <c r="O97" i="1"/>
  <c r="P97" i="1"/>
  <c r="Q97" i="1"/>
  <c r="R97" i="1"/>
  <c r="S97" i="1"/>
  <c r="T97" i="1"/>
  <c r="I98" i="1"/>
  <c r="J98" i="1"/>
  <c r="K98" i="1"/>
  <c r="L98" i="1"/>
  <c r="M98" i="1"/>
  <c r="N98" i="1"/>
  <c r="O98" i="1"/>
  <c r="P98" i="1"/>
  <c r="Q98" i="1"/>
  <c r="R98" i="1"/>
  <c r="S98" i="1"/>
  <c r="T98" i="1"/>
  <c r="I99" i="1"/>
  <c r="J99" i="1"/>
  <c r="K99" i="1"/>
  <c r="L99" i="1"/>
  <c r="M99" i="1"/>
  <c r="N99" i="1"/>
  <c r="O99" i="1"/>
  <c r="P99" i="1"/>
  <c r="Q99" i="1"/>
  <c r="R99" i="1"/>
  <c r="S99" i="1"/>
  <c r="T99" i="1"/>
  <c r="G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G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G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F104" i="1"/>
  <c r="G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F105" i="1"/>
  <c r="G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G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G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G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G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G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G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G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G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G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G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F130" i="1"/>
  <c r="G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F131" i="1"/>
  <c r="G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G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G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G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G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G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G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G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G147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G148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G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G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F151" i="1"/>
  <c r="G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G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G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F161" i="1"/>
  <c r="G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G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G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G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F168" i="1"/>
  <c r="G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I174" i="1"/>
  <c r="J174" i="1"/>
  <c r="K174" i="1"/>
  <c r="L174" i="1"/>
  <c r="M174" i="1"/>
  <c r="N174" i="1"/>
  <c r="O174" i="1"/>
  <c r="P174" i="1"/>
  <c r="Q174" i="1"/>
  <c r="R174" i="1"/>
  <c r="S174" i="1"/>
  <c r="T174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G183" i="1"/>
  <c r="I183" i="1"/>
  <c r="J183" i="1"/>
  <c r="K183" i="1"/>
  <c r="L183" i="1"/>
  <c r="M183" i="1"/>
  <c r="N183" i="1"/>
  <c r="O183" i="1"/>
  <c r="P183" i="1"/>
  <c r="Q183" i="1"/>
  <c r="R183" i="1"/>
  <c r="S183" i="1"/>
  <c r="T183" i="1"/>
  <c r="F184" i="1"/>
  <c r="G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G185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I189" i="1"/>
  <c r="J189" i="1"/>
  <c r="K189" i="1"/>
  <c r="L189" i="1"/>
  <c r="M189" i="1"/>
  <c r="N189" i="1"/>
  <c r="O189" i="1"/>
  <c r="P189" i="1"/>
  <c r="Q189" i="1"/>
  <c r="R189" i="1"/>
  <c r="S189" i="1"/>
  <c r="T189" i="1"/>
  <c r="I190" i="1"/>
  <c r="J190" i="1"/>
  <c r="K190" i="1"/>
  <c r="L190" i="1"/>
  <c r="M190" i="1"/>
  <c r="N190" i="1"/>
  <c r="O190" i="1"/>
  <c r="P190" i="1"/>
  <c r="Q190" i="1"/>
  <c r="R190" i="1"/>
  <c r="S190" i="1"/>
  <c r="T190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G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G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G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F195" i="1"/>
  <c r="G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G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G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G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G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G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F204" i="1"/>
  <c r="G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F205" i="1"/>
  <c r="G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G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G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G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F216" i="1"/>
  <c r="G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F217" i="1"/>
  <c r="G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G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G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G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G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G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G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G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G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G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G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F242" i="1"/>
  <c r="G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F243" i="1"/>
  <c r="G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AE23" i="5"/>
  <c r="L25" i="5" l="1"/>
  <c r="S63" i="5"/>
  <c r="D19" i="5"/>
  <c r="S58" i="5"/>
  <c r="H19" i="5"/>
  <c r="E34" i="5"/>
  <c r="AI23" i="5"/>
  <c r="AJ21" i="5" s="1"/>
  <c r="AI39" i="5"/>
  <c r="AJ37" i="5" s="1"/>
  <c r="E32" i="5"/>
  <c r="C2" i="5"/>
  <c r="D10" i="5" s="1"/>
  <c r="D13" i="5"/>
  <c r="S7" i="5" s="1"/>
  <c r="S57" i="5"/>
  <c r="W70" i="5"/>
  <c r="AI7" i="5"/>
  <c r="AJ5" i="5" s="1"/>
  <c r="E36" i="5"/>
  <c r="AC39" i="5"/>
  <c r="AD37" i="5" s="1"/>
  <c r="E30" i="5"/>
  <c r="H13" i="5"/>
  <c r="AK23" i="5"/>
  <c r="AK7" i="5"/>
  <c r="AE39" i="5"/>
  <c r="L33" i="5" l="1"/>
  <c r="S10" i="5"/>
  <c r="V31" i="5" s="1"/>
  <c r="S52" i="5"/>
  <c r="L23" i="5"/>
  <c r="L29" i="5"/>
  <c r="L31" i="5"/>
  <c r="L27" i="5"/>
  <c r="L35" i="5"/>
  <c r="V30" i="5"/>
  <c r="C32" i="5"/>
  <c r="S49" i="5"/>
  <c r="D8" i="5"/>
  <c r="V78" i="5"/>
  <c r="V75" i="5" l="1"/>
  <c r="G32" i="5"/>
  <c r="V7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tc={7DD29047-63A1-47A0-8855-5366CBF79C88}</author>
    <author>tc={3B65F2D6-A7A7-448D-9806-F5787D8D4896}</author>
    <author>tc={63ED4E90-A0F9-4AF8-A281-44A619A43374}</author>
  </authors>
  <commentList>
    <comment ref="B479" authorId="0" shapeId="0" xr:uid="{7DD29047-63A1-47A0-8855-5366CBF79C88}">
      <text>
        <t>[Threaded comment]
Your version of Excel allows you to read this threaded comment; however, any edits to it will get removed if the file is opened in a newer version of Excel. Learn more: https://go.microsoft.com/fwlink/?linkid=870924
Comment:
    BEING ROOM 603 DEWA  CHARGE (685.05) &amp; EMPOWER CHARGES (268.8)  PAID FOR MONTH MAR-26</t>
      </text>
    </comment>
    <comment ref="B551" authorId="1" shapeId="0" xr:uid="{3B65F2D6-A7A7-448D-9806-F5787D8D4896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 FOR GOLDEN ROSE 20KG SALES WITHOUT MAKING , PURITY-0.880</t>
      </text>
    </comment>
    <comment ref="C652" authorId="2" shapeId="0" xr:uid="{63ED4E90-A0F9-4AF8-A281-44A619A43374}">
      <text>
        <t>[Threaded comment]
Your version of Excel allows you to read this threaded comment; however, any edits to it will get removed if the file is opened in a newer version of Excel. Learn more: https://go.microsoft.com/fwlink/?linkid=870924
Comment:
    SOFTWARE DATE - 04/03/2026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tc={4CEC552A-2655-4A30-A826-3A4674A9F38C}</author>
  </authors>
  <commentList>
    <comment ref="B233" authorId="0" shapeId="0" xr:uid="{4CEC552A-2655-4A30-A826-3A4674A9F38C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 FOR GOLDEN ROSE 17688.45 PURCHASE WITHOUT MAKING , PURITY:- 0.995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tc={9B771600-A1AB-4154-B9BC-5BD8B4F88D69}</author>
    <author>tc={E0CDFB78-88AF-4248-971A-63F9631042D2}</author>
    <author>tc={51089556-B449-40A3-B0FA-813CF12550B0}</author>
    <author>tc={35BDBA22-2F88-4BA2-8B5B-6A6B994E576F}</author>
    <author>tc={B6CA5B3F-B0B9-45E3-9D69-ED3B7E14063A}</author>
    <author>tc={52B55199-DE59-43A0-8410-BF22C0131DF5}</author>
    <author>tc={5BCC9988-D762-436F-B80B-39A94E3FC768}</author>
    <author>tc={8831AC66-C405-4430-8B38-8F5F5D7FE0C4}</author>
    <author>tc={1F029935-D033-49FC-8AA0-A8FB63609CCA}</author>
    <author>tc={1ABCD880-865A-437F-A69E-750E3FD51EA2}</author>
    <author>tc={26BB085C-98AE-4B2D-8A5A-01D39DE76500}</author>
    <author>tc={7B7C7C0D-89D3-4198-9891-E408C4B1B156}</author>
    <author>tc={F0938321-31B0-4983-9F10-D2DBB49FAFF9}</author>
    <author>tc={09120455-D705-4495-BE76-9541DEA2D72A}</author>
    <author>tc={40CC4449-D747-45B8-AB5B-44F958AE19E1}</author>
    <author>tc={09FADD6B-8551-4631-BC2E-66E35C7C9A08}</author>
    <author>tc={26BC949E-3E0D-4456-A7E7-718B371D2B80}</author>
    <author>tc={7896C3FA-E386-4754-839E-90645553016F}</author>
    <author>tc={6419FA63-82CA-4C0F-A592-81FCFDA72CBA}</author>
    <author>tc={959EF92F-D1E2-4BD9-9876-71C880C590F8}</author>
    <author>tc={E2813EF4-656B-440A-816D-32D5D801A7EE}</author>
    <author>tc={B4121D0C-7F57-4AE9-A53E-B6AB4FE1662E}</author>
    <author>tc={1883C904-7274-456C-9956-588F8B4BCD5B}</author>
    <author>tc={D3B45BED-7A6A-4BDA-8D54-E61305965CA5}</author>
    <author>tc={2B38CBA7-61D8-4519-8E55-62B85147FC6F}</author>
    <author>tc={FE4ABA40-82DD-4C3A-9174-E79D2068129D}</author>
    <author>tc={0F6B429D-4E0B-4A3C-B5BE-328EE708E035}</author>
    <author>tc={A2101626-3A28-47DD-B32F-25327C537A74}</author>
    <author>tc={426CF72A-4A2F-46A6-8915-69323170A8FD}</author>
    <author>tc={40227DDD-574F-483B-820F-D0F7C002DD3C}</author>
    <author>tc={DE3C80E4-E2DE-4AFA-81D1-7BB5932B794E}</author>
    <author>tc={FE5F5CA5-726A-4C8A-AFE6-F8467579EDF5}</author>
    <author>tc={E3C558E4-06D8-4D16-92CD-D911DBA2D95F}</author>
    <author>tc={A8ADCB7D-4819-4E51-A7F0-2AC9064D7B47}</author>
    <author>tc={998B1A11-76C8-444C-939D-0EF9936F1930}</author>
    <author>tc={8792FC39-BC4C-47AC-9594-5797E9D905A3}</author>
    <author>tc={1465A5A0-E4F5-4980-97B5-1F7AD42FE1B3}</author>
    <author>tc={67FF8E17-AD89-4486-A1C5-904519251A20}</author>
    <author>tc={A0FA2B41-DEC9-48A1-87A2-B4D4EA34137B}</author>
    <author>tc={19A06BBE-43B8-4D83-B7F3-3B2AFF5EFA22}</author>
    <author>tc={ABB23582-C667-4AA3-8D20-BB01758D67DE}</author>
    <author>tc={01A52E8A-A145-4E3C-8D53-835F57D511B6}</author>
    <author>tc={70BBD1FC-9D4F-4DB7-A4AC-317F9F781AB9}</author>
    <author>tc={0DD7C1F6-30D7-49F8-9E1E-E5E942CB3354}</author>
    <author>tc={41B70BB8-F06F-4A78-A468-F6F78A487849}</author>
    <author>tc={B827C2E6-F70F-49D2-AFB5-9F4C683774FC}</author>
    <author>tc={4C24B609-7C4D-4EE0-AFCD-719DF2FC78B9}</author>
    <author>tc={D76F924E-3CD3-47B9-AB61-954E5BC87B98}</author>
    <author>tc={103A1674-F174-46E7-8431-6C26EDD7CB52}</author>
    <author>tc={44F6AFD7-6B2E-41F5-88A2-3CFD81CA122C}</author>
    <author>tc={9A58E3CA-B9A2-45E3-9034-9B8CC99FD024}</author>
    <author>tc={B7ADBD58-5C95-4C96-ADAF-448937948793}</author>
    <author>tc={7C852C0A-A199-4D93-AE6E-1F66CDC38CD0}</author>
    <author>tc={5F12FEAC-93D7-468E-B922-17AD46C24F4D}</author>
    <author>tc={098BB053-E6EF-4C80-AD6C-55FF3EBA5482}</author>
    <author>tc={FBBE1288-CB94-42A2-A243-A60CB8B9AA05}</author>
    <author>tc={689AA6CA-D38E-4E6B-ABEA-49458C32D99B}</author>
    <author>tc={E0777E12-51EC-41BC-BDD1-49B7AAC9E665}</author>
    <author>tc={E059FF80-FDEF-4E0F-AE14-F7AF0F1E62D2}</author>
    <author>tc={C06200EB-BA9B-49CA-B26B-CEE7458DB8D9}</author>
    <author>tc={878748DB-DBF4-4061-A6EF-CA6925250B2F}</author>
    <author>tc={52F771C5-73B2-4A90-AE4F-284FCD861DA2}</author>
    <author>tc={35432458-09D5-416C-9870-DBE8E5D344C4}</author>
  </authors>
  <commentList>
    <comment ref="G3" authorId="0" shapeId="0" xr:uid="{9B771600-A1AB-4154-B9BC-5BD8B4F88D69}">
      <text>
        <t>[Threaded comment]
Your version of Excel allows you to read this threaded comment; however, any edits to it will get removed if the file is opened in a newer version of Excel. Learn more: https://go.microsoft.com/fwlink/?linkid=870924
Comment:
    +0.06</t>
      </text>
    </comment>
    <comment ref="G11" authorId="1" shapeId="0" xr:uid="{E0CDFB78-88AF-4248-971A-63F9631042D2}">
      <text>
        <t>[Threaded comment]
Your version of Excel allows you to read this threaded comment; however, any edits to it will get removed if the file is opened in a newer version of Excel. Learn more: https://go.microsoft.com/fwlink/?linkid=870924
Comment:
    +0.2</t>
      </text>
    </comment>
    <comment ref="G40" authorId="2" shapeId="0" xr:uid="{51089556-B449-40A3-B0FA-813CF12550B0}">
      <text>
        <t>[Threaded comment]
Your version of Excel allows you to read this threaded comment; however, any edits to it will get removed if the file is opened in a newer version of Excel. Learn more: https://go.microsoft.com/fwlink/?linkid=870924
Comment:
    +0.07</t>
      </text>
    </comment>
    <comment ref="G42" authorId="3" shapeId="0" xr:uid="{35BDBA22-2F88-4BA2-8B5B-6A6B994E576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+0.11
</t>
      </text>
    </comment>
    <comment ref="G56" authorId="4" shapeId="0" xr:uid="{B6CA5B3F-B0B9-45E3-9D69-ED3B7E14063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-0.05
</t>
      </text>
    </comment>
    <comment ref="G71" authorId="5" shapeId="0" xr:uid="{52B55199-DE59-43A0-8410-BF22C0131DF5}">
      <text>
        <t>[Threaded comment]
Your version of Excel allows you to read this threaded comment; however, any edits to it will get removed if the file is opened in a newer version of Excel. Learn more: https://go.microsoft.com/fwlink/?linkid=870924
Comment:
    -0.30</t>
      </text>
    </comment>
    <comment ref="G80" authorId="6" shapeId="0" xr:uid="{5BCC9988-D762-436F-B80B-39A94E3FC76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+0.05
</t>
      </text>
    </comment>
    <comment ref="G85" authorId="7" shapeId="0" xr:uid="{8831AC66-C405-4430-8B38-8F5F5D7FE0C4}">
      <text>
        <t>[Threaded comment]
Your version of Excel allows you to read this threaded comment; however, any edits to it will get removed if the file is opened in a newer version of Excel. Learn more: https://go.microsoft.com/fwlink/?linkid=870924
Comment:
    +0.25</t>
      </text>
    </comment>
    <comment ref="G87" authorId="8" shapeId="0" xr:uid="{1F029935-D033-49FC-8AA0-A8FB63609CCA}">
      <text>
        <t>[Threaded comment]
Your version of Excel allows you to read this threaded comment; however, any edits to it will get removed if the file is opened in a newer version of Excel. Learn more: https://go.microsoft.com/fwlink/?linkid=870924
Comment:
    +0.10</t>
      </text>
    </comment>
    <comment ref="G102" authorId="9" shapeId="0" xr:uid="{1ABCD880-865A-437F-A69E-750E3FD51EA2}">
      <text>
        <t>[Threaded comment]
Your version of Excel allows you to read this threaded comment; however, any edits to it will get removed if the file is opened in a newer version of Excel. Learn more: https://go.microsoft.com/fwlink/?linkid=870924
Comment:
    +0.60</t>
      </text>
    </comment>
    <comment ref="G106" authorId="10" shapeId="0" xr:uid="{26BB085C-98AE-4B2D-8A5A-01D39DE765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-0.05
</t>
      </text>
    </comment>
    <comment ref="G107" authorId="11" shapeId="0" xr:uid="{7B7C7C0D-89D3-4198-9891-E408C4B1B156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-0.03</t>
      </text>
    </comment>
    <comment ref="G110" authorId="12" shapeId="0" xr:uid="{F0938321-31B0-4983-9F10-D2DBB49FAFF9}">
      <text>
        <t>[Threaded comment]
Your version of Excel allows you to read this threaded comment; however, any edits to it will get removed if the file is opened in a newer version of Excel. Learn more: https://go.microsoft.com/fwlink/?linkid=870924
Comment:
    +0.12</t>
      </text>
    </comment>
    <comment ref="G166" authorId="13" shapeId="0" xr:uid="{09120455-D705-4495-BE76-9541DEA2D72A}">
      <text>
        <t>[Threaded comment]
Your version of Excel allows you to read this threaded comment; however, any edits to it will get removed if the file is opened in a newer version of Excel. Learn more: https://go.microsoft.com/fwlink/?linkid=870924
Comment:
    -0.11</t>
      </text>
    </comment>
    <comment ref="G195" authorId="14" shapeId="0" xr:uid="{40CC4449-D747-45B8-AB5B-44F958AE19E1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-0.01</t>
      </text>
    </comment>
    <comment ref="G196" authorId="15" shapeId="0" xr:uid="{09FADD6B-8551-4631-BC2E-66E35C7C9A08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-0.05</t>
      </text>
    </comment>
    <comment ref="G222" authorId="16" shapeId="0" xr:uid="{26BC949E-3E0D-4456-A7E7-718B371D2B8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-0.30
</t>
      </text>
    </comment>
    <comment ref="G256" authorId="17" shapeId="0" xr:uid="{7896C3FA-E386-4754-839E-90645553016F}">
      <text>
        <t>[Threaded comment]
Your version of Excel allows you to read this threaded comment; however, any edits to it will get removed if the file is opened in a newer version of Excel. Learn more: https://go.microsoft.com/fwlink/?linkid=870924
Comment:
    0.25</t>
      </text>
    </comment>
    <comment ref="G257" authorId="18" shapeId="0" xr:uid="{6419FA63-82CA-4C0F-A592-81FCFDA72CBA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-0.01</t>
      </text>
    </comment>
    <comment ref="G265" authorId="19" shapeId="0" xr:uid="{959EF92F-D1E2-4BD9-9876-71C880C590F8}">
      <text>
        <t>[Threaded comment]
Your version of Excel allows you to read this threaded comment; however, any edits to it will get removed if the file is opened in a newer version of Excel. Learn more: https://go.microsoft.com/fwlink/?linkid=870924
Comment:
    -0.50</t>
      </text>
    </comment>
    <comment ref="G266" authorId="20" shapeId="0" xr:uid="{E2813EF4-656B-440A-816D-32D5D801A7EE}">
      <text>
        <t>[Threaded comment]
Your version of Excel allows you to read this threaded comment; however, any edits to it will get removed if the file is opened in a newer version of Excel. Learn more: https://go.microsoft.com/fwlink/?linkid=870924
Comment:
    0.03</t>
      </text>
    </comment>
    <comment ref="B282" authorId="21" shapeId="0" xr:uid="{B4121D0C-7F57-4AE9-A53E-B6AB4FE1662E}">
      <text>
        <t>[Threaded comment]
Your version of Excel allows you to read this threaded comment; however, any edits to it will get removed if the file is opened in a newer version of Excel. Learn more: https://go.microsoft.com/fwlink/?linkid=870924
Comment:
    PDC CHQ</t>
      </text>
    </comment>
    <comment ref="B283" authorId="22" shapeId="0" xr:uid="{1883C904-7274-456C-9956-588F8B4BCD5B}">
      <text>
        <t>[Threaded comment]
Your version of Excel allows you to read this threaded comment; however, any edits to it will get removed if the file is opened in a newer version of Excel. Learn more: https://go.microsoft.com/fwlink/?linkid=870924
Comment:
    PDC CHQ</t>
      </text>
    </comment>
    <comment ref="B284" authorId="23" shapeId="0" xr:uid="{D3B45BED-7A6A-4BDA-8D54-E61305965CA5}">
      <text>
        <t>[Threaded comment]
Your version of Excel allows you to read this threaded comment; however, any edits to it will get removed if the file is opened in a newer version of Excel. Learn more: https://go.microsoft.com/fwlink/?linkid=870924
Comment:
    PDC CHQ</t>
      </text>
    </comment>
    <comment ref="G295" authorId="24" shapeId="0" xr:uid="{2B38CBA7-61D8-4519-8E55-62B85147FC6F}">
      <text>
        <t>[Threaded comment]
Your version of Excel allows you to read this threaded comment; however, any edits to it will get removed if the file is opened in a newer version of Excel. Learn more: https://go.microsoft.com/fwlink/?linkid=870924
Comment:
    -0.5</t>
      </text>
    </comment>
    <comment ref="B301" authorId="25" shapeId="0" xr:uid="{FE4ABA40-82DD-4C3A-9174-E79D2068129D}">
      <text>
        <t>[Threaded comment]
Your version of Excel allows you to read this threaded comment; however, any edits to it will get removed if the file is opened in a newer version of Excel. Learn more: https://go.microsoft.com/fwlink/?linkid=870924
Comment:
    PDC CHQ</t>
      </text>
    </comment>
    <comment ref="B302" authorId="26" shapeId="0" xr:uid="{0F6B429D-4E0B-4A3C-B5BE-328EE708E035}">
      <text>
        <t>[Threaded comment]
Your version of Excel allows you to read this threaded comment; however, any edits to it will get removed if the file is opened in a newer version of Excel. Learn more: https://go.microsoft.com/fwlink/?linkid=870924
Comment:
    PDC CHQ</t>
      </text>
    </comment>
    <comment ref="B303" authorId="27" shapeId="0" xr:uid="{A2101626-3A28-47DD-B32F-25327C537A74}">
      <text>
        <t>[Threaded comment]
Your version of Excel allows you to read this threaded comment; however, any edits to it will get removed if the file is opened in a newer version of Excel. Learn more: https://go.microsoft.com/fwlink/?linkid=870924
Comment:
    PDC CHQ</t>
      </text>
    </comment>
    <comment ref="G306" authorId="28" shapeId="0" xr:uid="{426CF72A-4A2F-46A6-8915-69323170A8FD}">
      <text>
        <t>[Threaded comment]
Your version of Excel allows you to read this threaded comment; however, any edits to it will get removed if the file is opened in a newer version of Excel. Learn more: https://go.microsoft.com/fwlink/?linkid=870924
Comment:
    -0.17</t>
      </text>
    </comment>
    <comment ref="G307" authorId="29" shapeId="0" xr:uid="{40227DDD-574F-483B-820F-D0F7C002DD3C}">
      <text>
        <t>[Threaded comment]
Your version of Excel allows you to read this threaded comment; however, any edits to it will get removed if the file is opened in a newer version of Excel. Learn more: https://go.microsoft.com/fwlink/?linkid=870924
Comment:
    -0.17</t>
      </text>
    </comment>
    <comment ref="G309" authorId="30" shapeId="0" xr:uid="{DE3C80E4-E2DE-4AFA-81D1-7BB5932B79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-0.30
</t>
      </text>
    </comment>
    <comment ref="G331" authorId="31" shapeId="0" xr:uid="{FE5F5CA5-726A-4C8A-AFE6-F8467579EDF5}">
      <text>
        <t>[Threaded comment]
Your version of Excel allows you to read this threaded comment; however, any edits to it will get removed if the file is opened in a newer version of Excel. Learn more: https://go.microsoft.com/fwlink/?linkid=870924
Comment:
    -0.85</t>
      </text>
    </comment>
    <comment ref="G332" authorId="32" shapeId="0" xr:uid="{E3C558E4-06D8-4D16-92CD-D911DBA2D95F}">
      <text>
        <t>[Threaded comment]
Your version of Excel allows you to read this threaded comment; however, any edits to it will get removed if the file is opened in a newer version of Excel. Learn more: https://go.microsoft.com/fwlink/?linkid=870924
Comment:
    -0.75</t>
      </text>
    </comment>
    <comment ref="G334" authorId="33" shapeId="0" xr:uid="{A8ADCB7D-4819-4E51-A7F0-2AC9064D7B47}">
      <text>
        <t>[Threaded comment]
Your version of Excel allows you to read this threaded comment; however, any edits to it will get removed if the file is opened in a newer version of Excel. Learn more: https://go.microsoft.com/fwlink/?linkid=870924
Comment:
    -0.22</t>
      </text>
    </comment>
    <comment ref="G346" authorId="34" shapeId="0" xr:uid="{998B1A11-76C8-444C-939D-0EF9936F1930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-0.01</t>
      </text>
    </comment>
    <comment ref="G357" authorId="35" shapeId="0" xr:uid="{8792FC39-BC4C-47AC-9594-5797E9D905A3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-0.01</t>
      </text>
    </comment>
    <comment ref="G379" authorId="36" shapeId="0" xr:uid="{1465A5A0-E4F5-4980-97B5-1F7AD42FE1B3}">
      <text>
        <t>[Threaded comment]
Your version of Excel allows you to read this threaded comment; however, any edits to it will get removed if the file is opened in a newer version of Excel. Learn more: https://go.microsoft.com/fwlink/?linkid=870924
Comment:
    -0.61</t>
      </text>
    </comment>
    <comment ref="G389" authorId="37" shapeId="0" xr:uid="{67FF8E17-AD89-4486-A1C5-904519251A20}">
      <text>
        <t>[Threaded comment]
Your version of Excel allows you to read this threaded comment; however, any edits to it will get removed if the file is opened in a newer version of Excel. Learn more: https://go.microsoft.com/fwlink/?linkid=870924
Comment:
    +0.03</t>
      </text>
    </comment>
    <comment ref="G391" authorId="38" shapeId="0" xr:uid="{A0FA2B41-DEC9-48A1-87A2-B4D4EA34137B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-0.01</t>
      </text>
    </comment>
    <comment ref="G392" authorId="39" shapeId="0" xr:uid="{19A06BBE-43B8-4D83-B7F3-3B2AFF5EFA22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-0.01</t>
      </text>
    </comment>
    <comment ref="G428" authorId="40" shapeId="0" xr:uid="{ABB23582-C667-4AA3-8D20-BB01758D67DE}">
      <text>
        <t>[Threaded comment]
Your version of Excel allows you to read this threaded comment; however, any edits to it will get removed if the file is opened in a newer version of Excel. Learn more: https://go.microsoft.com/fwlink/?linkid=870924
Comment:
    +0.02</t>
      </text>
    </comment>
    <comment ref="G435" authorId="41" shapeId="0" xr:uid="{01A52E8A-A145-4E3C-8D53-835F57D511B6}">
      <text>
        <t>[Threaded comment]
Your version of Excel allows you to read this threaded comment; however, any edits to it will get removed if the file is opened in a newer version of Excel. Learn more: https://go.microsoft.com/fwlink/?linkid=870924
Comment:
    +0.23</t>
      </text>
    </comment>
    <comment ref="G490" authorId="42" shapeId="0" xr:uid="{70BBD1FC-9D4F-4DB7-A4AC-317F9F781AB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1.1
</t>
      </text>
    </comment>
    <comment ref="G496" authorId="43" shapeId="0" xr:uid="{0DD7C1F6-30D7-49F8-9E1E-E5E942CB3354}">
      <text>
        <t>[Threaded comment]
Your version of Excel allows you to read this threaded comment; however, any edits to it will get removed if the file is opened in a newer version of Excel. Learn more: https://go.microsoft.com/fwlink/?linkid=870924
Comment:
    1.2</t>
      </text>
    </comment>
    <comment ref="G499" authorId="44" shapeId="0" xr:uid="{41B70BB8-F06F-4A78-A468-F6F78A487849}">
      <text>
        <t>[Threaded comment]
Your version of Excel allows you to read this threaded comment; however, any edits to it will get removed if the file is opened in a newer version of Excel. Learn more: https://go.microsoft.com/fwlink/?linkid=870924
Comment:
    1.2</t>
      </text>
    </comment>
    <comment ref="G501" authorId="45" shapeId="0" xr:uid="{B827C2E6-F70F-49D2-AFB5-9F4C683774FC}">
      <text>
        <t>[Threaded comment]
Your version of Excel allows you to read this threaded comment; however, any edits to it will get removed if the file is opened in a newer version of Excel. Learn more: https://go.microsoft.com/fwlink/?linkid=870924
Comment:
    -1</t>
      </text>
    </comment>
    <comment ref="G503" authorId="46" shapeId="0" xr:uid="{4C24B609-7C4D-4EE0-AFCD-719DF2FC78B9}">
      <text>
        <t>[Threaded comment]
Your version of Excel allows you to read this threaded comment; however, any edits to it will get removed if the file is opened in a newer version of Excel. Learn more: https://go.microsoft.com/fwlink/?linkid=870924
Comment:
    -60</t>
      </text>
    </comment>
    <comment ref="G513" authorId="47" shapeId="0" xr:uid="{D76F924E-3CD3-47B9-AB61-954E5BC87B98}">
      <text>
        <t>[Threaded comment]
Your version of Excel allows you to read this threaded comment; however, any edits to it will get removed if the file is opened in a newer version of Excel. Learn more: https://go.microsoft.com/fwlink/?linkid=870924
Comment:
    -0.27</t>
      </text>
    </comment>
    <comment ref="G532" authorId="48" shapeId="0" xr:uid="{103A1674-F174-46E7-8431-6C26EDD7CB52}">
      <text>
        <t>[Threaded comment]
Your version of Excel allows you to read this threaded comment; however, any edits to it will get removed if the file is opened in a newer version of Excel. Learn more: https://go.microsoft.com/fwlink/?linkid=870924
Comment:
    -0.30</t>
      </text>
    </comment>
    <comment ref="N543" authorId="49" shapeId="0" xr:uid="{44F6AFD7-6B2E-41F5-88A2-3CFD81CA122C}">
      <text>
        <t>[Threaded comment]
Your version of Excel allows you to read this threaded comment; however, any edits to it will get removed if the file is opened in a newer version of Excel. Learn more: https://go.microsoft.com/fwlink/?linkid=870924
Comment:
    100 EXTRA PAID</t>
      </text>
    </comment>
    <comment ref="G560" authorId="50" shapeId="0" xr:uid="{9A58E3CA-B9A2-45E3-9034-9B8CC99FD024}">
      <text>
        <t>[Threaded comment]
Your version of Excel allows you to read this threaded comment; however, any edits to it will get removed if the file is opened in a newer version of Excel. Learn more: https://go.microsoft.com/fwlink/?linkid=870924
Comment:
    -3.85</t>
      </text>
    </comment>
    <comment ref="G563" authorId="51" shapeId="0" xr:uid="{B7ADBD58-5C95-4C96-ADAF-448937948793}">
      <text>
        <t>[Threaded comment]
Your version of Excel allows you to read this threaded comment; however, any edits to it will get removed if the file is opened in a newer version of Excel. Learn more: https://go.microsoft.com/fwlink/?linkid=870924
Comment:
    -0.5</t>
      </text>
    </comment>
    <comment ref="G567" authorId="52" shapeId="0" xr:uid="{7C852C0A-A199-4D93-AE6E-1F66CDC38CD0}">
      <text>
        <t>[Threaded comment]
Your version of Excel allows you to read this threaded comment; however, any edits to it will get removed if the file is opened in a newer version of Excel. Learn more: https://go.microsoft.com/fwlink/?linkid=870924
Comment:
    +0.5</t>
      </text>
    </comment>
    <comment ref="G581" authorId="53" shapeId="0" xr:uid="{5F12FEAC-93D7-468E-B922-17AD46C24F4D}">
      <text>
        <t>[Threaded comment]
Your version of Excel allows you to read this threaded comment; however, any edits to it will get removed if the file is opened in a newer version of Excel. Learn more: https://go.microsoft.com/fwlink/?linkid=870924
Comment:
    -0.25</t>
      </text>
    </comment>
    <comment ref="G589" authorId="54" shapeId="0" xr:uid="{098BB053-E6EF-4C80-AD6C-55FF3EBA5482}">
      <text>
        <t>[Threaded comment]
Your version of Excel allows you to read this threaded comment; however, any edits to it will get removed if the file is opened in a newer version of Excel. Learn more: https://go.microsoft.com/fwlink/?linkid=870924
Comment:
    -2</t>
      </text>
    </comment>
    <comment ref="G591" authorId="55" shapeId="0" xr:uid="{FBBE1288-CB94-42A2-A243-A60CB8B9AA05}">
      <text>
        <t>[Threaded comment]
Your version of Excel allows you to read this threaded comment; however, any edits to it will get removed if the file is opened in a newer version of Excel. Learn more: https://go.microsoft.com/fwlink/?linkid=870924
Comment:
    -0.20</t>
      </text>
    </comment>
    <comment ref="G597" authorId="56" shapeId="0" xr:uid="{689AA6CA-D38E-4E6B-ABEA-49458C32D99B}">
      <text>
        <t>[Threaded comment]
Your version of Excel allows you to read this threaded comment; however, any edits to it will get removed if the file is opened in a newer version of Excel. Learn more: https://go.microsoft.com/fwlink/?linkid=870924
Comment:
    -0.75</t>
      </text>
    </comment>
    <comment ref="G598" authorId="57" shapeId="0" xr:uid="{E0777E12-51EC-41BC-BDD1-49B7AAC9E665}">
      <text>
        <t>[Threaded comment]
Your version of Excel allows you to read this threaded comment; however, any edits to it will get removed if the file is opened in a newer version of Excel. Learn more: https://go.microsoft.com/fwlink/?linkid=870924
Comment:
    +0.04</t>
      </text>
    </comment>
    <comment ref="G617" authorId="58" shapeId="0" xr:uid="{E059FF80-FDEF-4E0F-AE14-F7AF0F1E62D2}">
      <text>
        <t>[Threaded comment]
Your version of Excel allows you to read this threaded comment; however, any edits to it will get removed if the file is opened in a newer version of Excel. Learn more: https://go.microsoft.com/fwlink/?linkid=870924
Comment:
    -0.06</t>
      </text>
    </comment>
    <comment ref="G618" authorId="59" shapeId="0" xr:uid="{C06200EB-BA9B-49CA-B26B-CEE7458DB8D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-0.10
</t>
      </text>
    </comment>
    <comment ref="G620" authorId="60" shapeId="0" xr:uid="{878748DB-DBF4-4061-A6EF-CA6925250B2F}">
      <text>
        <t>[Threaded comment]
Your version of Excel allows you to read this threaded comment; however, any edits to it will get removed if the file is opened in a newer version of Excel. Learn more: https://go.microsoft.com/fwlink/?linkid=870924
Comment:
    +0.25</t>
      </text>
    </comment>
    <comment ref="G630" authorId="61" shapeId="0" xr:uid="{52F771C5-73B2-4A90-AE4F-284FCD861DA2}">
      <text>
        <t>[Threaded comment]
Your version of Excel allows you to read this threaded comment; however, any edits to it will get removed if the file is opened in a newer version of Excel. Learn more: https://go.microsoft.com/fwlink/?linkid=870924
Comment:
    +0.5</t>
      </text>
    </comment>
    <comment ref="E759" authorId="62" shapeId="0" xr:uid="{35432458-09D5-416C-9870-DBE8E5D344C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3757.14- THIS AMOUNT PAID BY FAZEL BHAI, BECAUSE THIS IS HIS PERSONAL FACTORY CONSUMABLE ITEM, WHICH HE BOUGHT TO SEND TO AFGHANISTAN 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<sst xmlns="http://schemas.openxmlformats.org/spreadsheetml/2006/main" count="5818" uniqueCount="1094">
  <si>
    <t>Date</t>
  </si>
  <si>
    <t>Category</t>
  </si>
  <si>
    <t>Customer Name</t>
  </si>
  <si>
    <t>Gross W/T</t>
  </si>
  <si>
    <t>Purity</t>
  </si>
  <si>
    <t>Pure W/T</t>
  </si>
  <si>
    <t>MC Rate</t>
  </si>
  <si>
    <t>Making Amt</t>
  </si>
  <si>
    <t>S.Gross W/T</t>
  </si>
  <si>
    <t>S.R. Gross W/T</t>
  </si>
  <si>
    <t>S.Pure Gross W/T</t>
  </si>
  <si>
    <t>S.R. Pure Gross W/T</t>
  </si>
  <si>
    <t>S.Making Amt Inc Tax</t>
  </si>
  <si>
    <t>S.R.Making Amt Inc Tax</t>
  </si>
  <si>
    <t>Purch.Gross W/T</t>
  </si>
  <si>
    <t>M.P.Gross W/T</t>
  </si>
  <si>
    <t>Pure Purch. Gross W/T</t>
  </si>
  <si>
    <t>M.P. Pure Gross W/T</t>
  </si>
  <si>
    <t>P.Making Amt Inc Tax</t>
  </si>
  <si>
    <t>M.P. Making Amt</t>
  </si>
  <si>
    <t>MAKING CASH RCVD</t>
  </si>
  <si>
    <t>MAKING CHQ RCVD</t>
  </si>
  <si>
    <t>PUR. MAK. CASH PMT</t>
  </si>
  <si>
    <t>PUR MAK CHQ PMT</t>
  </si>
  <si>
    <t>Old Balance Debit Or Credit</t>
  </si>
  <si>
    <t>Old Gold Debit Or Credit</t>
  </si>
  <si>
    <t>S.Making Amt</t>
  </si>
  <si>
    <t>S.R.Making Amt</t>
  </si>
  <si>
    <t>Pure.Purch Gross W/T</t>
  </si>
  <si>
    <t>P.Making Amt</t>
  </si>
  <si>
    <t>DATE</t>
  </si>
  <si>
    <t>PMT METHOD</t>
  </si>
  <si>
    <t>CATEGORY</t>
  </si>
  <si>
    <t>EXPENSES -- ADVANCE-- OTHER INCOME</t>
  </si>
  <si>
    <t>EXPENSES WITHOUT TAX (BILL)</t>
  </si>
  <si>
    <t>5% TAX ON EXP (BILL)</t>
  </si>
  <si>
    <t>EXPE WITH TAX (BILL)</t>
  </si>
  <si>
    <t>ADVANCE (BILL)</t>
  </si>
  <si>
    <t>OTHER INCOME (BILL)</t>
  </si>
  <si>
    <t>PERSONAL EX (BILL)</t>
  </si>
  <si>
    <t>EXP - MACHINERY WITHOUT TAX (BILL)</t>
  </si>
  <si>
    <t>5% TAX ON MACH (BILL)</t>
  </si>
  <si>
    <t>EXP - MACHINERY WITH TAX(BILL)</t>
  </si>
  <si>
    <t>EXPENSES (W/B)</t>
  </si>
  <si>
    <t>ADVANCE (W/B)</t>
  </si>
  <si>
    <t>OTHER INCOME (W/B)</t>
  </si>
  <si>
    <t>PER EX(W/B)</t>
  </si>
  <si>
    <t>EXP - MACHI (W/B)</t>
  </si>
  <si>
    <t>CASH ON HAND</t>
  </si>
  <si>
    <t>FACTORY CONSUMABLES</t>
  </si>
  <si>
    <t>GOLD MAKING PURCHASE</t>
  </si>
  <si>
    <t>METAL TESTING CHARGES</t>
  </si>
  <si>
    <t>GOLDEN ROSE</t>
  </si>
  <si>
    <t>BANK CHARGES</t>
  </si>
  <si>
    <t>CHEQUE</t>
  </si>
  <si>
    <t>VISA EXPS</t>
  </si>
  <si>
    <t>VISA RELATED EXPENSES</t>
  </si>
  <si>
    <t>AMC FIRE ALARAM SYSTEM</t>
  </si>
  <si>
    <t>COMPUTER REPAIR &amp; MAINT</t>
  </si>
  <si>
    <t>DEWA &amp; EMPOWER EXP ALKHIAL</t>
  </si>
  <si>
    <t>DUBAI CIVIL DEFENCE</t>
  </si>
  <si>
    <t>JAFZA PORTAL D.</t>
  </si>
  <si>
    <t xml:space="preserve">EMIRATES ID APPLICATION </t>
  </si>
  <si>
    <t>GAS BILL FOR FACTORY</t>
  </si>
  <si>
    <t>PETROL TOYOTA COROLLA</t>
  </si>
  <si>
    <t>JAMAL TRAVELS</t>
  </si>
  <si>
    <t>HOSPITAL &amp; MEDICAL EXP'S</t>
  </si>
  <si>
    <t>CAR PARKING</t>
  </si>
  <si>
    <t>STATIONERY EXPENSES</t>
  </si>
  <si>
    <t>MISC EXPENSES</t>
  </si>
  <si>
    <t>TEA &amp; FOOD EXPENSES</t>
  </si>
  <si>
    <t>VEHICLE REPAIR &amp; MAINT</t>
  </si>
  <si>
    <t>HEDGING ACCOUNT</t>
  </si>
  <si>
    <t>STAFF WELFARE EXPENSES</t>
  </si>
  <si>
    <t>MOBILE,TEL &amp; WIFI EXPENSES</t>
  </si>
  <si>
    <t>AIR FLIGHT TRAVELLING EXPENSES</t>
  </si>
  <si>
    <t>LOCAL TRAVILING EXPENSES</t>
  </si>
  <si>
    <t>ELECTRICITY BILL FACTORY</t>
  </si>
  <si>
    <t>FACTORY EXPENSES</t>
  </si>
  <si>
    <t>FACTORY EQUIPMENT</t>
  </si>
  <si>
    <t>MACHINERY &amp; REPAIR MAINTAINCE</t>
  </si>
  <si>
    <t>SALIK RECHARGE FOR CAR</t>
  </si>
  <si>
    <t>SERVICE CHARGES</t>
  </si>
  <si>
    <t>WATER CHARGES</t>
  </si>
  <si>
    <t>COURIER CHARGE</t>
  </si>
  <si>
    <t>BASE RENT</t>
  </si>
  <si>
    <t>CHILER CHARGE</t>
  </si>
  <si>
    <t>EMAAR SERVICE CHARGES</t>
  </si>
  <si>
    <t>URD MACHINERY &amp; EQUIPMENT</t>
  </si>
  <si>
    <t>AMC FOR GAS</t>
  </si>
  <si>
    <t>PERSONAL EXP FAZEL BHAI</t>
  </si>
  <si>
    <t>SALARY PAYBLE</t>
  </si>
  <si>
    <t>ADVANCE TO WORKERS</t>
  </si>
  <si>
    <t>AL KHAREEF RESTAURANT</t>
  </si>
  <si>
    <t>GOLD MAKING PURCHASE PMT</t>
  </si>
  <si>
    <t>PERSONAL EXP ZAHEER BHAI</t>
  </si>
  <si>
    <t>PERSONAL EXP HEKMAT BHAI</t>
  </si>
  <si>
    <t>WAHID AHAMED SALARY</t>
  </si>
  <si>
    <t>ROOM RENT OF TWO ROOM</t>
  </si>
  <si>
    <t>VAT PAYABLE</t>
  </si>
  <si>
    <t>PROFESSIONAL FEES</t>
  </si>
  <si>
    <t>SCRAP INCOME</t>
  </si>
  <si>
    <t>SOFTWARE</t>
  </si>
  <si>
    <t>GODA GOLD JEWELLERY FZCO</t>
  </si>
  <si>
    <t>TOTAL SALES MAKING AMOUNT</t>
  </si>
  <si>
    <t>PROFIT &amp; LOSS (MOVEMENT)-BILL</t>
  </si>
  <si>
    <t>TOTAL SALES GROSS W/T</t>
  </si>
  <si>
    <t>TOTAL PURCHASE GROSS W/T</t>
  </si>
  <si>
    <t>GOLD BALANCE-</t>
  </si>
  <si>
    <t>TOTAL CASH EXPENSES</t>
  </si>
  <si>
    <t>OTHER CASH EXP INC TAX WITH B.</t>
  </si>
  <si>
    <t>TOTAL SALES PURE W/T</t>
  </si>
  <si>
    <t>TOTAL PURCHASE PURE W/T</t>
  </si>
  <si>
    <t xml:space="preserve">REVENUE </t>
  </si>
  <si>
    <t>STAFF EXPENSES</t>
  </si>
  <si>
    <t>OTHER CASH EXP EXC TAX WITH B.</t>
  </si>
  <si>
    <t>GOLD MAKING SALES</t>
  </si>
  <si>
    <t>AVERAGE GROSS SELL P/D</t>
  </si>
  <si>
    <t>OVER ALL MA. AMT PER GRAM</t>
  </si>
  <si>
    <t>COST OF SALES</t>
  </si>
  <si>
    <t>TELEPHONE EXPENSES</t>
  </si>
  <si>
    <t>ADVANCE</t>
  </si>
  <si>
    <t>SALARY EXPENSES INC MAY&amp;.JUNE</t>
  </si>
  <si>
    <t xml:space="preserve">                       DAILY SALES MAKING TARGET FOR LOSS COVER -</t>
  </si>
  <si>
    <t>TRAVEL</t>
  </si>
  <si>
    <t>DIRECT EXPENSES</t>
  </si>
  <si>
    <t xml:space="preserve">SALES MAKING AMOUNT </t>
  </si>
  <si>
    <t>PURCHASE MAKING AMT</t>
  </si>
  <si>
    <t>PERSONAL EXPENSES</t>
  </si>
  <si>
    <t>RICE EXP- KHAREEF RESTAU.</t>
  </si>
  <si>
    <t>TOTAL SALES MAKING AMT</t>
  </si>
  <si>
    <t>TOTAL PURCH. MAKING AMT</t>
  </si>
  <si>
    <t>GENERAL ADMIN. EX</t>
  </si>
  <si>
    <t>EXPENSES</t>
  </si>
  <si>
    <t>SALES RE. MAKING AMT</t>
  </si>
  <si>
    <t>METAL PMT MAKING AMT</t>
  </si>
  <si>
    <t>DEPOSITED IN RAK BANK</t>
  </si>
  <si>
    <t>MAKING CASH PAYMENT</t>
  </si>
  <si>
    <t>MACHINERY EXPENSES</t>
  </si>
  <si>
    <t>SALES MAKING AMOUNT W/B</t>
  </si>
  <si>
    <t>PURCHASE MAKING AMT W/B</t>
  </si>
  <si>
    <t>SALES RE. MAKING AMT W/B</t>
  </si>
  <si>
    <t>METAL PMT MAKING AMT W/B</t>
  </si>
  <si>
    <t xml:space="preserve"> </t>
  </si>
  <si>
    <t>SALARY EXPENSES INC MAY &amp; JUNE.</t>
  </si>
  <si>
    <t>EXT. CASH EXP-</t>
  </si>
  <si>
    <t xml:space="preserve">                    NET PROFIT =</t>
  </si>
  <si>
    <t>( REVENUE - TOTAL EXP)</t>
  </si>
  <si>
    <t>OVER ALL TOTAL EXPENSE INC ALL PAYMENT METHOD</t>
  </si>
  <si>
    <t>ALL EXP ACCOR TO SOFTW.</t>
  </si>
  <si>
    <t>OTHER EXPENSES</t>
  </si>
  <si>
    <t>CAMP RENT</t>
  </si>
  <si>
    <t>RENT 107B</t>
  </si>
  <si>
    <t>RENT 110B &amp; 111B</t>
  </si>
  <si>
    <t>RENT 114B &amp; 132C</t>
  </si>
  <si>
    <t>SILVER PURCHASE</t>
  </si>
  <si>
    <t>RENT NEW ROOM 603</t>
  </si>
  <si>
    <t>SALARY</t>
  </si>
  <si>
    <t xml:space="preserve">OTHER INCOME RCVD </t>
  </si>
  <si>
    <t xml:space="preserve">TOTAL EXPENSES AMT WITH BILL </t>
  </si>
  <si>
    <t xml:space="preserve">TOTAL EXPENSES AMT WITHOUT BILL </t>
  </si>
  <si>
    <t>EXPENSES DETAILS</t>
  </si>
  <si>
    <t>TOTAL EXPENSES AMT</t>
  </si>
  <si>
    <t>TOTAL OTHER INCOME</t>
  </si>
  <si>
    <t>CUSTOMER NAME</t>
  </si>
  <si>
    <t>GROSS W/T</t>
  </si>
  <si>
    <t>PURE W/T</t>
  </si>
  <si>
    <t>MAKING AMT</t>
  </si>
  <si>
    <t>PUR. MAK. CHQ PMT</t>
  </si>
  <si>
    <t>SALES</t>
  </si>
  <si>
    <t>PURCHASE</t>
  </si>
  <si>
    <t>RECEIPT</t>
  </si>
  <si>
    <t>NO TAX</t>
  </si>
  <si>
    <t>Column Labels</t>
  </si>
  <si>
    <t>Grand Total</t>
  </si>
  <si>
    <t>Row Labels</t>
  </si>
  <si>
    <t xml:space="preserve"> S.Gross W/T</t>
  </si>
  <si>
    <t xml:space="preserve"> S.Pure Gross W/T</t>
  </si>
  <si>
    <t xml:space="preserve"> S.Making Amt Inc Tax</t>
  </si>
  <si>
    <t xml:space="preserve"> Purch.Gross W/T</t>
  </si>
  <si>
    <t xml:space="preserve">  Pure Purch. Gross W/T</t>
  </si>
  <si>
    <t xml:space="preserve"> MAKING CASH RCVD</t>
  </si>
  <si>
    <t xml:space="preserve"> MAKING CHQ RCVD</t>
  </si>
  <si>
    <t xml:space="preserve"> PUR. MAK. CASH PMT</t>
  </si>
  <si>
    <t xml:space="preserve"> PUR MAK CHQ PMT</t>
  </si>
  <si>
    <t xml:space="preserve"> S.R. Gross W/T</t>
  </si>
  <si>
    <t xml:space="preserve"> S.R. Pure Gross W/T</t>
  </si>
  <si>
    <t xml:space="preserve"> S.R.Making Amt Inc Tax</t>
  </si>
  <si>
    <t xml:space="preserve"> M.P.Gross W/T</t>
  </si>
  <si>
    <t xml:space="preserve"> M.P. Pure Gross W/T</t>
  </si>
  <si>
    <t xml:space="preserve"> P.Making Amt Inc Tax</t>
  </si>
  <si>
    <t xml:space="preserve"> M.P. Making Amt</t>
  </si>
  <si>
    <t xml:space="preserve"> S.Making Amt</t>
  </si>
  <si>
    <t xml:space="preserve"> Pure.Purch Gross W/T</t>
  </si>
  <si>
    <t xml:space="preserve"> S.R.Making Amt</t>
  </si>
  <si>
    <t xml:space="preserve"> P.Making Amt</t>
  </si>
  <si>
    <t xml:space="preserve"> EXPENSES WITHOUT TAX (BILL)</t>
  </si>
  <si>
    <t xml:space="preserve"> ADVANCE (BILL)</t>
  </si>
  <si>
    <t xml:space="preserve"> PERSONAL EX (BILL)</t>
  </si>
  <si>
    <t xml:space="preserve"> EXP - MACHINERY WITHOUT TAX (BILL)</t>
  </si>
  <si>
    <t xml:space="preserve"> 5% TAX ON MACH (BILL)</t>
  </si>
  <si>
    <t xml:space="preserve"> EXP - MACHINERY WITH TAX(BILL)</t>
  </si>
  <si>
    <t xml:space="preserve"> EXPENSES (W/B)</t>
  </si>
  <si>
    <t xml:space="preserve"> ADVANCE (W/B)</t>
  </si>
  <si>
    <t xml:space="preserve"> OTHER INCOME (W/B)</t>
  </si>
  <si>
    <t xml:space="preserve"> PER EX(W/B)</t>
  </si>
  <si>
    <t xml:space="preserve"> EXP - MACHI (W/B)</t>
  </si>
  <si>
    <t>Total  EXPENSES WITHOUT TAX (BILL)</t>
  </si>
  <si>
    <t>Total  EXPENSES (W/B)</t>
  </si>
  <si>
    <t>METAL PAYMENT</t>
  </si>
  <si>
    <t xml:space="preserve">RECEIPT </t>
  </si>
  <si>
    <t>PAYMENT</t>
  </si>
  <si>
    <t>SALES RETURN</t>
  </si>
  <si>
    <t>GRAND TOTAL</t>
  </si>
  <si>
    <t>JAFZA PORTAL</t>
  </si>
  <si>
    <t>MUSTAFA BHAI PER.</t>
  </si>
  <si>
    <t>MACHINERY</t>
  </si>
  <si>
    <t>MEDICAL INSURANCE</t>
  </si>
  <si>
    <t>SUNDAY</t>
  </si>
  <si>
    <t>NO SALE NO PURCHASE</t>
  </si>
  <si>
    <t>RAK BANK</t>
  </si>
  <si>
    <t>WASTAGE SELLING INCOME</t>
  </si>
  <si>
    <t>JAFZA PORTAL DEPOSIT</t>
  </si>
  <si>
    <t>DEWA &amp; EMPOWER EXP ALKHIAL ROOM</t>
  </si>
  <si>
    <t>SERVICE CHARGE</t>
  </si>
  <si>
    <t>AIR FLIGHT TRAVLING EXPENSES</t>
  </si>
  <si>
    <t>EMIRATES ID APPLICATION</t>
  </si>
  <si>
    <t>RAJU GOLD STAR</t>
  </si>
  <si>
    <t>INDIA STAR JEWELLERY</t>
  </si>
  <si>
    <t>BHARAT JEWELLERY LLC</t>
  </si>
  <si>
    <t>HINDUSTAN JEWELLERY LLC</t>
  </si>
  <si>
    <t>BADSHAH JEWELLERY SHOP</t>
  </si>
  <si>
    <t>VISHAL JEWELLERY LLC</t>
  </si>
  <si>
    <t>DHANANJAY JEWELLERY L.L.C</t>
  </si>
  <si>
    <t>UMAR GOLD SHOP</t>
  </si>
  <si>
    <t>ABBAS GOLD CENTER LLC</t>
  </si>
  <si>
    <t>SUMIT GOLD HUB LLC</t>
  </si>
  <si>
    <t>GORAKHPUR GOLD SHOP</t>
  </si>
  <si>
    <t>RAM RAHEEM GOLD SHOP</t>
  </si>
  <si>
    <t>ASHA RAAM GOLD JEWELLERY SHOP</t>
  </si>
  <si>
    <t>BABA RAMDEV AYURVEDIC GOLD</t>
  </si>
  <si>
    <t>BAGPAT GOLD HUB</t>
  </si>
  <si>
    <t>SANT RAM PAL GOLD</t>
  </si>
  <si>
    <t>MODI JI GOLD WALE</t>
  </si>
  <si>
    <t>BULDOZER GOLD SHOP</t>
  </si>
  <si>
    <t>DHAMI GOLD SHOP</t>
  </si>
  <si>
    <t>RAHUL BABA GOLD HUB</t>
  </si>
  <si>
    <t>SONIYA JI GOLD HOUSE</t>
  </si>
  <si>
    <t>PANNE  LAL GOLD SHOP</t>
  </si>
  <si>
    <t>YOGI JI PURE GOLD SHOP</t>
  </si>
  <si>
    <t>OM NATH JEWELLERY LLC</t>
  </si>
  <si>
    <t>TINNU YADAV GOLD SHOP</t>
  </si>
  <si>
    <t>ALI ABBAS GOLD SHOP</t>
  </si>
  <si>
    <t>OSAMA BIN LADEN GOLD SHOP</t>
  </si>
  <si>
    <t>ABU BAKAR AL BAGDADI GOLD</t>
  </si>
  <si>
    <t>VIRAT BABA  CRICKET WALE</t>
  </si>
  <si>
    <t>ROHIT BABA CRICKET WALE</t>
  </si>
  <si>
    <t>SURYA BABA WORLD CUP WALE</t>
  </si>
  <si>
    <t>GOLDI BARAR</t>
  </si>
  <si>
    <t>MUNNA BAJRANGI</t>
  </si>
  <si>
    <t>OBD STUDIO</t>
  </si>
  <si>
    <t>BADRI BABA</t>
  </si>
  <si>
    <t>GAMLA BHANDAR</t>
  </si>
  <si>
    <t>NAMANO JI</t>
  </si>
  <si>
    <t>NAMAN JI</t>
  </si>
  <si>
    <t>MUMBAI GOLD</t>
  </si>
  <si>
    <t>RAM JI</t>
  </si>
  <si>
    <t>HMMAA DEVI</t>
  </si>
  <si>
    <t>MULLA JI GOLD</t>
  </si>
  <si>
    <t>OLD KUNFU</t>
  </si>
  <si>
    <t xml:space="preserve">KRISHNA JI </t>
  </si>
  <si>
    <t>TILUU BABA</t>
  </si>
  <si>
    <t>AYAPPA BAJRANGI BHAI</t>
  </si>
  <si>
    <t>NAMMO</t>
  </si>
  <si>
    <t>HIMNDA</t>
  </si>
  <si>
    <t>GILLU JI</t>
  </si>
  <si>
    <t>NEHRU LAL</t>
  </si>
  <si>
    <t>PAJI MOMO</t>
  </si>
  <si>
    <t>KHOJAN</t>
  </si>
  <si>
    <t>MULKA</t>
  </si>
  <si>
    <t>INTA KULE</t>
  </si>
  <si>
    <t>KABAB</t>
  </si>
  <si>
    <t>ASSI</t>
  </si>
  <si>
    <t>HULLA GOLD</t>
  </si>
  <si>
    <t>MARI GOLD</t>
  </si>
  <si>
    <t>XXX BHAI JV</t>
  </si>
  <si>
    <t>XXX TRAV. ADV.</t>
  </si>
  <si>
    <t>XMXX BHAI JV</t>
  </si>
  <si>
    <t xml:space="preserve">XXX BANK </t>
  </si>
  <si>
    <t>XXX RES.</t>
  </si>
  <si>
    <t>XXX PORTAL D.</t>
  </si>
  <si>
    <t>XMNXX BHAI JV</t>
  </si>
  <si>
    <t>MPXX ROSE</t>
  </si>
  <si>
    <t>(blank)</t>
  </si>
  <si>
    <t>Sum of 5% TAX ON EXP (BILL)</t>
  </si>
  <si>
    <t>xxx</t>
  </si>
  <si>
    <t>xxxx</t>
  </si>
  <si>
    <t>xx</t>
  </si>
  <si>
    <t>xxxxxxxxxxxxx</t>
  </si>
  <si>
    <t>xxxxxxxxxxxx</t>
  </si>
  <si>
    <t>xxxxxxxxxxxxxxxxxxxxxxxxxxxx</t>
  </si>
  <si>
    <t xml:space="preserve">  EXPE WITH TAX (BILL)</t>
  </si>
  <si>
    <t>From 01/03/2026      to     30/06/2026</t>
  </si>
  <si>
    <t>NON 1</t>
  </si>
  <si>
    <t>NON 2</t>
  </si>
  <si>
    <t>NON 3</t>
  </si>
  <si>
    <t>NON 4</t>
  </si>
  <si>
    <t>NON 5</t>
  </si>
  <si>
    <t>NON 6</t>
  </si>
  <si>
    <t>NON 7</t>
  </si>
  <si>
    <t>NON 8</t>
  </si>
  <si>
    <t>NON 9</t>
  </si>
  <si>
    <t>NON 10</t>
  </si>
  <si>
    <t>NON 11</t>
  </si>
  <si>
    <t>NON 12</t>
  </si>
  <si>
    <t>NON 13</t>
  </si>
  <si>
    <t>NON 14</t>
  </si>
  <si>
    <t>NON 15</t>
  </si>
  <si>
    <t>NON 16</t>
  </si>
  <si>
    <t>NON 17</t>
  </si>
  <si>
    <t>NON 18</t>
  </si>
  <si>
    <t>NON 19</t>
  </si>
  <si>
    <t>NON 20</t>
  </si>
  <si>
    <t>NON 21</t>
  </si>
  <si>
    <t>NON 22</t>
  </si>
  <si>
    <t>NON 23</t>
  </si>
  <si>
    <t>NON 24</t>
  </si>
  <si>
    <t>NON 25</t>
  </si>
  <si>
    <t>NON 26</t>
  </si>
  <si>
    <t>NON 27</t>
  </si>
  <si>
    <t>NON 28</t>
  </si>
  <si>
    <t>NON 29</t>
  </si>
  <si>
    <t>NON 30</t>
  </si>
  <si>
    <t>NON 31</t>
  </si>
  <si>
    <t>NON 32</t>
  </si>
  <si>
    <t>NON 33</t>
  </si>
  <si>
    <t>NON 34</t>
  </si>
  <si>
    <t>NON 35</t>
  </si>
  <si>
    <t>NON 36</t>
  </si>
  <si>
    <t>NON 37</t>
  </si>
  <si>
    <t>NON 38</t>
  </si>
  <si>
    <t>NON 39</t>
  </si>
  <si>
    <t>NON 40</t>
  </si>
  <si>
    <t>NON 41</t>
  </si>
  <si>
    <t>NON 42</t>
  </si>
  <si>
    <t>NON 43</t>
  </si>
  <si>
    <t>NON 44</t>
  </si>
  <si>
    <t>NON 45</t>
  </si>
  <si>
    <t>NON 46</t>
  </si>
  <si>
    <t>NON 47</t>
  </si>
  <si>
    <t>NON 48</t>
  </si>
  <si>
    <t>NON 49</t>
  </si>
  <si>
    <t>NON 50</t>
  </si>
  <si>
    <t>NON 51</t>
  </si>
  <si>
    <t>NON 52</t>
  </si>
  <si>
    <t>NON 53</t>
  </si>
  <si>
    <t>NON 54</t>
  </si>
  <si>
    <t>NON 55</t>
  </si>
  <si>
    <t>NON 56</t>
  </si>
  <si>
    <t>NON 57</t>
  </si>
  <si>
    <t>NON 58</t>
  </si>
  <si>
    <t>NON 59</t>
  </si>
  <si>
    <t>NON 60</t>
  </si>
  <si>
    <t>NON 61</t>
  </si>
  <si>
    <t>NON 62</t>
  </si>
  <si>
    <t>NON 63</t>
  </si>
  <si>
    <t>NON 64</t>
  </si>
  <si>
    <t>NON 65</t>
  </si>
  <si>
    <t>NON 66</t>
  </si>
  <si>
    <t>NON 67</t>
  </si>
  <si>
    <t>NON 68</t>
  </si>
  <si>
    <t>NON 69</t>
  </si>
  <si>
    <t>NON 70</t>
  </si>
  <si>
    <t>NON 71</t>
  </si>
  <si>
    <t>NON 72</t>
  </si>
  <si>
    <t>NON 73</t>
  </si>
  <si>
    <t>NON 74</t>
  </si>
  <si>
    <t>NON 75</t>
  </si>
  <si>
    <t>NON 76</t>
  </si>
  <si>
    <t>NON 77</t>
  </si>
  <si>
    <t>NON 78</t>
  </si>
  <si>
    <t>NON 79</t>
  </si>
  <si>
    <t>NON 80</t>
  </si>
  <si>
    <t>NON 81</t>
  </si>
  <si>
    <t>NON 82</t>
  </si>
  <si>
    <t>NON 83</t>
  </si>
  <si>
    <t>NON 84</t>
  </si>
  <si>
    <t>NON 85</t>
  </si>
  <si>
    <t>NON 86</t>
  </si>
  <si>
    <t>NON 87</t>
  </si>
  <si>
    <t>NON 88</t>
  </si>
  <si>
    <t>NON 89</t>
  </si>
  <si>
    <t>NON 90</t>
  </si>
  <si>
    <t>NON 91</t>
  </si>
  <si>
    <t>NON 92</t>
  </si>
  <si>
    <t>NON 93</t>
  </si>
  <si>
    <t>NON 94</t>
  </si>
  <si>
    <t>NON 95</t>
  </si>
  <si>
    <t>NON 96</t>
  </si>
  <si>
    <t>NON 97</t>
  </si>
  <si>
    <t>NON 98</t>
  </si>
  <si>
    <t>NON 99</t>
  </si>
  <si>
    <t>NON 100</t>
  </si>
  <si>
    <t>NON 101</t>
  </si>
  <si>
    <t>NON 102</t>
  </si>
  <si>
    <t>NON 103</t>
  </si>
  <si>
    <t>NON 104</t>
  </si>
  <si>
    <t>NON 105</t>
  </si>
  <si>
    <t>NON 106</t>
  </si>
  <si>
    <t>NON 107</t>
  </si>
  <si>
    <t>NON 108</t>
  </si>
  <si>
    <t>NON 109</t>
  </si>
  <si>
    <t>NON 110</t>
  </si>
  <si>
    <t>NON 111</t>
  </si>
  <si>
    <t>NON 112</t>
  </si>
  <si>
    <t>NON 113</t>
  </si>
  <si>
    <t>NON 114</t>
  </si>
  <si>
    <t>NON 115</t>
  </si>
  <si>
    <t>NON 116</t>
  </si>
  <si>
    <t>NON 117</t>
  </si>
  <si>
    <t>NON 118</t>
  </si>
  <si>
    <t>NON 119</t>
  </si>
  <si>
    <t>NON 120</t>
  </si>
  <si>
    <t>NON 121</t>
  </si>
  <si>
    <t>NON 122</t>
  </si>
  <si>
    <t>NON 123</t>
  </si>
  <si>
    <t>NON 124</t>
  </si>
  <si>
    <t>NON 125</t>
  </si>
  <si>
    <t>NON 126</t>
  </si>
  <si>
    <t>NON 127</t>
  </si>
  <si>
    <t>NON 128</t>
  </si>
  <si>
    <t>NON 129</t>
  </si>
  <si>
    <t>NON 130</t>
  </si>
  <si>
    <t>NON 131</t>
  </si>
  <si>
    <t>NON 132</t>
  </si>
  <si>
    <t>NON 133</t>
  </si>
  <si>
    <t>NON 134</t>
  </si>
  <si>
    <t>NON 135</t>
  </si>
  <si>
    <t>NON 136</t>
  </si>
  <si>
    <t>NON 137</t>
  </si>
  <si>
    <t>NON 138</t>
  </si>
  <si>
    <t>NON 139</t>
  </si>
  <si>
    <t>NON 140</t>
  </si>
  <si>
    <t>NON 141</t>
  </si>
  <si>
    <t>NON 142</t>
  </si>
  <si>
    <t>NON 143</t>
  </si>
  <si>
    <t>NON 144</t>
  </si>
  <si>
    <t>NON 145</t>
  </si>
  <si>
    <t>NON 146</t>
  </si>
  <si>
    <t>NON 147</t>
  </si>
  <si>
    <t>NON 148</t>
  </si>
  <si>
    <t>NON 149</t>
  </si>
  <si>
    <t>NON 150</t>
  </si>
  <si>
    <t>NON 151</t>
  </si>
  <si>
    <t>NON 152</t>
  </si>
  <si>
    <t>NON 153</t>
  </si>
  <si>
    <t>NON 154</t>
  </si>
  <si>
    <t>NON 155</t>
  </si>
  <si>
    <t>NON 156</t>
  </si>
  <si>
    <t>NON 157</t>
  </si>
  <si>
    <t>NON 158</t>
  </si>
  <si>
    <t>NON 159</t>
  </si>
  <si>
    <t>NON 160</t>
  </si>
  <si>
    <t>NON 161</t>
  </si>
  <si>
    <t>NON 162</t>
  </si>
  <si>
    <t>NON 163</t>
  </si>
  <si>
    <t>NON 164</t>
  </si>
  <si>
    <t>NON 165</t>
  </si>
  <si>
    <t>NON 166</t>
  </si>
  <si>
    <t>NON 167</t>
  </si>
  <si>
    <t>NON 168</t>
  </si>
  <si>
    <t>NON 169</t>
  </si>
  <si>
    <t>NON 170</t>
  </si>
  <si>
    <t>NON 171</t>
  </si>
  <si>
    <t>NON 172</t>
  </si>
  <si>
    <t>NON 173</t>
  </si>
  <si>
    <t>NON 174</t>
  </si>
  <si>
    <t>NON 175</t>
  </si>
  <si>
    <t>NON 176</t>
  </si>
  <si>
    <t>NON 177</t>
  </si>
  <si>
    <t>NON 178</t>
  </si>
  <si>
    <t>NON 179</t>
  </si>
  <si>
    <t>NON 180</t>
  </si>
  <si>
    <t>NON 181</t>
  </si>
  <si>
    <t>NON 182</t>
  </si>
  <si>
    <t>NON 183</t>
  </si>
  <si>
    <t>NON 184</t>
  </si>
  <si>
    <t>NON 185</t>
  </si>
  <si>
    <t>NON 186</t>
  </si>
  <si>
    <t>NON 187</t>
  </si>
  <si>
    <t>NON 188</t>
  </si>
  <si>
    <t>NON 189</t>
  </si>
  <si>
    <t>NON 190</t>
  </si>
  <si>
    <t>NON 191</t>
  </si>
  <si>
    <t>NON 192</t>
  </si>
  <si>
    <t>NON 193</t>
  </si>
  <si>
    <t>NON 194</t>
  </si>
  <si>
    <t>NON 195</t>
  </si>
  <si>
    <t>NON 196</t>
  </si>
  <si>
    <t>NON 197</t>
  </si>
  <si>
    <t>NON 198</t>
  </si>
  <si>
    <t>NON 199</t>
  </si>
  <si>
    <t>NON 200</t>
  </si>
  <si>
    <t>NON 201</t>
  </si>
  <si>
    <t>NON 202</t>
  </si>
  <si>
    <t>NON 203</t>
  </si>
  <si>
    <t>NON 204</t>
  </si>
  <si>
    <t>NON 205</t>
  </si>
  <si>
    <t>NON 206</t>
  </si>
  <si>
    <t>NON 207</t>
  </si>
  <si>
    <t>NON 208</t>
  </si>
  <si>
    <t>NON 209</t>
  </si>
  <si>
    <t>NON 210</t>
  </si>
  <si>
    <t>NON 211</t>
  </si>
  <si>
    <t>NON 212</t>
  </si>
  <si>
    <t>NON 213</t>
  </si>
  <si>
    <t>NON 214</t>
  </si>
  <si>
    <t>NON 215</t>
  </si>
  <si>
    <t>NON 216</t>
  </si>
  <si>
    <t>NON 217</t>
  </si>
  <si>
    <t>NON 218</t>
  </si>
  <si>
    <t>NON 219</t>
  </si>
  <si>
    <t>NON 220</t>
  </si>
  <si>
    <t>NON 221</t>
  </si>
  <si>
    <t>NON 222</t>
  </si>
  <si>
    <t>NON 223</t>
  </si>
  <si>
    <t>NON 224</t>
  </si>
  <si>
    <t>NON 225</t>
  </si>
  <si>
    <t>NON 226</t>
  </si>
  <si>
    <t>NON 227</t>
  </si>
  <si>
    <t>NON 228</t>
  </si>
  <si>
    <t>NON 229</t>
  </si>
  <si>
    <t>NON 230</t>
  </si>
  <si>
    <t>NON 231</t>
  </si>
  <si>
    <t>NON 232</t>
  </si>
  <si>
    <t>NON 233</t>
  </si>
  <si>
    <t>NON 234</t>
  </si>
  <si>
    <t>NON 235</t>
  </si>
  <si>
    <t>NON 236</t>
  </si>
  <si>
    <t>NON 237</t>
  </si>
  <si>
    <t>NON 238</t>
  </si>
  <si>
    <t>NON 239</t>
  </si>
  <si>
    <t>NON 240</t>
  </si>
  <si>
    <t>NON 241</t>
  </si>
  <si>
    <t>NON 242</t>
  </si>
  <si>
    <t>NON 243</t>
  </si>
  <si>
    <t>NON 244</t>
  </si>
  <si>
    <t>NON 245</t>
  </si>
  <si>
    <t>NON 246</t>
  </si>
  <si>
    <t>NON 247</t>
  </si>
  <si>
    <t>NON 248</t>
  </si>
  <si>
    <t>NON 249</t>
  </si>
  <si>
    <t>NON 250</t>
  </si>
  <si>
    <t>NON 251</t>
  </si>
  <si>
    <t>NON 252</t>
  </si>
  <si>
    <t>NON 253</t>
  </si>
  <si>
    <t>NON 254</t>
  </si>
  <si>
    <t>NON 255</t>
  </si>
  <si>
    <t>NON 256</t>
  </si>
  <si>
    <t>NON 257</t>
  </si>
  <si>
    <t>NON 258</t>
  </si>
  <si>
    <t>NON 259</t>
  </si>
  <si>
    <t>NON 260</t>
  </si>
  <si>
    <t>NON 261</t>
  </si>
  <si>
    <t>NON 262</t>
  </si>
  <si>
    <t>NON 263</t>
  </si>
  <si>
    <t>NON 264</t>
  </si>
  <si>
    <t>NON 265</t>
  </si>
  <si>
    <t>NON 266</t>
  </si>
  <si>
    <t>NON 267</t>
  </si>
  <si>
    <t>NON 268</t>
  </si>
  <si>
    <t>NON 269</t>
  </si>
  <si>
    <t>NON 270</t>
  </si>
  <si>
    <t>NON 271</t>
  </si>
  <si>
    <t>NON 272</t>
  </si>
  <si>
    <t>NON 273</t>
  </si>
  <si>
    <t>NON 274</t>
  </si>
  <si>
    <t>NON 275</t>
  </si>
  <si>
    <t>NON 276</t>
  </si>
  <si>
    <t>NON 277</t>
  </si>
  <si>
    <t>NON 278</t>
  </si>
  <si>
    <t>NON 279</t>
  </si>
  <si>
    <t>NON 280</t>
  </si>
  <si>
    <t>NON 281</t>
  </si>
  <si>
    <t>NON 282</t>
  </si>
  <si>
    <t>NON 283</t>
  </si>
  <si>
    <t>NON 284</t>
  </si>
  <si>
    <t>NON 285</t>
  </si>
  <si>
    <t>NON 286</t>
  </si>
  <si>
    <t>NON 287</t>
  </si>
  <si>
    <t>NON 288</t>
  </si>
  <si>
    <t>NON 289</t>
  </si>
  <si>
    <t>NON 290</t>
  </si>
  <si>
    <t>NON 291</t>
  </si>
  <si>
    <t>NON 292</t>
  </si>
  <si>
    <t>NON 293</t>
  </si>
  <si>
    <t>NON 294</t>
  </si>
  <si>
    <t>NON 295</t>
  </si>
  <si>
    <t>NON 296</t>
  </si>
  <si>
    <t>NON 297</t>
  </si>
  <si>
    <t>NON 298</t>
  </si>
  <si>
    <t>NON 299</t>
  </si>
  <si>
    <t>NON 300</t>
  </si>
  <si>
    <t>NON 301</t>
  </si>
  <si>
    <t>NON 302</t>
  </si>
  <si>
    <t>NON 303</t>
  </si>
  <si>
    <t>NON 304</t>
  </si>
  <si>
    <t>NON 305</t>
  </si>
  <si>
    <t>NON 306</t>
  </si>
  <si>
    <t>NON 307</t>
  </si>
  <si>
    <t>NON 308</t>
  </si>
  <si>
    <t>NON 309</t>
  </si>
  <si>
    <t>NON 310</t>
  </si>
  <si>
    <t>NON 311</t>
  </si>
  <si>
    <t>NON 312</t>
  </si>
  <si>
    <t>NON 313</t>
  </si>
  <si>
    <t>NON 314</t>
  </si>
  <si>
    <t>NON 315</t>
  </si>
  <si>
    <t>NON 316</t>
  </si>
  <si>
    <t>NON 317</t>
  </si>
  <si>
    <t>NON 318</t>
  </si>
  <si>
    <t>NON 319</t>
  </si>
  <si>
    <t>NON 320</t>
  </si>
  <si>
    <t>NON 321</t>
  </si>
  <si>
    <t>NON 322</t>
  </si>
  <si>
    <t>NON 323</t>
  </si>
  <si>
    <t>NON 324</t>
  </si>
  <si>
    <t>NON 325</t>
  </si>
  <si>
    <t>NON 326</t>
  </si>
  <si>
    <t>NON 327</t>
  </si>
  <si>
    <t>NON 328</t>
  </si>
  <si>
    <t>NON 329</t>
  </si>
  <si>
    <t>NON 330</t>
  </si>
  <si>
    <t>NON 331</t>
  </si>
  <si>
    <t>NON 332</t>
  </si>
  <si>
    <t>NON 333</t>
  </si>
  <si>
    <t>NON 334</t>
  </si>
  <si>
    <t>NON 335</t>
  </si>
  <si>
    <t>NON 336</t>
  </si>
  <si>
    <t>NON 337</t>
  </si>
  <si>
    <t>NON 338</t>
  </si>
  <si>
    <t>NON 339</t>
  </si>
  <si>
    <t>NON 340</t>
  </si>
  <si>
    <t>NON 341</t>
  </si>
  <si>
    <t>NON 342</t>
  </si>
  <si>
    <t>NON 343</t>
  </si>
  <si>
    <t>NON 344</t>
  </si>
  <si>
    <t>NON 345</t>
  </si>
  <si>
    <t>NON 346</t>
  </si>
  <si>
    <t>NON 347</t>
  </si>
  <si>
    <t>NON 348</t>
  </si>
  <si>
    <t>NON 349</t>
  </si>
  <si>
    <t>NON 350</t>
  </si>
  <si>
    <t>NON 351</t>
  </si>
  <si>
    <t>NON 352</t>
  </si>
  <si>
    <t>NON 353</t>
  </si>
  <si>
    <t>NON 354</t>
  </si>
  <si>
    <t>NON 355</t>
  </si>
  <si>
    <t>NON 356</t>
  </si>
  <si>
    <t>NON 357</t>
  </si>
  <si>
    <t>NON 358</t>
  </si>
  <si>
    <t>NON 359</t>
  </si>
  <si>
    <t>NON 360</t>
  </si>
  <si>
    <t>NON 361</t>
  </si>
  <si>
    <t>NON 362</t>
  </si>
  <si>
    <t>NON 363</t>
  </si>
  <si>
    <t>NON 364</t>
  </si>
  <si>
    <t>NON 365</t>
  </si>
  <si>
    <t>NON 366</t>
  </si>
  <si>
    <t>NON 367</t>
  </si>
  <si>
    <t>NON 368</t>
  </si>
  <si>
    <t>NON 369</t>
  </si>
  <si>
    <t>NON 370</t>
  </si>
  <si>
    <t>NON 371</t>
  </si>
  <si>
    <t>NON 372</t>
  </si>
  <si>
    <t>NON 373</t>
  </si>
  <si>
    <t>NON 374</t>
  </si>
  <si>
    <t>NON 375</t>
  </si>
  <si>
    <t>NON 376</t>
  </si>
  <si>
    <t>NON 377</t>
  </si>
  <si>
    <t>NON 378</t>
  </si>
  <si>
    <t>NON 379</t>
  </si>
  <si>
    <t>NON 380</t>
  </si>
  <si>
    <t>NON 381</t>
  </si>
  <si>
    <t>NON 382</t>
  </si>
  <si>
    <t>NON 383</t>
  </si>
  <si>
    <t>NON 384</t>
  </si>
  <si>
    <t>NON 385</t>
  </si>
  <si>
    <t>NON 386</t>
  </si>
  <si>
    <t>NON 387</t>
  </si>
  <si>
    <t>NON 388</t>
  </si>
  <si>
    <t>NON 389</t>
  </si>
  <si>
    <t>NON 390</t>
  </si>
  <si>
    <t>NON 391</t>
  </si>
  <si>
    <t>NON 392</t>
  </si>
  <si>
    <t>NON 393</t>
  </si>
  <si>
    <t>NON 394</t>
  </si>
  <si>
    <t>NON 395</t>
  </si>
  <si>
    <t>NON 396</t>
  </si>
  <si>
    <t>NON 397</t>
  </si>
  <si>
    <t>NON 398</t>
  </si>
  <si>
    <t>NON 399</t>
  </si>
  <si>
    <t>NON 400</t>
  </si>
  <si>
    <t>NON 401</t>
  </si>
  <si>
    <t>NON 402</t>
  </si>
  <si>
    <t>NON 403</t>
  </si>
  <si>
    <t>NON 404</t>
  </si>
  <si>
    <t>NON 405</t>
  </si>
  <si>
    <t>NON 406</t>
  </si>
  <si>
    <t>NON 407</t>
  </si>
  <si>
    <t>NON 408</t>
  </si>
  <si>
    <t>NON 409</t>
  </si>
  <si>
    <t>NON 410</t>
  </si>
  <si>
    <t>NON 411</t>
  </si>
  <si>
    <t>NON 412</t>
  </si>
  <si>
    <t>NON 413</t>
  </si>
  <si>
    <t>NON 414</t>
  </si>
  <si>
    <t>NON 415</t>
  </si>
  <si>
    <t>NON 416</t>
  </si>
  <si>
    <t>NON 417</t>
  </si>
  <si>
    <t>NON 418</t>
  </si>
  <si>
    <t>NON 419</t>
  </si>
  <si>
    <t>NON 420</t>
  </si>
  <si>
    <t>NON 421</t>
  </si>
  <si>
    <t>NON 422</t>
  </si>
  <si>
    <t>NON 423</t>
  </si>
  <si>
    <t>NON 424</t>
  </si>
  <si>
    <t>NON 425</t>
  </si>
  <si>
    <t>NON 426</t>
  </si>
  <si>
    <t>NON 427</t>
  </si>
  <si>
    <t>NON 428</t>
  </si>
  <si>
    <t>NON 429</t>
  </si>
  <si>
    <t>NON 430</t>
  </si>
  <si>
    <t>NON 431</t>
  </si>
  <si>
    <t>NON 432</t>
  </si>
  <si>
    <t>NON 433</t>
  </si>
  <si>
    <t>NON 434</t>
  </si>
  <si>
    <t>NON 435</t>
  </si>
  <si>
    <t>NON 436</t>
  </si>
  <si>
    <t>NON 437</t>
  </si>
  <si>
    <t>NON 438</t>
  </si>
  <si>
    <t>NON 439</t>
  </si>
  <si>
    <t>NON 440</t>
  </si>
  <si>
    <t>NON 441</t>
  </si>
  <si>
    <t>NON 442</t>
  </si>
  <si>
    <t>NON 443</t>
  </si>
  <si>
    <t>NON 444</t>
  </si>
  <si>
    <t>NON 445</t>
  </si>
  <si>
    <t>NON 446</t>
  </si>
  <si>
    <t>NON 447</t>
  </si>
  <si>
    <t>NON 448</t>
  </si>
  <si>
    <t>NON 449</t>
  </si>
  <si>
    <t>NON 450</t>
  </si>
  <si>
    <t>NON 451</t>
  </si>
  <si>
    <t>NON 452</t>
  </si>
  <si>
    <t>NON 453</t>
  </si>
  <si>
    <t>NON 454</t>
  </si>
  <si>
    <t>NON 455</t>
  </si>
  <si>
    <t>NON 456</t>
  </si>
  <si>
    <t>NON 457</t>
  </si>
  <si>
    <t>NON 458</t>
  </si>
  <si>
    <t>NON 459</t>
  </si>
  <si>
    <t>NON 460</t>
  </si>
  <si>
    <t>NON 461</t>
  </si>
  <si>
    <t>NON 462</t>
  </si>
  <si>
    <t>NON 463</t>
  </si>
  <si>
    <t>NON 464</t>
  </si>
  <si>
    <t>NON 465</t>
  </si>
  <si>
    <t>NON 466</t>
  </si>
  <si>
    <t>NON 467</t>
  </si>
  <si>
    <t>NON 468</t>
  </si>
  <si>
    <t>NON 469</t>
  </si>
  <si>
    <t>NON 470</t>
  </si>
  <si>
    <t>NON 471</t>
  </si>
  <si>
    <t>NON 472</t>
  </si>
  <si>
    <t>NON 473</t>
  </si>
  <si>
    <t>NON 474</t>
  </si>
  <si>
    <t>NON 475</t>
  </si>
  <si>
    <t>NON 476</t>
  </si>
  <si>
    <t>NON 477</t>
  </si>
  <si>
    <t>NON 478</t>
  </si>
  <si>
    <t>NON 479</t>
  </si>
  <si>
    <t>NON 480</t>
  </si>
  <si>
    <t>NON 481</t>
  </si>
  <si>
    <t>NON 482</t>
  </si>
  <si>
    <t>NON 483</t>
  </si>
  <si>
    <t>NON 484</t>
  </si>
  <si>
    <t>NON 485</t>
  </si>
  <si>
    <t>NON 486</t>
  </si>
  <si>
    <t>NON 487</t>
  </si>
  <si>
    <t>NON 488</t>
  </si>
  <si>
    <t>NON 489</t>
  </si>
  <si>
    <t>NON 490</t>
  </si>
  <si>
    <t>NON 491</t>
  </si>
  <si>
    <t>NON 492</t>
  </si>
  <si>
    <t>NON 493</t>
  </si>
  <si>
    <t>NON 494</t>
  </si>
  <si>
    <t>NON 495</t>
  </si>
  <si>
    <t>NON 496</t>
  </si>
  <si>
    <t>NON 497</t>
  </si>
  <si>
    <t>NON 498</t>
  </si>
  <si>
    <t>NON 499</t>
  </si>
  <si>
    <t>NON 500</t>
  </si>
  <si>
    <t>NON 501</t>
  </si>
  <si>
    <t>NON 502</t>
  </si>
  <si>
    <t>NON 503</t>
  </si>
  <si>
    <t>NON 504</t>
  </si>
  <si>
    <t>NON 505</t>
  </si>
  <si>
    <t>NON 506</t>
  </si>
  <si>
    <t>NON 507</t>
  </si>
  <si>
    <t>NON 508</t>
  </si>
  <si>
    <t>NON 509</t>
  </si>
  <si>
    <t>NON 510</t>
  </si>
  <si>
    <t>NON 511</t>
  </si>
  <si>
    <t>NON 512</t>
  </si>
  <si>
    <t>NON 513</t>
  </si>
  <si>
    <t>NON 514</t>
  </si>
  <si>
    <t>NON 515</t>
  </si>
  <si>
    <t>NON 516</t>
  </si>
  <si>
    <t>NON 517</t>
  </si>
  <si>
    <t>NON 518</t>
  </si>
  <si>
    <t>NON 519</t>
  </si>
  <si>
    <t>NON 520</t>
  </si>
  <si>
    <t>NON 521</t>
  </si>
  <si>
    <t>NON 522</t>
  </si>
  <si>
    <t>NON 523</t>
  </si>
  <si>
    <t>NON 524</t>
  </si>
  <si>
    <t>NON 525</t>
  </si>
  <si>
    <t>NON 526</t>
  </si>
  <si>
    <t>NON 527</t>
  </si>
  <si>
    <t>NON 528</t>
  </si>
  <si>
    <t>NON 529</t>
  </si>
  <si>
    <t>NON 530</t>
  </si>
  <si>
    <t>NON 531</t>
  </si>
  <si>
    <t>NON 532</t>
  </si>
  <si>
    <t>NON 533</t>
  </si>
  <si>
    <t>NON 534</t>
  </si>
  <si>
    <t>NON 535</t>
  </si>
  <si>
    <t>NON 536</t>
  </si>
  <si>
    <t>NON 537</t>
  </si>
  <si>
    <t>NON 538</t>
  </si>
  <si>
    <t>NON 539</t>
  </si>
  <si>
    <t>NON 540</t>
  </si>
  <si>
    <t>NON 541</t>
  </si>
  <si>
    <t>NON 542</t>
  </si>
  <si>
    <t>NON 543</t>
  </si>
  <si>
    <t>NON 544</t>
  </si>
  <si>
    <t>NON 545</t>
  </si>
  <si>
    <t>NON 546</t>
  </si>
  <si>
    <t>NON 547</t>
  </si>
  <si>
    <t>NON 548</t>
  </si>
  <si>
    <t>NON 549</t>
  </si>
  <si>
    <t>NON 550</t>
  </si>
  <si>
    <t>NON 551</t>
  </si>
  <si>
    <t>NON 552</t>
  </si>
  <si>
    <t>NON 553</t>
  </si>
  <si>
    <t>NON 554</t>
  </si>
  <si>
    <t>NON 555</t>
  </si>
  <si>
    <t>NON 556</t>
  </si>
  <si>
    <t>NON 557</t>
  </si>
  <si>
    <t>NON 558</t>
  </si>
  <si>
    <t>NON 559</t>
  </si>
  <si>
    <t>NON 560</t>
  </si>
  <si>
    <t>NON 561</t>
  </si>
  <si>
    <t>NON 562</t>
  </si>
  <si>
    <t>NON 563</t>
  </si>
  <si>
    <t>NON 564</t>
  </si>
  <si>
    <t>NON 565</t>
  </si>
  <si>
    <t>NON 566</t>
  </si>
  <si>
    <t>NON 567</t>
  </si>
  <si>
    <t>NON 568</t>
  </si>
  <si>
    <t>NON 569</t>
  </si>
  <si>
    <t>NON 570</t>
  </si>
  <si>
    <t>NON 571</t>
  </si>
  <si>
    <t>NON 572</t>
  </si>
  <si>
    <t>NON 573</t>
  </si>
  <si>
    <t>NON 574</t>
  </si>
  <si>
    <t>NON 575</t>
  </si>
  <si>
    <t>NON 576</t>
  </si>
  <si>
    <t>NON 577</t>
  </si>
  <si>
    <t>NON 578</t>
  </si>
  <si>
    <t>NON 579</t>
  </si>
  <si>
    <t>NON 580</t>
  </si>
  <si>
    <t>NON 581</t>
  </si>
  <si>
    <t>NON 582</t>
  </si>
  <si>
    <t>NON 583</t>
  </si>
  <si>
    <t>NON 584</t>
  </si>
  <si>
    <t>NON 585</t>
  </si>
  <si>
    <t>NON 586</t>
  </si>
  <si>
    <t>NON 587</t>
  </si>
  <si>
    <t>NON 588</t>
  </si>
  <si>
    <t>NON 589</t>
  </si>
  <si>
    <t>NON 590</t>
  </si>
  <si>
    <t>NON 591</t>
  </si>
  <si>
    <t>NON 592</t>
  </si>
  <si>
    <t>NON 593</t>
  </si>
  <si>
    <t>NON 594</t>
  </si>
  <si>
    <t>NON 595</t>
  </si>
  <si>
    <t>NON 596</t>
  </si>
  <si>
    <t>NON 597</t>
  </si>
  <si>
    <t>NON 598</t>
  </si>
  <si>
    <t>NON 599</t>
  </si>
  <si>
    <t>NON 600</t>
  </si>
  <si>
    <t>NON 601</t>
  </si>
  <si>
    <t>NON 602</t>
  </si>
  <si>
    <t>NON 603</t>
  </si>
  <si>
    <t>NON 604</t>
  </si>
  <si>
    <t>NON 605</t>
  </si>
  <si>
    <t>NON 606</t>
  </si>
  <si>
    <t>NON 607</t>
  </si>
  <si>
    <t>NON 608</t>
  </si>
  <si>
    <t>NON 609</t>
  </si>
  <si>
    <t>NON 610</t>
  </si>
  <si>
    <t>NON 611</t>
  </si>
  <si>
    <t>NON 612</t>
  </si>
  <si>
    <t>NON 613</t>
  </si>
  <si>
    <t>NON 614</t>
  </si>
  <si>
    <t>NON 615</t>
  </si>
  <si>
    <t>NON 616</t>
  </si>
  <si>
    <t>NON 617</t>
  </si>
  <si>
    <t>NON 618</t>
  </si>
  <si>
    <t>NON 619</t>
  </si>
  <si>
    <t>NON 620</t>
  </si>
  <si>
    <t>NON 621</t>
  </si>
  <si>
    <t>NON 622</t>
  </si>
  <si>
    <t>NON 623</t>
  </si>
  <si>
    <t>NON 624</t>
  </si>
  <si>
    <t>NON 625</t>
  </si>
  <si>
    <t>NON 626</t>
  </si>
  <si>
    <t>NON 627</t>
  </si>
  <si>
    <t>NON 628</t>
  </si>
  <si>
    <t>NON 629</t>
  </si>
  <si>
    <t>NON 630</t>
  </si>
  <si>
    <t>NON 631</t>
  </si>
  <si>
    <t>NON 632</t>
  </si>
  <si>
    <t>NON 633</t>
  </si>
  <si>
    <t>NON 634</t>
  </si>
  <si>
    <t>NON 635</t>
  </si>
  <si>
    <t>NON 636</t>
  </si>
  <si>
    <t>NON 637</t>
  </si>
  <si>
    <t>NON 638</t>
  </si>
  <si>
    <t>NON 639</t>
  </si>
  <si>
    <t>NON 640</t>
  </si>
  <si>
    <t>NON 641</t>
  </si>
  <si>
    <t>NON 642</t>
  </si>
  <si>
    <t>NON 643</t>
  </si>
  <si>
    <t>NON 644</t>
  </si>
  <si>
    <t>NON 645</t>
  </si>
  <si>
    <t>NON 646</t>
  </si>
  <si>
    <t>NON 647</t>
  </si>
  <si>
    <t>NON 648</t>
  </si>
  <si>
    <t>NON 649</t>
  </si>
  <si>
    <t>NON 650</t>
  </si>
  <si>
    <t>NON 651</t>
  </si>
  <si>
    <t>NON 652</t>
  </si>
  <si>
    <t>NON 653</t>
  </si>
  <si>
    <t>NON 654</t>
  </si>
  <si>
    <t>NON 655</t>
  </si>
  <si>
    <t>NON 656</t>
  </si>
  <si>
    <t>NON 657</t>
  </si>
  <si>
    <t>NON 658</t>
  </si>
  <si>
    <t>NON 659</t>
  </si>
  <si>
    <t>NON 660</t>
  </si>
  <si>
    <t>NON 661</t>
  </si>
  <si>
    <t>NON 662</t>
  </si>
  <si>
    <t>NON 663</t>
  </si>
  <si>
    <t>NON 664</t>
  </si>
  <si>
    <t>NON 665</t>
  </si>
  <si>
    <t>NON 666</t>
  </si>
  <si>
    <t>NON 667</t>
  </si>
  <si>
    <t>NON 668</t>
  </si>
  <si>
    <t>NON 669</t>
  </si>
  <si>
    <t>NON 670</t>
  </si>
  <si>
    <t>NON 671</t>
  </si>
  <si>
    <t>NON 672</t>
  </si>
  <si>
    <t>NON 673</t>
  </si>
  <si>
    <t>NON 674</t>
  </si>
  <si>
    <t>NON 675</t>
  </si>
  <si>
    <t>NON 676</t>
  </si>
  <si>
    <t>NON 677</t>
  </si>
  <si>
    <t>NON 678</t>
  </si>
  <si>
    <t>NON 679</t>
  </si>
  <si>
    <t>NON 680</t>
  </si>
  <si>
    <t>NON 681</t>
  </si>
  <si>
    <t>NON 682</t>
  </si>
  <si>
    <t>NON 683</t>
  </si>
  <si>
    <t>NON 684</t>
  </si>
  <si>
    <t>NON 685</t>
  </si>
  <si>
    <t>NON 686</t>
  </si>
  <si>
    <t>NON 687</t>
  </si>
  <si>
    <t>NON 688</t>
  </si>
  <si>
    <t>NON 689</t>
  </si>
  <si>
    <t>NON 690</t>
  </si>
  <si>
    <t>NON 691</t>
  </si>
  <si>
    <t>NON 692</t>
  </si>
  <si>
    <t>NON 693</t>
  </si>
  <si>
    <t>NON 694</t>
  </si>
  <si>
    <t>NON 695</t>
  </si>
  <si>
    <t>NON 696</t>
  </si>
  <si>
    <t>NON 697</t>
  </si>
  <si>
    <t>NON 698</t>
  </si>
  <si>
    <t>NON 699</t>
  </si>
  <si>
    <t>NON 700</t>
  </si>
  <si>
    <t>NON 701</t>
  </si>
  <si>
    <t>NON 702</t>
  </si>
  <si>
    <t>NON 703</t>
  </si>
  <si>
    <t>NON 704</t>
  </si>
  <si>
    <t>NON 705</t>
  </si>
  <si>
    <t>NON 706</t>
  </si>
  <si>
    <t>NON 707</t>
  </si>
  <si>
    <t>NON 708</t>
  </si>
  <si>
    <t>NON 709</t>
  </si>
  <si>
    <t>NON 710</t>
  </si>
  <si>
    <t>NON 711</t>
  </si>
  <si>
    <t>NON 712</t>
  </si>
  <si>
    <t>NON 713</t>
  </si>
  <si>
    <t>NON 714</t>
  </si>
  <si>
    <t>NON 715</t>
  </si>
  <si>
    <t>NON 716</t>
  </si>
  <si>
    <t>NON 717</t>
  </si>
  <si>
    <t>NON 718</t>
  </si>
  <si>
    <t>NON 719</t>
  </si>
  <si>
    <t>NON 720</t>
  </si>
  <si>
    <t>NON 721</t>
  </si>
  <si>
    <t>NON 722</t>
  </si>
  <si>
    <t>NON 723</t>
  </si>
  <si>
    <t>NON 724</t>
  </si>
  <si>
    <t>NON 725</t>
  </si>
  <si>
    <t>NON 726</t>
  </si>
  <si>
    <t>NON 727</t>
  </si>
  <si>
    <t>NON 728</t>
  </si>
  <si>
    <t>NON 729</t>
  </si>
  <si>
    <t>NON 730</t>
  </si>
  <si>
    <t>NON 731</t>
  </si>
  <si>
    <t>NON 732</t>
  </si>
  <si>
    <t>NON 733</t>
  </si>
  <si>
    <t>NON 734</t>
  </si>
  <si>
    <t>NON 735</t>
  </si>
  <si>
    <t>NON 736</t>
  </si>
  <si>
    <t>NON 737</t>
  </si>
  <si>
    <t>NON 738</t>
  </si>
  <si>
    <t>NON 739</t>
  </si>
  <si>
    <t>NON 740</t>
  </si>
  <si>
    <t>NON 741</t>
  </si>
  <si>
    <t>NON 742</t>
  </si>
  <si>
    <t>NON 743</t>
  </si>
  <si>
    <t>NON 744</t>
  </si>
  <si>
    <t>NON 745</t>
  </si>
  <si>
    <t>NON 746</t>
  </si>
  <si>
    <t>NON 747</t>
  </si>
  <si>
    <t>NON 748</t>
  </si>
  <si>
    <t>NON 749</t>
  </si>
  <si>
    <t>NON 750</t>
  </si>
  <si>
    <t>NON 751</t>
  </si>
  <si>
    <t>NON 752</t>
  </si>
  <si>
    <t>NON 753</t>
  </si>
  <si>
    <t>NON 754</t>
  </si>
  <si>
    <t>NON 755</t>
  </si>
  <si>
    <t>NON 756</t>
  </si>
  <si>
    <t>NON 757</t>
  </si>
  <si>
    <t>NON 758</t>
  </si>
  <si>
    <t>NON 759</t>
  </si>
  <si>
    <t>NON 760</t>
  </si>
  <si>
    <t>NON 761</t>
  </si>
  <si>
    <t>NON 762</t>
  </si>
  <si>
    <t>NON 763</t>
  </si>
  <si>
    <t>NON 764</t>
  </si>
  <si>
    <t>NON 765</t>
  </si>
  <si>
    <t>NON 766</t>
  </si>
  <si>
    <t>NON 767</t>
  </si>
  <si>
    <t>NON 768</t>
  </si>
  <si>
    <t>NON 769</t>
  </si>
  <si>
    <t>NON 770</t>
  </si>
  <si>
    <t>NON 771</t>
  </si>
  <si>
    <t>NON 772</t>
  </si>
  <si>
    <t>NON 773</t>
  </si>
  <si>
    <t>NON 774</t>
  </si>
  <si>
    <t>NON 775</t>
  </si>
  <si>
    <t>NON 776</t>
  </si>
  <si>
    <t>NON 777</t>
  </si>
  <si>
    <t>NON 778</t>
  </si>
  <si>
    <t>NON 779</t>
  </si>
  <si>
    <t>NON 780</t>
  </si>
  <si>
    <t>NON 781</t>
  </si>
  <si>
    <t>NON 782</t>
  </si>
  <si>
    <t>NON 783</t>
  </si>
  <si>
    <t>NON 784</t>
  </si>
  <si>
    <t>NON 785</t>
  </si>
  <si>
    <t>NON 786</t>
  </si>
  <si>
    <t>NON 787</t>
  </si>
  <si>
    <t>NON 788</t>
  </si>
  <si>
    <t>NON 789</t>
  </si>
  <si>
    <t>NON 790</t>
  </si>
  <si>
    <t>NON 791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</si>
</sst>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0.000"/>
    <numFmt numFmtId="165" formatCode="#,##0_ ;\-#,##0\ "/>
    <numFmt numFmtId="168" formatCode="_ * #,##0_ ;_ * \-#,##0_ ;_ * &quot;-&quot;??_ ;_ @_ "/>
    <numFmt numFmtId="169" formatCode="0.000000000"/>
    <numFmt numFmtId="170" formatCode="#,##0.00_ ;\-#,##0.00\ "/>
    <numFmt numFmtId="171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6"/>
      <color rgb="FFC00000"/>
      <name val="Aptos Narrow"/>
      <family val="2"/>
      <scheme val="minor"/>
    </font>
    <font>
      <b/>
      <sz val="12"/>
      <color theme="5" tint="-0.249977111117893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6">
    <xf numFmtId="0" fontId="0" fillId="0" borderId="0" xfId="0"/>
    <xf numFmtId="0" fontId="3" fillId="2" borderId="1" xfId="0" applyFont="1" applyFill="1" applyBorder="1" applyAlignment="1">
      <alignment horizontal="center" vertical="top"/>
    </xf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1" fillId="0" borderId="1" xfId="1" applyNumberFormat="1" applyFont="1" applyFill="1" applyBorder="1" applyAlignment="1"/>
    <xf numFmtId="2" fontId="1" fillId="0" borderId="1" xfId="1" applyNumberFormat="1" applyFont="1" applyFill="1" applyBorder="1" applyAlignment="1"/>
    <xf numFmtId="165" fontId="1" fillId="0" borderId="1" xfId="1" applyNumberFormat="1" applyFont="1" applyFill="1" applyBorder="1" applyAlignment="1"/>
    <xf numFmtId="0" fontId="3" fillId="2" borderId="1" xfId="0" applyFont="1" applyFill="1" applyBorder="1" applyAlignment="1">
      <alignment horizontal="right" vertical="top"/>
    </xf>
    <xf numFmtId="0" fontId="2" fillId="2" borderId="1" xfId="0" applyFont="1" applyFill="1" applyBorder="1" applyAlignment="1">
      <alignment horizontal="center" vertical="top"/>
    </xf>
    <xf numFmtId="0" fontId="2" fillId="2" borderId="1" xfId="0" applyFont="1" applyFill="1" applyBorder="1"/>
    <xf numFmtId="0" fontId="0" fillId="0" borderId="1" xfId="0" applyBorder="1" applyAlignment="1">
      <alignment horizontal="left" vertic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5" borderId="0" xfId="0" applyFill="1"/>
    <xf numFmtId="0" fontId="0" fillId="3" borderId="5" xfId="0" applyFill="1" applyBorder="1"/>
    <xf numFmtId="0" fontId="5" fillId="6" borderId="6" xfId="0" applyFont="1" applyFill="1" applyBorder="1"/>
    <xf numFmtId="2" fontId="6" fillId="7" borderId="7" xfId="0" applyNumberFormat="1" applyFont="1" applyFill="1" applyBorder="1" applyAlignment="1">
      <alignment horizontal="left"/>
    </xf>
    <xf numFmtId="0" fontId="0" fillId="3" borderId="8" xfId="0" applyFill="1" applyBorder="1"/>
    <xf numFmtId="0" fontId="0" fillId="2" borderId="5" xfId="0" applyFill="1" applyBorder="1"/>
    <xf numFmtId="0" fontId="0" fillId="2" borderId="0" xfId="0" applyFill="1"/>
    <xf numFmtId="0" fontId="0" fillId="2" borderId="8" xfId="0" applyFill="1" applyBorder="1"/>
    <xf numFmtId="0" fontId="0" fillId="3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3" fillId="9" borderId="6" xfId="0" applyFont="1" applyFill="1" applyBorder="1"/>
    <xf numFmtId="2" fontId="6" fillId="10" borderId="7" xfId="0" applyNumberFormat="1" applyFont="1" applyFill="1" applyBorder="1" applyAlignment="1">
      <alignment horizontal="left"/>
    </xf>
    <xf numFmtId="0" fontId="3" fillId="9" borderId="5" xfId="0" applyFont="1" applyFill="1" applyBorder="1" applyAlignment="1">
      <alignment horizontal="center"/>
    </xf>
    <xf numFmtId="0" fontId="0" fillId="7" borderId="1" xfId="0" applyFill="1" applyBorder="1"/>
    <xf numFmtId="0" fontId="0" fillId="0" borderId="8" xfId="0" applyBorder="1"/>
    <xf numFmtId="0" fontId="0" fillId="0" borderId="5" xfId="0" applyBorder="1"/>
    <xf numFmtId="0" fontId="0" fillId="12" borderId="13" xfId="0" applyFill="1" applyBorder="1"/>
    <xf numFmtId="0" fontId="0" fillId="0" borderId="4" xfId="0" applyBorder="1" applyAlignment="1">
      <alignment horizontal="left"/>
    </xf>
    <xf numFmtId="0" fontId="3" fillId="13" borderId="5" xfId="0" applyFont="1" applyFill="1" applyBorder="1" applyAlignment="1">
      <alignment horizontal="center"/>
    </xf>
    <xf numFmtId="0" fontId="0" fillId="0" borderId="10" xfId="0" applyBorder="1"/>
    <xf numFmtId="0" fontId="0" fillId="14" borderId="1" xfId="0" applyFill="1" applyBorder="1"/>
    <xf numFmtId="0" fontId="0" fillId="0" borderId="9" xfId="0" applyBorder="1"/>
    <xf numFmtId="0" fontId="0" fillId="0" borderId="11" xfId="0" applyBorder="1"/>
    <xf numFmtId="0" fontId="6" fillId="15" borderId="5" xfId="0" applyFont="1" applyFill="1" applyBorder="1"/>
    <xf numFmtId="0" fontId="0" fillId="0" borderId="0" xfId="0" applyAlignment="1">
      <alignment horizontal="left"/>
    </xf>
    <xf numFmtId="0" fontId="0" fillId="12" borderId="14" xfId="0" applyFill="1" applyBorder="1"/>
    <xf numFmtId="0" fontId="6" fillId="0" borderId="0" xfId="0" applyFont="1"/>
    <xf numFmtId="0" fontId="0" fillId="0" borderId="15" xfId="0" applyBorder="1"/>
    <xf numFmtId="0" fontId="0" fillId="0" borderId="16" xfId="0" applyBorder="1"/>
    <xf numFmtId="0" fontId="0" fillId="7" borderId="17" xfId="0" applyFill="1" applyBorder="1"/>
    <xf numFmtId="0" fontId="0" fillId="0" borderId="18" xfId="0" applyBorder="1"/>
    <xf numFmtId="0" fontId="0" fillId="16" borderId="5" xfId="0" applyFill="1" applyBorder="1"/>
    <xf numFmtId="0" fontId="0" fillId="16" borderId="0" xfId="0" applyFill="1"/>
    <xf numFmtId="0" fontId="0" fillId="16" borderId="8" xfId="0" applyFill="1" applyBorder="1"/>
    <xf numFmtId="2" fontId="0" fillId="0" borderId="0" xfId="0" applyNumberFormat="1"/>
    <xf numFmtId="0" fontId="0" fillId="0" borderId="9" xfId="0" applyBorder="1" applyAlignment="1">
      <alignment horizontal="left"/>
    </xf>
    <xf numFmtId="0" fontId="0" fillId="17" borderId="0" xfId="0" applyFill="1"/>
    <xf numFmtId="2" fontId="9" fillId="17" borderId="0" xfId="0" applyNumberFormat="1" applyFont="1" applyFill="1"/>
    <xf numFmtId="0" fontId="0" fillId="0" borderId="10" xfId="0" applyBorder="1" applyAlignment="1">
      <alignment horizontal="left"/>
    </xf>
    <xf numFmtId="2" fontId="0" fillId="0" borderId="11" xfId="0" applyNumberFormat="1" applyBorder="1"/>
    <xf numFmtId="0" fontId="3" fillId="18" borderId="19" xfId="0" applyFont="1" applyFill="1" applyBorder="1"/>
    <xf numFmtId="0" fontId="0" fillId="0" borderId="20" xfId="0" applyBorder="1"/>
    <xf numFmtId="0" fontId="0" fillId="14" borderId="17" xfId="0" applyFill="1" applyBorder="1"/>
    <xf numFmtId="0" fontId="6" fillId="0" borderId="2" xfId="0" applyFont="1" applyBorder="1"/>
    <xf numFmtId="0" fontId="0" fillId="0" borderId="3" xfId="0" applyBorder="1" applyAlignment="1">
      <alignment horizontal="left"/>
    </xf>
    <xf numFmtId="0" fontId="6" fillId="0" borderId="3" xfId="0" applyFont="1" applyBorder="1"/>
    <xf numFmtId="0" fontId="0" fillId="3" borderId="6" xfId="0" applyFill="1" applyBorder="1"/>
    <xf numFmtId="0" fontId="0" fillId="3" borderId="12" xfId="0" applyFill="1" applyBorder="1"/>
    <xf numFmtId="0" fontId="0" fillId="3" borderId="7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0" borderId="5" xfId="0" applyBorder="1" applyAlignment="1">
      <alignment horizontal="left"/>
    </xf>
    <xf numFmtId="0" fontId="0" fillId="19" borderId="0" xfId="0" applyFill="1"/>
    <xf numFmtId="0" fontId="6" fillId="18" borderId="1" xfId="0" applyFont="1" applyFill="1" applyBorder="1"/>
    <xf numFmtId="0" fontId="0" fillId="18" borderId="0" xfId="0" applyFill="1"/>
    <xf numFmtId="2" fontId="6" fillId="20" borderId="21" xfId="0" applyNumberFormat="1" applyFont="1" applyFill="1" applyBorder="1" applyAlignment="1">
      <alignment horizontal="left"/>
    </xf>
    <xf numFmtId="0" fontId="0" fillId="14" borderId="2" xfId="0" applyFill="1" applyBorder="1"/>
    <xf numFmtId="0" fontId="0" fillId="14" borderId="3" xfId="0" applyFill="1" applyBorder="1"/>
    <xf numFmtId="0" fontId="0" fillId="14" borderId="4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0" borderId="22" xfId="0" applyBorder="1"/>
    <xf numFmtId="0" fontId="3" fillId="21" borderId="23" xfId="0" applyFont="1" applyFill="1" applyBorder="1"/>
    <xf numFmtId="0" fontId="3" fillId="13" borderId="24" xfId="0" applyFont="1" applyFill="1" applyBorder="1"/>
    <xf numFmtId="0" fontId="0" fillId="14" borderId="0" xfId="0" applyFill="1"/>
    <xf numFmtId="0" fontId="0" fillId="14" borderId="8" xfId="0" applyFill="1" applyBorder="1"/>
    <xf numFmtId="0" fontId="0" fillId="13" borderId="24" xfId="0" applyFill="1" applyBorder="1"/>
    <xf numFmtId="0" fontId="0" fillId="4" borderId="0" xfId="0" applyFill="1"/>
    <xf numFmtId="0" fontId="0" fillId="4" borderId="8" xfId="0" applyFill="1" applyBorder="1"/>
    <xf numFmtId="0" fontId="0" fillId="14" borderId="5" xfId="0" applyFill="1" applyBorder="1" applyAlignment="1">
      <alignment vertical="top"/>
    </xf>
    <xf numFmtId="0" fontId="0" fillId="14" borderId="0" xfId="0" applyFill="1" applyAlignment="1">
      <alignment vertical="top"/>
    </xf>
    <xf numFmtId="0" fontId="3" fillId="4" borderId="21" xfId="0" applyFont="1" applyFill="1" applyBorder="1" applyAlignment="1">
      <alignment vertical="top"/>
    </xf>
    <xf numFmtId="0" fontId="3" fillId="8" borderId="25" xfId="0" applyFont="1" applyFill="1" applyBorder="1" applyAlignment="1">
      <alignment vertical="top"/>
    </xf>
    <xf numFmtId="0" fontId="0" fillId="4" borderId="5" xfId="0" applyFill="1" applyBorder="1" applyAlignment="1">
      <alignment vertical="top"/>
    </xf>
    <xf numFmtId="0" fontId="0" fillId="4" borderId="0" xfId="0" applyFill="1" applyAlignment="1">
      <alignment vertical="top"/>
    </xf>
    <xf numFmtId="0" fontId="3" fillId="9" borderId="21" xfId="0" applyFont="1" applyFill="1" applyBorder="1" applyAlignment="1">
      <alignment vertical="top"/>
    </xf>
    <xf numFmtId="0" fontId="6" fillId="10" borderId="25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6" fillId="0" borderId="2" xfId="0" applyFont="1" applyBorder="1" applyAlignment="1">
      <alignment horizontal="center" vertical="top" wrapText="1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12" borderId="5" xfId="0" applyFill="1" applyBorder="1" applyAlignment="1">
      <alignment vertical="top"/>
    </xf>
    <xf numFmtId="0" fontId="6" fillId="0" borderId="2" xfId="0" applyFont="1" applyBorder="1" applyAlignment="1">
      <alignment vertical="top"/>
    </xf>
    <xf numFmtId="0" fontId="0" fillId="5" borderId="0" xfId="0" applyFill="1" applyAlignment="1">
      <alignment vertical="top"/>
    </xf>
    <xf numFmtId="0" fontId="0" fillId="0" borderId="5" xfId="0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0" borderId="8" xfId="0" applyBorder="1" applyAlignment="1">
      <alignment vertical="top"/>
    </xf>
    <xf numFmtId="0" fontId="6" fillId="0" borderId="5" xfId="0" applyFont="1" applyBorder="1" applyAlignment="1">
      <alignment horizontal="center" vertical="top" wrapText="1"/>
    </xf>
    <xf numFmtId="0" fontId="0" fillId="12" borderId="5" xfId="0" applyFill="1" applyBorder="1"/>
    <xf numFmtId="0" fontId="0" fillId="14" borderId="9" xfId="0" applyFill="1" applyBorder="1"/>
    <xf numFmtId="0" fontId="0" fillId="14" borderId="10" xfId="0" applyFill="1" applyBorder="1"/>
    <xf numFmtId="0" fontId="0" fillId="14" borderId="11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14" borderId="5" xfId="0" applyFill="1" applyBorder="1"/>
    <xf numFmtId="0" fontId="3" fillId="4" borderId="21" xfId="0" applyFont="1" applyFill="1" applyBorder="1"/>
    <xf numFmtId="0" fontId="3" fillId="8" borderId="25" xfId="0" applyFont="1" applyFill="1" applyBorder="1"/>
    <xf numFmtId="0" fontId="0" fillId="4" borderId="5" xfId="0" applyFill="1" applyBorder="1"/>
    <xf numFmtId="0" fontId="3" fillId="9" borderId="21" xfId="0" applyFont="1" applyFill="1" applyBorder="1"/>
    <xf numFmtId="0" fontId="6" fillId="10" borderId="25" xfId="0" applyFont="1" applyFill="1" applyBorder="1" applyAlignment="1">
      <alignment horizontal="left"/>
    </xf>
    <xf numFmtId="0" fontId="0" fillId="19" borderId="6" xfId="0" applyFill="1" applyBorder="1"/>
    <xf numFmtId="0" fontId="0" fillId="19" borderId="12" xfId="0" applyFill="1" applyBorder="1"/>
    <xf numFmtId="0" fontId="0" fillId="19" borderId="7" xfId="0" applyFill="1" applyBorder="1"/>
    <xf numFmtId="0" fontId="0" fillId="14" borderId="26" xfId="0" applyFill="1" applyBorder="1" applyAlignment="1">
      <alignment horizontal="center"/>
    </xf>
    <xf numFmtId="164" fontId="0" fillId="0" borderId="5" xfId="0" applyNumberFormat="1" applyBorder="1"/>
    <xf numFmtId="0" fontId="0" fillId="14" borderId="20" xfId="0" applyFill="1" applyBorder="1" applyAlignment="1">
      <alignment horizontal="center"/>
    </xf>
    <xf numFmtId="2" fontId="6" fillId="22" borderId="28" xfId="0" applyNumberFormat="1" applyFont="1" applyFill="1" applyBorder="1" applyAlignment="1">
      <alignment horizontal="center"/>
    </xf>
    <xf numFmtId="0" fontId="3" fillId="13" borderId="14" xfId="0" applyFont="1" applyFill="1" applyBorder="1" applyAlignment="1">
      <alignment horizontal="center"/>
    </xf>
    <xf numFmtId="0" fontId="6" fillId="23" borderId="5" xfId="0" applyFont="1" applyFill="1" applyBorder="1"/>
    <xf numFmtId="0" fontId="6" fillId="23" borderId="0" xfId="0" applyFont="1" applyFill="1"/>
    <xf numFmtId="0" fontId="6" fillId="23" borderId="8" xfId="0" applyFont="1" applyFill="1" applyBorder="1"/>
    <xf numFmtId="2" fontId="10" fillId="24" borderId="0" xfId="0" applyNumberFormat="1" applyFont="1" applyFill="1" applyAlignment="1">
      <alignment horizontal="center"/>
    </xf>
    <xf numFmtId="2" fontId="11" fillId="2" borderId="0" xfId="0" applyNumberFormat="1" applyFont="1" applyFill="1" applyAlignment="1">
      <alignment horizontal="center"/>
    </xf>
    <xf numFmtId="0" fontId="3" fillId="9" borderId="23" xfId="0" applyFont="1" applyFill="1" applyBorder="1"/>
    <xf numFmtId="0" fontId="3" fillId="9" borderId="25" xfId="0" applyFont="1" applyFill="1" applyBorder="1"/>
    <xf numFmtId="2" fontId="3" fillId="21" borderId="23" xfId="0" applyNumberFormat="1" applyFont="1" applyFill="1" applyBorder="1"/>
    <xf numFmtId="0" fontId="3" fillId="9" borderId="5" xfId="0" applyFont="1" applyFill="1" applyBorder="1"/>
    <xf numFmtId="0" fontId="6" fillId="22" borderId="23" xfId="0" applyFont="1" applyFill="1" applyBorder="1"/>
    <xf numFmtId="2" fontId="0" fillId="0" borderId="5" xfId="0" applyNumberFormat="1" applyBorder="1" applyAlignment="1">
      <alignment vertical="top"/>
    </xf>
    <xf numFmtId="0" fontId="0" fillId="12" borderId="9" xfId="0" applyFill="1" applyBorder="1"/>
    <xf numFmtId="0" fontId="0" fillId="14" borderId="10" xfId="0" applyFill="1" applyBorder="1" applyAlignment="1">
      <alignment horizontal="center"/>
    </xf>
    <xf numFmtId="0" fontId="0" fillId="17" borderId="10" xfId="0" applyFill="1" applyBorder="1"/>
    <xf numFmtId="0" fontId="6" fillId="0" borderId="29" xfId="0" applyFont="1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32" xfId="0" applyBorder="1"/>
    <xf numFmtId="0" fontId="0" fillId="0" borderId="33" xfId="0" applyBorder="1"/>
    <xf numFmtId="0" fontId="0" fillId="12" borderId="0" xfId="0" applyFill="1"/>
    <xf numFmtId="0" fontId="0" fillId="9" borderId="0" xfId="0" applyFill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12" borderId="0" xfId="0" applyFill="1" applyAlignment="1">
      <alignment vertical="top"/>
    </xf>
    <xf numFmtId="0" fontId="0" fillId="12" borderId="10" xfId="0" applyFill="1" applyBorder="1"/>
    <xf numFmtId="0" fontId="0" fillId="0" borderId="21" xfId="0" applyBorder="1"/>
    <xf numFmtId="0" fontId="0" fillId="0" borderId="24" xfId="0" applyBorder="1"/>
    <xf numFmtId="0" fontId="2" fillId="2" borderId="41" xfId="0" applyFont="1" applyFill="1" applyBorder="1" applyAlignment="1">
      <alignment horizontal="center" vertical="top"/>
    </xf>
    <xf numFmtId="0" fontId="2" fillId="2" borderId="42" xfId="0" applyFont="1" applyFill="1" applyBorder="1"/>
    <xf numFmtId="0" fontId="2" fillId="2" borderId="43" xfId="0" applyFont="1" applyFill="1" applyBorder="1"/>
    <xf numFmtId="0" fontId="2" fillId="25" borderId="6" xfId="0" applyFont="1" applyFill="1" applyBorder="1"/>
    <xf numFmtId="0" fontId="0" fillId="13" borderId="13" xfId="0" applyFill="1" applyBorder="1"/>
    <xf numFmtId="0" fontId="2" fillId="2" borderId="44" xfId="0" applyFont="1" applyFill="1" applyBorder="1"/>
    <xf numFmtId="0" fontId="2" fillId="2" borderId="12" xfId="0" applyFont="1" applyFill="1" applyBorder="1"/>
    <xf numFmtId="0" fontId="2" fillId="2" borderId="45" xfId="0" applyFont="1" applyFill="1" applyBorder="1"/>
    <xf numFmtId="0" fontId="2" fillId="25" borderId="19" xfId="0" applyFont="1" applyFill="1" applyBorder="1"/>
    <xf numFmtId="0" fontId="3" fillId="0" borderId="0" xfId="0" applyFont="1"/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right"/>
    </xf>
    <xf numFmtId="164" fontId="1" fillId="0" borderId="1" xfId="1" applyNumberFormat="1" applyFont="1" applyFill="1" applyBorder="1" applyAlignment="1">
      <alignment horizontal="center"/>
    </xf>
    <xf numFmtId="2" fontId="1" fillId="0" borderId="1" xfId="1" applyNumberFormat="1" applyFont="1" applyFill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2" fontId="1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5" fontId="1" fillId="0" borderId="1" xfId="1" applyNumberFormat="1" applyFont="1" applyFill="1" applyBorder="1" applyAlignment="1">
      <alignment horizontal="right"/>
    </xf>
    <xf numFmtId="2" fontId="0" fillId="13" borderId="1" xfId="0" applyNumberFormat="1" applyFill="1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1" xfId="0" pivotButton="1" applyBorder="1"/>
    <xf numFmtId="0" fontId="12" fillId="0" borderId="0" xfId="0" applyFont="1" applyAlignment="1">
      <alignment horizontal="right"/>
    </xf>
    <xf numFmtId="2" fontId="3" fillId="0" borderId="0" xfId="0" applyNumberFormat="1" applyFont="1" applyAlignment="1">
      <alignment horizontal="center"/>
    </xf>
    <xf numFmtId="2" fontId="1" fillId="0" borderId="1" xfId="1" applyNumberFormat="1" applyFont="1" applyBorder="1" applyAlignment="1"/>
    <xf numFmtId="168" fontId="1" fillId="0" borderId="1" xfId="1" applyNumberFormat="1" applyFont="1" applyBorder="1" applyAlignment="1"/>
    <xf numFmtId="164" fontId="0" fillId="0" borderId="0" xfId="0" applyNumberFormat="1"/>
    <xf numFmtId="2" fontId="0" fillId="18" borderId="1" xfId="0" applyNumberFormat="1" applyFill="1" applyBorder="1"/>
    <xf numFmtId="0" fontId="0" fillId="14" borderId="0" xfId="0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left"/>
    </xf>
    <xf numFmtId="14" fontId="0" fillId="6" borderId="1" xfId="0" applyNumberFormat="1" applyFill="1" applyBorder="1"/>
    <xf numFmtId="0" fontId="0" fillId="6" borderId="1" xfId="0" applyFill="1" applyBorder="1"/>
    <xf numFmtId="2" fontId="0" fillId="6" borderId="1" xfId="0" applyNumberFormat="1" applyFill="1" applyBorder="1"/>
    <xf numFmtId="0" fontId="0" fillId="6" borderId="0" xfId="0" applyFill="1"/>
    <xf numFmtId="169" fontId="0" fillId="0" borderId="0" xfId="0" applyNumberFormat="1"/>
    <xf numFmtId="14" fontId="0" fillId="0" borderId="0" xfId="0" applyNumberFormat="1"/>
    <xf numFmtId="0" fontId="0" fillId="0" borderId="46" xfId="0" applyBorder="1"/>
    <xf numFmtId="14" fontId="0" fillId="18" borderId="1" xfId="0" applyNumberFormat="1" applyFill="1" applyBorder="1"/>
    <xf numFmtId="0" fontId="0" fillId="18" borderId="1" xfId="0" applyFill="1" applyBorder="1"/>
    <xf numFmtId="2" fontId="0" fillId="18" borderId="1" xfId="0" applyNumberFormat="1" applyFill="1" applyBorder="1" applyAlignment="1">
      <alignment horizontal="right"/>
    </xf>
    <xf numFmtId="164" fontId="1" fillId="18" borderId="1" xfId="1" applyNumberFormat="1" applyFont="1" applyFill="1" applyBorder="1" applyAlignment="1">
      <alignment horizontal="center"/>
    </xf>
    <xf numFmtId="2" fontId="1" fillId="18" borderId="1" xfId="1" applyNumberFormat="1" applyFont="1" applyFill="1" applyBorder="1" applyAlignment="1">
      <alignment horizontal="center"/>
    </xf>
    <xf numFmtId="2" fontId="1" fillId="18" borderId="1" xfId="1" applyNumberFormat="1" applyFont="1" applyFill="1" applyBorder="1" applyAlignment="1"/>
    <xf numFmtId="165" fontId="1" fillId="18" borderId="1" xfId="1" applyNumberFormat="1" applyFont="1" applyFill="1" applyBorder="1" applyAlignment="1"/>
    <xf numFmtId="0" fontId="0" fillId="18" borderId="24" xfId="0" applyFill="1" applyBorder="1"/>
    <xf numFmtId="164" fontId="1" fillId="18" borderId="1" xfId="1" applyNumberFormat="1" applyFont="1" applyFill="1" applyBorder="1" applyAlignment="1"/>
    <xf numFmtId="165" fontId="1" fillId="18" borderId="1" xfId="1" applyNumberFormat="1" applyFont="1" applyFill="1" applyBorder="1" applyAlignment="1">
      <alignment horizontal="right"/>
    </xf>
    <xf numFmtId="164" fontId="1" fillId="0" borderId="1" xfId="1" applyNumberFormat="1" applyFont="1" applyBorder="1" applyAlignment="1"/>
    <xf numFmtId="43" fontId="1" fillId="0" borderId="1" xfId="1" applyFont="1" applyBorder="1" applyAlignment="1"/>
    <xf numFmtId="2" fontId="1" fillId="0" borderId="1" xfId="1" applyNumberFormat="1" applyFont="1" applyFill="1" applyBorder="1" applyAlignment="1">
      <alignment horizontal="right"/>
    </xf>
    <xf numFmtId="2" fontId="0" fillId="0" borderId="47" xfId="0" applyNumberFormat="1" applyBorder="1" applyAlignment="1">
      <alignment horizontal="right"/>
    </xf>
    <xf numFmtId="164" fontId="1" fillId="0" borderId="47" xfId="1" applyNumberFormat="1" applyFont="1" applyFill="1" applyBorder="1" applyAlignment="1">
      <alignment horizontal="center"/>
    </xf>
    <xf numFmtId="2" fontId="1" fillId="0" borderId="47" xfId="1" applyNumberFormat="1" applyFont="1" applyFill="1" applyBorder="1" applyAlignment="1">
      <alignment horizontal="center"/>
    </xf>
    <xf numFmtId="165" fontId="1" fillId="0" borderId="47" xfId="1" applyNumberFormat="1" applyFont="1" applyFill="1" applyBorder="1" applyAlignment="1">
      <alignment horizontal="right"/>
    </xf>
    <xf numFmtId="43" fontId="0" fillId="0" borderId="1" xfId="1" applyFont="1" applyFill="1" applyBorder="1" applyAlignment="1">
      <alignment horizontal="center" vertical="center"/>
    </xf>
    <xf numFmtId="43" fontId="0" fillId="0" borderId="1" xfId="1" applyFont="1" applyBorder="1" applyAlignment="1">
      <alignment horizontal="center" vertical="center"/>
    </xf>
    <xf numFmtId="2" fontId="0" fillId="9" borderId="1" xfId="0" applyNumberFormat="1" applyFill="1" applyBorder="1"/>
    <xf numFmtId="170" fontId="1" fillId="0" borderId="1" xfId="1" applyNumberFormat="1" applyFont="1" applyFill="1" applyBorder="1" applyAlignment="1"/>
    <xf numFmtId="164" fontId="1" fillId="0" borderId="1" xfId="1" applyNumberFormat="1" applyFont="1" applyFill="1" applyBorder="1" applyAlignment="1">
      <alignment horizontal="right"/>
    </xf>
    <xf numFmtId="164" fontId="1" fillId="0" borderId="1" xfId="1" applyNumberFormat="1" applyFont="1" applyBorder="1" applyAlignment="1">
      <alignment horizontal="right"/>
    </xf>
    <xf numFmtId="170" fontId="1" fillId="0" borderId="47" xfId="1" applyNumberFormat="1" applyFont="1" applyFill="1" applyBorder="1" applyAlignment="1"/>
    <xf numFmtId="2" fontId="1" fillId="0" borderId="21" xfId="1" applyNumberFormat="1" applyFont="1" applyFill="1" applyBorder="1" applyAlignment="1"/>
    <xf numFmtId="2" fontId="1" fillId="0" borderId="21" xfId="1" applyNumberFormat="1" applyFont="1" applyFill="1" applyBorder="1" applyAlignment="1">
      <alignment horizontal="right"/>
    </xf>
    <xf numFmtId="170" fontId="1" fillId="0" borderId="46" xfId="1" applyNumberFormat="1" applyFont="1" applyFill="1" applyBorder="1" applyAlignment="1"/>
    <xf numFmtId="2" fontId="0" fillId="0" borderId="47" xfId="0" applyNumberFormat="1" applyBorder="1"/>
    <xf numFmtId="164" fontId="1" fillId="0" borderId="47" xfId="1" applyNumberFormat="1" applyFont="1" applyBorder="1" applyAlignment="1"/>
    <xf numFmtId="2" fontId="1" fillId="0" borderId="47" xfId="1" applyNumberFormat="1" applyFont="1" applyBorder="1" applyAlignment="1"/>
    <xf numFmtId="2" fontId="1" fillId="0" borderId="47" xfId="1" applyNumberFormat="1" applyFont="1" applyFill="1" applyBorder="1" applyAlignment="1"/>
    <xf numFmtId="170" fontId="1" fillId="0" borderId="17" xfId="1" applyNumberFormat="1" applyFont="1" applyFill="1" applyBorder="1" applyAlignment="1"/>
    <xf numFmtId="2" fontId="1" fillId="0" borderId="1" xfId="1" applyNumberFormat="1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43" fontId="1" fillId="0" borderId="17" xfId="1" applyFont="1" applyBorder="1" applyAlignment="1"/>
    <xf numFmtId="2" fontId="0" fillId="24" borderId="1" xfId="0" applyNumberFormat="1" applyFill="1" applyBorder="1"/>
    <xf numFmtId="0" fontId="1" fillId="0" borderId="21" xfId="0" applyFont="1" applyBorder="1" applyAlignment="1">
      <alignment horizontal="left" vertical="center"/>
    </xf>
    <xf numFmtId="0" fontId="0" fillId="0" borderId="1" xfId="0" applyBorder="1" applyAlignment="1">
      <alignment horizontal="right"/>
    </xf>
    <xf numFmtId="2" fontId="1" fillId="0" borderId="21" xfId="1" applyNumberFormat="1" applyFont="1" applyFill="1" applyBorder="1" applyAlignment="1">
      <alignment horizontal="center"/>
    </xf>
    <xf numFmtId="0" fontId="0" fillId="0" borderId="40" xfId="0" applyBorder="1"/>
    <xf numFmtId="164" fontId="0" fillId="0" borderId="1" xfId="0" applyNumberFormat="1" applyBorder="1"/>
    <xf numFmtId="2" fontId="0" fillId="0" borderId="1" xfId="1" applyNumberFormat="1" applyFont="1" applyFill="1" applyBorder="1" applyAlignment="1">
      <alignment horizontal="right"/>
    </xf>
    <xf numFmtId="165" fontId="0" fillId="0" borderId="1" xfId="1" applyNumberFormat="1" applyFont="1" applyFill="1" applyBorder="1" applyAlignment="1">
      <alignment horizontal="right"/>
    </xf>
    <xf numFmtId="171" fontId="0" fillId="0" borderId="1" xfId="0" applyNumberFormat="1" applyBorder="1"/>
    <xf numFmtId="0" fontId="13" fillId="0" borderId="1" xfId="0" applyFont="1" applyBorder="1"/>
    <xf numFmtId="0" fontId="0" fillId="7" borderId="26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/>
    </xf>
    <xf numFmtId="0" fontId="7" fillId="8" borderId="12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8" fillId="11" borderId="3" xfId="0" applyFont="1" applyFill="1" applyBorder="1" applyAlignment="1">
      <alignment horizontal="right" vertical="center"/>
    </xf>
    <xf numFmtId="0" fontId="8" fillId="11" borderId="0" xfId="0" applyFont="1" applyFill="1" applyAlignment="1">
      <alignment horizontal="right" vertical="center"/>
    </xf>
    <xf numFmtId="0" fontId="8" fillId="11" borderId="10" xfId="0" applyFont="1" applyFill="1" applyBorder="1" applyAlignment="1">
      <alignment horizontal="right" vertical="center"/>
    </xf>
    <xf numFmtId="164" fontId="7" fillId="11" borderId="3" xfId="0" applyNumberFormat="1" applyFont="1" applyFill="1" applyBorder="1" applyAlignment="1">
      <alignment horizontal="left" vertical="center"/>
    </xf>
    <xf numFmtId="164" fontId="7" fillId="11" borderId="0" xfId="0" applyNumberFormat="1" applyFont="1" applyFill="1" applyAlignment="1">
      <alignment horizontal="left" vertical="center"/>
    </xf>
    <xf numFmtId="164" fontId="7" fillId="11" borderId="10" xfId="0" applyNumberFormat="1" applyFont="1" applyFill="1" applyBorder="1" applyAlignment="1">
      <alignment horizontal="left" vertical="center"/>
    </xf>
    <xf numFmtId="0" fontId="6" fillId="0" borderId="6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0" borderId="1" xfId="0" applyNumberFormat="1" applyBorder="1"/>
    <xf numFmtId="0" fontId="0" fillId="0" borderId="1" xfId="0" applyNumberFormat="1" applyFill="1" applyBorder="1"/>
    <xf numFmtId="0" fontId="0" fillId="0" borderId="0" xfId="0" applyFont="1"/>
    <xf numFmtId="0" fontId="3" fillId="18" borderId="1" xfId="0" applyFont="1" applyFill="1" applyBorder="1"/>
    <xf numFmtId="0" fontId="0" fillId="0" borderId="1" xfId="0" applyFill="1" applyBorder="1" applyAlignment="1">
      <alignment horizontal="left"/>
    </xf>
    <xf numFmtId="2" fontId="0" fillId="0" borderId="1" xfId="0" applyNumberFormat="1" applyFill="1" applyBorder="1"/>
    <xf numFmtId="0" fontId="0" fillId="0" borderId="0" xfId="0" applyFill="1"/>
  </cellXfs>
  <cellStyles count="2">
    <cellStyle name="Comma" xfId="1" builtinId="3"/>
    <cellStyle name="Normal" xfId="0" builtinId="0"/>
  </cellStyles>
  <dxfs count="64">
    <dxf>
      <fill>
        <patternFill patternType="solid">
          <bgColor theme="2" tint="-9.9978637043366805E-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2" tint="-9.9978637043366805E-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133350</xdr:rowOff>
    </xdr:from>
    <xdr:to>
      <xdr:col>120</xdr:col>
      <xdr:colOff>381000</xdr:colOff>
      <xdr:row>6</xdr:row>
      <xdr:rowOff>57150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ED7DFCF-1A7D-4240-A01A-C97256E4A1A2}"/>
            </a:ext>
          </a:extLst>
        </xdr:cNvPr>
        <xdr:cNvSpPr/>
      </xdr:nvSpPr>
      <xdr:spPr>
        <a:xfrm>
          <a:off x="0" y="133350"/>
          <a:ext cx="73533000" cy="10668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oneCellAnchor>
    <xdr:from>
      <xdr:col>1</xdr:col>
      <xdr:colOff>9524</xdr:colOff>
      <xdr:row>0</xdr:row>
      <xdr:rowOff>0</xdr:rowOff>
    </xdr:from>
    <xdr:ext cx="16868775" cy="13049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0CAF76A-B9FF-4D10-82F1-5A1D57C35468}"/>
            </a:ext>
          </a:extLst>
        </xdr:cNvPr>
        <xdr:cNvSpPr/>
      </xdr:nvSpPr>
      <xdr:spPr>
        <a:xfrm>
          <a:off x="619124" y="0"/>
          <a:ext cx="16868775" cy="13049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DAILY TRANSACTION WITH BILL</a:t>
          </a:r>
        </a:p>
      </xdr:txBody>
    </xdr:sp>
    <xdr:clientData/>
  </xdr:oneCellAnchor>
  <xdr:twoCellAnchor>
    <xdr:from>
      <xdr:col>0</xdr:col>
      <xdr:colOff>0</xdr:colOff>
      <xdr:row>11</xdr:row>
      <xdr:rowOff>85725</xdr:rowOff>
    </xdr:from>
    <xdr:to>
      <xdr:col>120</xdr:col>
      <xdr:colOff>381000</xdr:colOff>
      <xdr:row>17</xdr:row>
      <xdr:rowOff>9525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048078-2478-4228-8B67-E8918F52085F}"/>
            </a:ext>
          </a:extLst>
        </xdr:cNvPr>
        <xdr:cNvSpPr/>
      </xdr:nvSpPr>
      <xdr:spPr>
        <a:xfrm>
          <a:off x="0" y="2181225"/>
          <a:ext cx="73533000" cy="10668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oneCellAnchor>
    <xdr:from>
      <xdr:col>0</xdr:col>
      <xdr:colOff>361949</xdr:colOff>
      <xdr:row>11</xdr:row>
      <xdr:rowOff>19050</xdr:rowOff>
    </xdr:from>
    <xdr:ext cx="16868775" cy="847726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BAE2F3B-BA79-4A18-8CF4-9E0E8D283874}"/>
            </a:ext>
          </a:extLst>
        </xdr:cNvPr>
        <xdr:cNvSpPr/>
      </xdr:nvSpPr>
      <xdr:spPr>
        <a:xfrm>
          <a:off x="361949" y="2114550"/>
          <a:ext cx="16868775" cy="8477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DAILY TRANSACTION WITHOUT BILL</a:t>
          </a:r>
        </a:p>
      </xdr:txBody>
    </xdr:sp>
    <xdr:clientData/>
  </xdr:oneCellAnchor>
  <xdr:twoCellAnchor>
    <xdr:from>
      <xdr:col>0</xdr:col>
      <xdr:colOff>0</xdr:colOff>
      <xdr:row>22</xdr:row>
      <xdr:rowOff>171450</xdr:rowOff>
    </xdr:from>
    <xdr:to>
      <xdr:col>120</xdr:col>
      <xdr:colOff>381000</xdr:colOff>
      <xdr:row>28</xdr:row>
      <xdr:rowOff>95250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A7EC26D-35F9-41C2-A720-A31012F31E1A}"/>
            </a:ext>
          </a:extLst>
        </xdr:cNvPr>
        <xdr:cNvSpPr/>
      </xdr:nvSpPr>
      <xdr:spPr>
        <a:xfrm>
          <a:off x="0" y="4362450"/>
          <a:ext cx="73533000" cy="10668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oneCellAnchor>
    <xdr:from>
      <xdr:col>0</xdr:col>
      <xdr:colOff>380999</xdr:colOff>
      <xdr:row>22</xdr:row>
      <xdr:rowOff>142875</xdr:rowOff>
    </xdr:from>
    <xdr:ext cx="16868775" cy="962025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1C65256-0C6A-4CFF-AF9D-6EEF2E85B6D7}"/>
            </a:ext>
          </a:extLst>
        </xdr:cNvPr>
        <xdr:cNvSpPr/>
      </xdr:nvSpPr>
      <xdr:spPr>
        <a:xfrm>
          <a:off x="380999" y="4333875"/>
          <a:ext cx="16868775" cy="9620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ALL</a:t>
          </a:r>
          <a:r>
            <a:rPr lang="en-US" sz="6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 EXPENSES &amp; ALL OTHER INCOME</a:t>
          </a:r>
          <a:endParaRPr lang="en-US" sz="6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lgerian" panose="04020705040A02060702" pitchFamily="82" charset="0"/>
          </a:endParaRP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ODA GOLD" id="{F2073BF5-E815-47D2-813A-B35E330311E5}" userId="4a0dfca06ca6dbf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203.793540972219" createdVersion="8" refreshedVersion="8" minRefreshableVersion="3" recordCount="792" xr:uid="{24B27E38-3953-4071-BF75-09C1B53DBD62}">
  <cacheSource type="worksheet">
    <worksheetSource ref="A1:R6000" sheet="ALL EXPENSES AND OTHER INCOME"/>
  </cacheSource>
  <cacheFields count="18">
    <cacheField name="DATE" numFmtId="0">
      <sharedItems containsNonDate="0" containsDate="1" containsString="0" containsBlank="1" minDate="2026-03-02T00:00:00" maxDate="2026-06-30T00:00:00"/>
    </cacheField>
    <cacheField name="PMT METHOD" numFmtId="0">
      <sharedItems containsBlank="1" count="28">
        <s v="CASH ON HAND"/>
        <s v="XMXX BHAI JV"/>
        <s v="FACTORY CONSUMABLES"/>
        <s v="XXX BHAI JV"/>
        <s v="ADVANCE TO WORKERS"/>
        <s v="MPXX ROSE"/>
        <s v="XXX BANK "/>
        <s v="XXX TRAV. ADV."/>
        <s v="VISA RELATED EXPENSES"/>
        <s v="XMNXX BHAI JV"/>
        <s v="XXX RES."/>
        <s v="XXX PORTAL D."/>
        <s v="CHEQUE"/>
        <m/>
        <s v="ZAHEER BHAI JV" u="1"/>
        <s v="FAZEL BHAI JV" u="1"/>
        <s v="GOLDEN ROSE" u="1"/>
        <s v="RAK BANK " u="1"/>
        <s v="JAMAL TRAV. ADV." u="1"/>
        <s v="HEKMAT BHAI JV" u="1"/>
        <s v="AL KHAHREEF RES." u="1"/>
        <s v="JAFZA PORTAL D." u="1"/>
        <s v="JAFZA PORTAL DEPOSIT" u="1"/>
        <s v="AL KHAREEF REST." u="1"/>
        <s v="RAK BANK" u="1"/>
        <s v="JAMAL TRAV. ADVANCE" u="1"/>
        <s v="AL KHAREEF RESTAURANT" u="1"/>
        <s v="JAFZA PORTAL DEPOSITE" u="1"/>
      </sharedItems>
    </cacheField>
    <cacheField name="CATEGORY" numFmtId="0">
      <sharedItems containsBlank="1" count="56">
        <s v="FACTORY CONSUMABLES"/>
        <s v="STATIONERY EXPENSES"/>
        <s v="STAFF WELFARE EXPENSES"/>
        <s v="TEA &amp; FOOD EXPENSES"/>
        <s v="COURIER CHARGE"/>
        <s v="ADVANCE TO WORKERS"/>
        <s v="PETROL TOYOTA COROLLA"/>
        <s v="SALARY PAYBLE"/>
        <s v="AIR FLIGHT TRAVELLING EXPENSES"/>
        <s v="LOCAL TRAVILING EXPENSES"/>
        <s v="VISA RELATED EXPENSES"/>
        <s v="PERSONAL EXP FAZEL BHAI"/>
        <s v="METAL TESTING CHARGES"/>
        <s v="AL KHAREEF RESTAURANT"/>
        <s v="FACTORY EXPENSES"/>
        <s v="EMIRATES ID APPLICATION "/>
        <s v="URD MACHINERY &amp; EQUIPMENT"/>
        <s v="SALIK RECHARGE FOR CAR"/>
        <s v="JAFZA PORTAL D."/>
        <s v="HOSPITAL &amp; MEDICAL EXP'S"/>
        <s v="MACHINERY &amp; REPAIR MAINTAINCE"/>
        <s v="CAR PARKING"/>
        <s v="DEWA &amp; EMPOWER EXP ALKHIAL"/>
        <s v="CAMP RENT"/>
        <s v="SERVICE CHARGES"/>
        <s v="VEHICLE REPAIR &amp; MAINT"/>
        <s v="JAMAL TRAVELS"/>
        <s v="MOBILE,TEL &amp; WIFI EXPENSES"/>
        <s v="PERSONAL EXP ZAHEER BHAI"/>
        <s v="MACHINERY"/>
        <s v="MEDICAL INSURANCE"/>
        <s v="COMPUTER REPAIR &amp; MAINT"/>
        <s v="BASE RENT"/>
        <s v="CHILER CHARGE"/>
        <s v="EMAAR SERVICE CHARGES"/>
        <s v="BANK CHARGES"/>
        <s v="ELECTRICITY BILL FACTORY"/>
        <s v="WATER CHARGES"/>
        <s v="PERSONAL EXP HEKMAT BHAI"/>
        <s v="ROOM RENT OF TWO ROOM"/>
        <s v="VAT PAYABLE"/>
        <s v="PROFESSIONAL FEES"/>
        <s v="SCRAP INCOME"/>
        <s v="SOFTWARE"/>
        <s v="GOLDEN ROSE"/>
        <s v="VISA EXPS"/>
        <s v="RAK BANK"/>
        <s v="GAS BILL FOR FACTORY"/>
        <s v="WASTAGE SELLING INCOME"/>
        <s v="JAFZA PORTAL DEPOSIT"/>
        <s v="DEWA &amp; EMPOWER EXP ALKHIAL ROOM"/>
        <s v="SERVICE CHARGE"/>
        <s v="AIR FLIGHT TRAVLING EXPENSES"/>
        <s v="AMC FOR GAS"/>
        <s v="EMIRATES ID APPLICATION"/>
        <m/>
      </sharedItems>
    </cacheField>
    <cacheField name="EXPENSES -- ADVANCE-- OTHER INCOME" numFmtId="0">
      <sharedItems containsBlank="1"/>
    </cacheField>
    <cacheField name="EXPENSES WITHOUT TAX (BILL)" numFmtId="0">
      <sharedItems containsString="0" containsBlank="1" containsNumber="1" minValue="-8384.2999999999993" maxValue="176311"/>
    </cacheField>
    <cacheField name="5% TAX ON EXP (BILL)" numFmtId="0">
      <sharedItems containsBlank="1" containsMixedTypes="1" containsNumber="1" minValue="-8.8094999999999999" maxValue="2077.9749999999999"/>
    </cacheField>
    <cacheField name="EXPE WITH TAX (BILL)" numFmtId="0">
      <sharedItems containsString="0" containsBlank="1" containsNumber="1" minValue="-8384.2999999999993" maxValue="176311"/>
    </cacheField>
    <cacheField name="ADVANCE (BILL)" numFmtId="0">
      <sharedItems containsString="0" containsBlank="1" containsNumber="1" minValue="-855" maxValue="14200"/>
    </cacheField>
    <cacheField name="OTHER INCOME (BILL)" numFmtId="0">
      <sharedItems containsString="0" containsBlank="1" containsNumber="1" containsInteger="1" minValue="10000" maxValue="10020"/>
    </cacheField>
    <cacheField name="PERSONAL EX (BILL)" numFmtId="0">
      <sharedItems containsString="0" containsBlank="1" containsNumber="1" minValue="400" maxValue="15000"/>
    </cacheField>
    <cacheField name="EXP - MACHINERY WITHOUT TAX (BILL)" numFmtId="0">
      <sharedItems containsString="0" containsBlank="1" containsNumber="1" minValue="-7432.47" maxValue="5564.35"/>
    </cacheField>
    <cacheField name="5% TAX ON MACH (BILL)" numFmtId="0">
      <sharedItems containsBlank="1" containsMixedTypes="1" containsNumber="1" containsInteger="1" minValue="0" maxValue="45"/>
    </cacheField>
    <cacheField name="EXP - MACHINERY WITH TAX(BILL)" numFmtId="0">
      <sharedItems containsString="0" containsBlank="1" containsNumber="1" minValue="-7432.47" maxValue="5564.35"/>
    </cacheField>
    <cacheField name="EXPENSES (W/B)" numFmtId="0">
      <sharedItems containsString="0" containsBlank="1" containsNumber="1" containsInteger="1" minValue="240" maxValue="36000"/>
    </cacheField>
    <cacheField name="ADVANCE (W/B)" numFmtId="0">
      <sharedItems containsNonDate="0" containsString="0" containsBlank="1"/>
    </cacheField>
    <cacheField name="OTHER INCOME (W/B)" numFmtId="0">
      <sharedItems containsString="0" containsBlank="1" containsNumber="1" containsInteger="1" minValue="800" maxValue="15000"/>
    </cacheField>
    <cacheField name="PER EX(W/B)" numFmtId="0">
      <sharedItems containsNonDate="0" containsString="0" containsBlank="1"/>
    </cacheField>
    <cacheField name="EXP - MACHI (W/B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203.793541550927" createdVersion="8" refreshedVersion="8" minRefreshableVersion="3" recordCount="791" xr:uid="{87EE4555-44F9-4790-852C-E9130575029D}">
  <cacheSource type="worksheet">
    <worksheetSource ref="A1:Z5000" sheet="DAILY TRANSACTION WITH BILL"/>
  </cacheSource>
  <cacheFields count="26">
    <cacheField name="Date" numFmtId="0">
      <sharedItems containsNonDate="0" containsDate="1" containsString="0" containsBlank="1" minDate="2026-02-02T00:00:00" maxDate="2026-06-30T00:00:00"/>
    </cacheField>
    <cacheField name="Category" numFmtId="0">
      <sharedItems containsBlank="1"/>
    </cacheField>
    <cacheField name="Customer Name" numFmtId="0">
      <sharedItems containsBlank="1"/>
    </cacheField>
    <cacheField name="Gross W/T" numFmtId="0">
      <sharedItems containsString="0" containsBlank="1" containsNumber="1" minValue="0" maxValue="9546"/>
    </cacheField>
    <cacheField name="Purity" numFmtId="0">
      <sharedItems containsString="0" containsBlank="1" containsNumber="1" minValue="0.875" maxValue="1"/>
    </cacheField>
    <cacheField name="Pure W/T" numFmtId="0">
      <sharedItems containsString="0" containsBlank="1" containsNumber="1" minValue="0" maxValue="8400.48"/>
    </cacheField>
    <cacheField name="MC Rate" numFmtId="0">
      <sharedItems containsBlank="1" containsMixedTypes="1" containsNumber="1" minValue="0" maxValue="300.73544242576713"/>
    </cacheField>
    <cacheField name="Making Amt" numFmtId="0">
      <sharedItems containsString="0" containsBlank="1" containsNumber="1" minValue="0" maxValue="44317.05"/>
    </cacheField>
    <cacheField name="S.Gross W/T" numFmtId="0">
      <sharedItems containsBlank="1" containsMixedTypes="1" containsNumber="1" minValue="0" maxValue="9546"/>
    </cacheField>
    <cacheField name="S.R. Gross W/T" numFmtId="0">
      <sharedItems containsBlank="1" containsMixedTypes="1" containsNumber="1" minValue="45.2" maxValue="3531.44"/>
    </cacheField>
    <cacheField name="S.Pure Gross W/T" numFmtId="0">
      <sharedItems containsBlank="1" containsMixedTypes="1" containsNumber="1" minValue="0" maxValue="8400.48"/>
    </cacheField>
    <cacheField name="S.R. Pure Gross W/T" numFmtId="0">
      <sharedItems containsBlank="1" containsMixedTypes="1" containsNumber="1" minValue="39.776000000000003" maxValue="3107.6671999999999"/>
    </cacheField>
    <cacheField name="S.Making Amt Inc Tax" numFmtId="0">
      <sharedItems containsBlank="1" containsMixedTypes="1" containsNumber="1" minValue="0" maxValue="46532.902500000004"/>
    </cacheField>
    <cacheField name="S.R.Making Amt Inc Tax" numFmtId="0">
      <sharedItems containsBlank="1" containsMixedTypes="1" containsNumber="1" minValue="0" maxValue="13263.6"/>
    </cacheField>
    <cacheField name="Purch.Gross W/T" numFmtId="0">
      <sharedItems containsBlank="1" containsMixedTypes="1" containsNumber="1" minValue="20.52" maxValue="6412.6"/>
    </cacheField>
    <cacheField name="M.P.Gross W/T" numFmtId="0">
      <sharedItems containsBlank="1" containsMixedTypes="1" containsNumber="1" minValue="58" maxValue="995"/>
    </cacheField>
    <cacheField name="Pure Purch. Gross W/T" numFmtId="0">
      <sharedItems containsBlank="1" containsMixedTypes="1" containsNumber="1" minValue="20.417400000000001" maxValue="5643.0880000000006"/>
    </cacheField>
    <cacheField name="M.P. Pure Gross W/T" numFmtId="0">
      <sharedItems containsBlank="1" containsMixedTypes="1" containsNumber="1" minValue="57.71" maxValue="990.02499999999998"/>
    </cacheField>
    <cacheField name="P.Making Amt Inc Tax" numFmtId="0">
      <sharedItems containsBlank="1" containsMixedTypes="1" containsNumber="1" minValue="0" maxValue="3150"/>
    </cacheField>
    <cacheField name="M.P. Making Amt" numFmtId="0">
      <sharedItems containsBlank="1" containsMixedTypes="1" containsNumber="1" containsInteger="1" minValue="0" maxValue="0"/>
    </cacheField>
    <cacheField name="MAKING CASH RCVD" numFmtId="0">
      <sharedItems containsString="0" containsBlank="1" containsNumber="1" minValue="415" maxValue="200000"/>
    </cacheField>
    <cacheField name="MAKING CHQ RCVD" numFmtId="0">
      <sharedItems containsString="0" containsBlank="1" containsNumber="1" containsInteger="1" minValue="3000" maxValue="75000"/>
    </cacheField>
    <cacheField name="PUR. MAK. CASH PMT" numFmtId="0">
      <sharedItems containsString="0" containsBlank="1" containsNumber="1" containsInteger="1" minValue="2350" maxValue="8000"/>
    </cacheField>
    <cacheField name="PUR MAK CHQ PMT" numFmtId="0">
      <sharedItems containsNonDate="0" containsString="0" containsBlank="1"/>
    </cacheField>
    <cacheField name="Old Balance Debit Or Credit" numFmtId="0">
      <sharedItems containsString="0" containsBlank="1" containsNumber="1" minValue="-7310.31" maxValue="478749.71"/>
    </cacheField>
    <cacheField name="Old Gold Debit Or Credit" numFmtId="0">
      <sharedItems containsString="0" containsBlank="1" containsNumber="1" minValue="-128.45500000000001" maxValue="9547.8179999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203.793541898151" createdVersion="8" refreshedVersion="8" minRefreshableVersion="3" recordCount="340" xr:uid="{4477F175-8A8D-4F4F-99C5-A5D4037CB004}">
  <cacheSource type="worksheet">
    <worksheetSource ref="A1:Z5000" sheet="DAILY TRANSACTION WITHOUT BILL"/>
  </cacheSource>
  <cacheFields count="26">
    <cacheField name="Date" numFmtId="0">
      <sharedItems containsNonDate="0" containsDate="1" containsString="0" containsBlank="1" minDate="2026-02-02T00:00:00" maxDate="2026-06-30T00:00:00"/>
    </cacheField>
    <cacheField name="Category" numFmtId="0">
      <sharedItems containsBlank="1"/>
    </cacheField>
    <cacheField name="Customer Name" numFmtId="0">
      <sharedItems containsBlank="1"/>
    </cacheField>
    <cacheField name="Gross W/T" numFmtId="0">
      <sharedItems containsString="0" containsBlank="1" containsNumber="1" minValue="2" maxValue="6565"/>
    </cacheField>
    <cacheField name="Purity" numFmtId="0">
      <sharedItems containsString="0" containsBlank="1" containsNumber="1" minValue="0.75" maxValue="1"/>
    </cacheField>
    <cacheField name="Pure W/T" numFmtId="0">
      <sharedItems containsString="0" containsBlank="1" containsNumber="1" minValue="0" maxValue="5777.2"/>
    </cacheField>
    <cacheField name="MC Rate" numFmtId="0">
      <sharedItems containsBlank="1" containsMixedTypes="1" containsNumber="1" minValue="0" maxValue="261.57499999999999"/>
    </cacheField>
    <cacheField name="Making Amt" numFmtId="0">
      <sharedItems containsString="0" containsBlank="1" containsNumber="1" minValue="0" maxValue="59676.75"/>
    </cacheField>
    <cacheField name="S.Gross W/T" numFmtId="0">
      <sharedItems containsBlank="1" containsMixedTypes="1" containsNumber="1" minValue="32" maxValue="3378.4"/>
    </cacheField>
    <cacheField name="S.R. Gross W/T" numFmtId="0">
      <sharedItems containsBlank="1"/>
    </cacheField>
    <cacheField name="S.Pure Gross W/T" numFmtId="0">
      <sharedItems containsBlank="1" containsMixedTypes="1" containsNumber="1" minValue="28.16" maxValue="2972.9920000000002"/>
    </cacheField>
    <cacheField name="S.R. Pure Gross W/T" numFmtId="0">
      <sharedItems containsBlank="1"/>
    </cacheField>
    <cacheField name="S.Making Amt" numFmtId="0">
      <sharedItems containsBlank="1" containsMixedTypes="1" containsNumber="1" minValue="0" maxValue="59676.75"/>
    </cacheField>
    <cacheField name="S.R.Making Amt" numFmtId="0">
      <sharedItems containsBlank="1"/>
    </cacheField>
    <cacheField name="Purch.Gross W/T" numFmtId="0">
      <sharedItems containsBlank="1" containsMixedTypes="1" containsNumber="1" minValue="24" maxValue="6565"/>
    </cacheField>
    <cacheField name="M.P.Gross W/T" numFmtId="0">
      <sharedItems containsBlank="1" containsMixedTypes="1" containsNumber="1" minValue="2" maxValue="2000"/>
    </cacheField>
    <cacheField name="Pure.Purch Gross W/T" numFmtId="0">
      <sharedItems containsBlank="1" containsMixedTypes="1" containsNumber="1" minValue="23.88" maxValue="5777.2"/>
    </cacheField>
    <cacheField name="M.P. Pure Gross W/T" numFmtId="0">
      <sharedItems containsBlank="1" containsMixedTypes="1" containsNumber="1" minValue="1.99" maxValue="1990"/>
    </cacheField>
    <cacheField name="P.Making Amt" numFmtId="0">
      <sharedItems containsBlank="1" containsMixedTypes="1" containsNumber="1" minValue="0" maxValue="3622.9199999999996"/>
    </cacheField>
    <cacheField name="M.P. Making Amt" numFmtId="0">
      <sharedItems containsBlank="1" containsMixedTypes="1" containsNumber="1" containsInteger="1" minValue="0" maxValue="0"/>
    </cacheField>
    <cacheField name="MAKING CASH RCVD" numFmtId="0">
      <sharedItems containsString="0" containsBlank="1" containsNumber="1" containsInteger="1" minValue="206" maxValue="104035"/>
    </cacheField>
    <cacheField name="MAKING CHQ RCVD" numFmtId="0">
      <sharedItems containsNonDate="0" containsString="0" containsBlank="1"/>
    </cacheField>
    <cacheField name="PUR. MAK. CASH PMT" numFmtId="0">
      <sharedItems containsString="0" containsBlank="1" containsNumber="1" containsInteger="1" minValue="770" maxValue="5650"/>
    </cacheField>
    <cacheField name="PUR MAK CHQ PMT" numFmtId="0">
      <sharedItems containsNonDate="0" containsString="0" containsBlank="1"/>
    </cacheField>
    <cacheField name="Old Balance Debit Or Credit" numFmtId="0">
      <sharedItems containsString="0" containsBlank="1" containsNumber="1" minValue="-497246.75" maxValue="37253.11"/>
    </cacheField>
    <cacheField name="Old Gold Debit Or Credit" numFmtId="0">
      <sharedItems containsString="0" containsBlank="1" containsNumber="1" minValue="-990.39" maxValue="1275.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203.797828472219" createdVersion="8" refreshedVersion="8" minRefreshableVersion="3" recordCount="791" xr:uid="{B46FCB11-F391-4C94-B872-C9C6EB87E9EB}">
  <cacheSource type="worksheet">
    <worksheetSource ref="A1:R792" sheet="ALL EXPENSES AND OTHER INCOME"/>
  </cacheSource>
  <cacheFields count="18">
    <cacheField name="DATE" numFmtId="14">
      <sharedItems containsSemiMixedTypes="0" containsNonDate="0" containsDate="1" containsString="0" minDate="2026-03-02T00:00:00" maxDate="2026-06-30T00:00:00"/>
    </cacheField>
    <cacheField name="PMT METHOD" numFmtId="0">
      <sharedItems count="13">
        <s v="CASH ON HAND"/>
        <s v="XMXX BHAI JV"/>
        <s v="FACTORY CONSUMABLES"/>
        <s v="XXX BHAI JV"/>
        <s v="ADVANCE TO WORKERS"/>
        <s v="MPXX ROSE"/>
        <s v="XXX BANK "/>
        <s v="XXX TRAV. ADV."/>
        <s v="VISA RELATED EXPENSES"/>
        <s v="XMNXX BHAI JV"/>
        <s v="XXX RES."/>
        <s v="XXX PORTAL D."/>
        <s v="CHEQUE"/>
      </sharedItems>
    </cacheField>
    <cacheField name="CATEGORY" numFmtId="0">
      <sharedItems/>
    </cacheField>
    <cacheField name="EXPENSES -- ADVANCE-- OTHER INCOME" numFmtId="0">
      <sharedItems/>
    </cacheField>
    <cacheField name="EXPENSES WITHOUT TAX (BILL)" numFmtId="0">
      <sharedItems containsString="0" containsBlank="1" containsNumber="1" minValue="-8384.2999999999993" maxValue="176311"/>
    </cacheField>
    <cacheField name="5% TAX ON EXP (BILL)" numFmtId="0">
      <sharedItems containsMixedTypes="1" containsNumber="1" minValue="-8.8094999999999999" maxValue="2077.9749999999999"/>
    </cacheField>
    <cacheField name="EXPE WITH TAX (BILL)" numFmtId="2">
      <sharedItems containsSemiMixedTypes="0" containsString="0" containsNumber="1" minValue="-8384.2999999999993" maxValue="176311"/>
    </cacheField>
    <cacheField name="ADVANCE (BILL)" numFmtId="0">
      <sharedItems containsString="0" containsBlank="1" containsNumber="1" minValue="-855" maxValue="14200"/>
    </cacheField>
    <cacheField name="OTHER INCOME (BILL)" numFmtId="0">
      <sharedItems containsString="0" containsBlank="1" containsNumber="1" containsInteger="1" minValue="10000" maxValue="10020"/>
    </cacheField>
    <cacheField name="PERSONAL EX (BILL)" numFmtId="0">
      <sharedItems containsString="0" containsBlank="1" containsNumber="1" minValue="400" maxValue="15000"/>
    </cacheField>
    <cacheField name="EXP - MACHINERY WITHOUT TAX (BILL)" numFmtId="0">
      <sharedItems containsString="0" containsBlank="1" containsNumber="1" minValue="-7432.47" maxValue="5564.35"/>
    </cacheField>
    <cacheField name="5% TAX ON MACH (BILL)" numFmtId="0">
      <sharedItems containsMixedTypes="1" containsNumber="1" containsInteger="1" minValue="0" maxValue="45"/>
    </cacheField>
    <cacheField name="EXP - MACHINERY WITH TAX(BILL)" numFmtId="0">
      <sharedItems containsSemiMixedTypes="0" containsString="0" containsNumber="1" minValue="-7432.47" maxValue="5564.35"/>
    </cacheField>
    <cacheField name="EXPENSES (W/B)" numFmtId="0">
      <sharedItems containsString="0" containsBlank="1" containsNumber="1" containsInteger="1" minValue="240" maxValue="36000"/>
    </cacheField>
    <cacheField name="ADVANCE (W/B)" numFmtId="0">
      <sharedItems containsNonDate="0" containsString="0" containsBlank="1"/>
    </cacheField>
    <cacheField name="OTHER INCOME (W/B)" numFmtId="0">
      <sharedItems containsString="0" containsBlank="1" containsNumber="1" containsInteger="1" minValue="800" maxValue="15000"/>
    </cacheField>
    <cacheField name="PER EX(W/B)" numFmtId="0">
      <sharedItems containsNonDate="0" containsString="0" containsBlank="1"/>
    </cacheField>
    <cacheField name="EXP - MACHI (W/B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2">
  <r>
    <d v="2026-06-01T00:00:00"/>
    <x v="0"/>
    <x v="0"/>
    <s v="NON"/>
    <n v="1322.62"/>
    <n v="66.131"/>
    <n v="1388.751"/>
    <m/>
    <m/>
    <m/>
    <m/>
    <n v="0"/>
    <n v="0"/>
    <m/>
    <m/>
    <m/>
    <m/>
    <m/>
  </r>
  <r>
    <d v="2026-06-01T00:00:00"/>
    <x v="0"/>
    <x v="1"/>
    <s v="NON"/>
    <n v="153.75"/>
    <n v="7.6875"/>
    <n v="161.4375"/>
    <m/>
    <m/>
    <m/>
    <m/>
    <n v="0"/>
    <n v="0"/>
    <m/>
    <m/>
    <m/>
    <m/>
    <m/>
  </r>
  <r>
    <d v="2026-06-01T00:00:00"/>
    <x v="0"/>
    <x v="0"/>
    <s v="NON"/>
    <n v="96"/>
    <s v="NO TAX"/>
    <n v="96"/>
    <m/>
    <m/>
    <m/>
    <m/>
    <n v="0"/>
    <n v="0"/>
    <m/>
    <m/>
    <m/>
    <m/>
    <m/>
  </r>
  <r>
    <d v="2026-06-01T00:00:00"/>
    <x v="0"/>
    <x v="2"/>
    <s v="NON"/>
    <n v="28"/>
    <s v="NO TAX"/>
    <n v="28"/>
    <m/>
    <m/>
    <m/>
    <m/>
    <n v="0"/>
    <n v="0"/>
    <m/>
    <m/>
    <m/>
    <m/>
    <m/>
  </r>
  <r>
    <d v="2026-06-01T00:00:00"/>
    <x v="0"/>
    <x v="3"/>
    <s v="NON"/>
    <n v="20"/>
    <s v="NO TAX"/>
    <n v="20"/>
    <m/>
    <m/>
    <m/>
    <m/>
    <n v="0"/>
    <n v="0"/>
    <m/>
    <m/>
    <m/>
    <m/>
    <m/>
  </r>
  <r>
    <d v="2026-06-01T00:00:00"/>
    <x v="0"/>
    <x v="2"/>
    <s v="NON"/>
    <n v="57"/>
    <s v="NO TAX"/>
    <n v="57"/>
    <m/>
    <m/>
    <m/>
    <m/>
    <n v="0"/>
    <n v="0"/>
    <m/>
    <m/>
    <m/>
    <m/>
    <m/>
  </r>
  <r>
    <d v="2026-06-02T00:00:00"/>
    <x v="0"/>
    <x v="4"/>
    <s v="NON"/>
    <n v="16"/>
    <s v="NO TAX"/>
    <n v="16"/>
    <m/>
    <m/>
    <m/>
    <m/>
    <n v="0"/>
    <n v="0"/>
    <m/>
    <m/>
    <m/>
    <m/>
    <m/>
  </r>
  <r>
    <d v="2026-06-02T00:00:00"/>
    <x v="0"/>
    <x v="5"/>
    <s v="NON"/>
    <m/>
    <n v="0"/>
    <n v="0"/>
    <n v="500"/>
    <m/>
    <m/>
    <m/>
    <n v="0"/>
    <n v="0"/>
    <m/>
    <m/>
    <m/>
    <m/>
    <m/>
  </r>
  <r>
    <d v="2026-06-02T00:00:00"/>
    <x v="0"/>
    <x v="6"/>
    <s v="NON"/>
    <n v="160"/>
    <s v="NO TAX"/>
    <n v="160"/>
    <m/>
    <m/>
    <m/>
    <m/>
    <n v="0"/>
    <n v="0"/>
    <m/>
    <m/>
    <m/>
    <m/>
    <m/>
  </r>
  <r>
    <d v="2026-06-02T00:00:00"/>
    <x v="0"/>
    <x v="0"/>
    <s v="NON"/>
    <n v="116"/>
    <n v="5.8000000000000007"/>
    <n v="121.8"/>
    <m/>
    <m/>
    <m/>
    <m/>
    <n v="0"/>
    <n v="0"/>
    <m/>
    <m/>
    <m/>
    <m/>
    <m/>
  </r>
  <r>
    <d v="2026-06-02T00:00:00"/>
    <x v="0"/>
    <x v="0"/>
    <s v="NON"/>
    <n v="10"/>
    <s v="NO TAX"/>
    <n v="10"/>
    <m/>
    <m/>
    <m/>
    <m/>
    <n v="0"/>
    <n v="0"/>
    <m/>
    <m/>
    <m/>
    <m/>
    <m/>
  </r>
  <r>
    <d v="2026-06-02T00:00:00"/>
    <x v="0"/>
    <x v="7"/>
    <s v="NON"/>
    <n v="90"/>
    <s v="NO TAX"/>
    <n v="90"/>
    <m/>
    <m/>
    <m/>
    <m/>
    <n v="0"/>
    <n v="0"/>
    <m/>
    <m/>
    <m/>
    <m/>
    <m/>
  </r>
  <r>
    <d v="2026-06-02T00:00:00"/>
    <x v="0"/>
    <x v="2"/>
    <s v="NON"/>
    <n v="60"/>
    <s v="NO TAX"/>
    <n v="60"/>
    <m/>
    <m/>
    <m/>
    <m/>
    <n v="0"/>
    <n v="0"/>
    <m/>
    <m/>
    <m/>
    <m/>
    <m/>
  </r>
  <r>
    <d v="2026-06-02T00:00:00"/>
    <x v="0"/>
    <x v="3"/>
    <s v="NON"/>
    <n v="10"/>
    <s v="NO TAX"/>
    <n v="10"/>
    <m/>
    <m/>
    <m/>
    <m/>
    <n v="0"/>
    <n v="0"/>
    <m/>
    <m/>
    <m/>
    <m/>
    <m/>
  </r>
  <r>
    <d v="2026-06-02T00:00:00"/>
    <x v="1"/>
    <x v="8"/>
    <s v="NON"/>
    <n v="883.52"/>
    <s v="NO TAX"/>
    <n v="883.52"/>
    <m/>
    <m/>
    <m/>
    <m/>
    <n v="0"/>
    <n v="0"/>
    <m/>
    <m/>
    <m/>
    <m/>
    <m/>
  </r>
  <r>
    <d v="2026-06-03T00:00:00"/>
    <x v="0"/>
    <x v="4"/>
    <s v="NON"/>
    <n v="200"/>
    <s v="NO TAX"/>
    <n v="200"/>
    <m/>
    <m/>
    <m/>
    <m/>
    <n v="0"/>
    <n v="0"/>
    <m/>
    <m/>
    <m/>
    <m/>
    <m/>
  </r>
  <r>
    <d v="2026-06-03T00:00:00"/>
    <x v="0"/>
    <x v="0"/>
    <s v="NON"/>
    <n v="49"/>
    <s v="NO TAX"/>
    <n v="49"/>
    <m/>
    <m/>
    <m/>
    <m/>
    <n v="0"/>
    <n v="0"/>
    <m/>
    <m/>
    <m/>
    <m/>
    <m/>
  </r>
  <r>
    <d v="2026-06-03T00:00:00"/>
    <x v="0"/>
    <x v="9"/>
    <s v="NON"/>
    <n v="60"/>
    <s v="NO TAX"/>
    <n v="60"/>
    <m/>
    <m/>
    <m/>
    <m/>
    <n v="0"/>
    <n v="0"/>
    <m/>
    <m/>
    <m/>
    <m/>
    <m/>
  </r>
  <r>
    <d v="2026-06-03T00:00:00"/>
    <x v="0"/>
    <x v="10"/>
    <s v="NON"/>
    <n v="1200"/>
    <s v="NO TAX"/>
    <n v="1200"/>
    <m/>
    <m/>
    <m/>
    <m/>
    <n v="0"/>
    <n v="0"/>
    <m/>
    <m/>
    <m/>
    <m/>
    <m/>
  </r>
  <r>
    <d v="2026-06-04T00:00:00"/>
    <x v="0"/>
    <x v="0"/>
    <s v="NON"/>
    <n v="142.85714285714286"/>
    <n v="7.1428571428571432"/>
    <n v="150"/>
    <m/>
    <m/>
    <m/>
    <m/>
    <n v="0"/>
    <n v="0"/>
    <m/>
    <m/>
    <m/>
    <m/>
    <m/>
  </r>
  <r>
    <d v="2026-06-04T00:00:00"/>
    <x v="0"/>
    <x v="3"/>
    <s v="NON"/>
    <n v="13"/>
    <s v="NO TAX"/>
    <n v="13"/>
    <m/>
    <m/>
    <m/>
    <m/>
    <n v="0"/>
    <n v="0"/>
    <m/>
    <m/>
    <m/>
    <m/>
    <m/>
  </r>
  <r>
    <d v="2026-06-04T00:00:00"/>
    <x v="0"/>
    <x v="0"/>
    <s v="NON"/>
    <n v="400"/>
    <n v="20"/>
    <n v="420"/>
    <m/>
    <m/>
    <m/>
    <m/>
    <n v="0"/>
    <n v="0"/>
    <m/>
    <m/>
    <m/>
    <m/>
    <m/>
  </r>
  <r>
    <d v="2026-06-04T00:00:00"/>
    <x v="0"/>
    <x v="11"/>
    <s v="NON"/>
    <m/>
    <n v="0"/>
    <n v="0"/>
    <m/>
    <m/>
    <n v="13210"/>
    <m/>
    <n v="0"/>
    <n v="0"/>
    <m/>
    <m/>
    <m/>
    <m/>
    <m/>
  </r>
  <r>
    <d v="2026-06-04T00:00:00"/>
    <x v="0"/>
    <x v="0"/>
    <s v="NON"/>
    <n v="285.71428571428572"/>
    <n v="14.285714285714286"/>
    <n v="300"/>
    <m/>
    <m/>
    <m/>
    <m/>
    <n v="0"/>
    <n v="0"/>
    <m/>
    <m/>
    <m/>
    <m/>
    <m/>
  </r>
  <r>
    <d v="2026-06-04T00:00:00"/>
    <x v="0"/>
    <x v="6"/>
    <s v="NON"/>
    <n v="142"/>
    <s v="NO TAX"/>
    <n v="142"/>
    <m/>
    <m/>
    <m/>
    <m/>
    <n v="0"/>
    <n v="0"/>
    <m/>
    <m/>
    <m/>
    <m/>
    <m/>
  </r>
  <r>
    <d v="2026-06-04T00:00:00"/>
    <x v="0"/>
    <x v="2"/>
    <s v="NON"/>
    <n v="16120"/>
    <s v="NO TAX"/>
    <n v="16120"/>
    <m/>
    <m/>
    <m/>
    <m/>
    <n v="0"/>
    <n v="0"/>
    <m/>
    <m/>
    <m/>
    <m/>
    <m/>
  </r>
  <r>
    <d v="2026-06-05T00:00:00"/>
    <x v="0"/>
    <x v="0"/>
    <s v="NON"/>
    <n v="5714.29"/>
    <n v="285.71449999999999"/>
    <n v="6000.0045"/>
    <m/>
    <m/>
    <m/>
    <m/>
    <n v="0"/>
    <n v="0"/>
    <m/>
    <m/>
    <m/>
    <m/>
    <m/>
  </r>
  <r>
    <d v="2026-06-05T00:00:00"/>
    <x v="0"/>
    <x v="12"/>
    <s v="NON"/>
    <n v="142.86000000000001"/>
    <n v="7.1430000000000007"/>
    <n v="150.00300000000001"/>
    <m/>
    <m/>
    <m/>
    <m/>
    <n v="0"/>
    <n v="0"/>
    <m/>
    <m/>
    <m/>
    <m/>
    <m/>
  </r>
  <r>
    <d v="2026-06-05T00:00:00"/>
    <x v="0"/>
    <x v="5"/>
    <s v="NON"/>
    <m/>
    <n v="0"/>
    <n v="0"/>
    <n v="100"/>
    <m/>
    <m/>
    <m/>
    <n v="0"/>
    <n v="0"/>
    <m/>
    <m/>
    <m/>
    <m/>
    <m/>
  </r>
  <r>
    <d v="2026-06-05T00:00:00"/>
    <x v="0"/>
    <x v="2"/>
    <s v="NON"/>
    <n v="850"/>
    <s v="NO TAX"/>
    <n v="850"/>
    <m/>
    <m/>
    <m/>
    <m/>
    <n v="0"/>
    <n v="0"/>
    <m/>
    <m/>
    <m/>
    <m/>
    <m/>
  </r>
  <r>
    <d v="2026-06-05T00:00:00"/>
    <x v="0"/>
    <x v="2"/>
    <s v="NON"/>
    <n v="260"/>
    <s v="NO TAX"/>
    <n v="260"/>
    <m/>
    <m/>
    <m/>
    <m/>
    <n v="0"/>
    <n v="0"/>
    <m/>
    <m/>
    <m/>
    <m/>
    <m/>
  </r>
  <r>
    <d v="2026-06-05T00:00:00"/>
    <x v="0"/>
    <x v="9"/>
    <s v="NON"/>
    <n v="210"/>
    <s v="NO TAX"/>
    <n v="210"/>
    <m/>
    <m/>
    <m/>
    <m/>
    <n v="0"/>
    <n v="0"/>
    <m/>
    <m/>
    <m/>
    <m/>
    <m/>
  </r>
  <r>
    <d v="2026-06-05T00:00:00"/>
    <x v="0"/>
    <x v="0"/>
    <s v="NON"/>
    <n v="60"/>
    <n v="3"/>
    <n v="63"/>
    <m/>
    <m/>
    <m/>
    <m/>
    <n v="0"/>
    <n v="0"/>
    <m/>
    <m/>
    <m/>
    <m/>
    <m/>
  </r>
  <r>
    <d v="2026-06-05T00:00:00"/>
    <x v="0"/>
    <x v="3"/>
    <s v="NON"/>
    <n v="7"/>
    <s v="NO TAX"/>
    <n v="7"/>
    <m/>
    <m/>
    <m/>
    <m/>
    <n v="0"/>
    <n v="0"/>
    <m/>
    <m/>
    <m/>
    <m/>
    <m/>
  </r>
  <r>
    <d v="2026-06-05T00:00:00"/>
    <x v="0"/>
    <x v="2"/>
    <s v="NON"/>
    <n v="35"/>
    <s v="NO TAX"/>
    <n v="35"/>
    <m/>
    <m/>
    <m/>
    <m/>
    <n v="0"/>
    <n v="0"/>
    <m/>
    <m/>
    <m/>
    <m/>
    <m/>
  </r>
  <r>
    <d v="2026-06-05T00:00:00"/>
    <x v="0"/>
    <x v="2"/>
    <s v="NON"/>
    <n v="343"/>
    <s v="NO TAX"/>
    <n v="343"/>
    <m/>
    <m/>
    <m/>
    <m/>
    <n v="0"/>
    <n v="0"/>
    <m/>
    <m/>
    <m/>
    <m/>
    <m/>
  </r>
  <r>
    <d v="2026-06-05T00:00:00"/>
    <x v="0"/>
    <x v="0"/>
    <s v="NON"/>
    <n v="47.62"/>
    <n v="2.3809999999999998"/>
    <n v="50.000999999999998"/>
    <m/>
    <m/>
    <m/>
    <m/>
    <n v="0"/>
    <n v="0"/>
    <m/>
    <m/>
    <m/>
    <m/>
    <m/>
  </r>
  <r>
    <d v="2026-06-06T00:00:00"/>
    <x v="0"/>
    <x v="6"/>
    <s v="NON"/>
    <n v="125"/>
    <s v="NO TAX"/>
    <n v="125"/>
    <m/>
    <m/>
    <m/>
    <m/>
    <n v="0"/>
    <n v="0"/>
    <m/>
    <m/>
    <m/>
    <m/>
    <m/>
  </r>
  <r>
    <d v="2026-06-06T00:00:00"/>
    <x v="0"/>
    <x v="0"/>
    <s v="NON"/>
    <n v="2596.12"/>
    <n v="129.80600000000001"/>
    <n v="2725.9259999999999"/>
    <m/>
    <m/>
    <m/>
    <m/>
    <n v="0"/>
    <n v="0"/>
    <m/>
    <m/>
    <m/>
    <m/>
    <m/>
  </r>
  <r>
    <d v="2026-06-06T00:00:00"/>
    <x v="0"/>
    <x v="13"/>
    <s v="NON"/>
    <n v="1500"/>
    <s v="NO TAX"/>
    <n v="1500"/>
    <m/>
    <m/>
    <m/>
    <m/>
    <n v="0"/>
    <n v="0"/>
    <m/>
    <m/>
    <m/>
    <m/>
    <m/>
  </r>
  <r>
    <d v="2026-06-06T00:00:00"/>
    <x v="0"/>
    <x v="0"/>
    <s v="NON"/>
    <n v="203.7"/>
    <n v="10.185"/>
    <n v="213.88499999999999"/>
    <m/>
    <m/>
    <m/>
    <m/>
    <n v="0"/>
    <n v="0"/>
    <m/>
    <m/>
    <m/>
    <m/>
    <m/>
  </r>
  <r>
    <d v="2026-06-06T00:00:00"/>
    <x v="0"/>
    <x v="0"/>
    <s v="NON"/>
    <n v="23.81"/>
    <n v="1.1904999999999999"/>
    <n v="25.000499999999999"/>
    <m/>
    <m/>
    <m/>
    <m/>
    <n v="0"/>
    <n v="0"/>
    <m/>
    <m/>
    <m/>
    <m/>
    <m/>
  </r>
  <r>
    <d v="2026-06-06T00:00:00"/>
    <x v="0"/>
    <x v="14"/>
    <s v="NON"/>
    <n v="5"/>
    <n v="0.25"/>
    <n v="5.25"/>
    <m/>
    <m/>
    <m/>
    <m/>
    <n v="0"/>
    <n v="0"/>
    <m/>
    <m/>
    <m/>
    <m/>
    <m/>
  </r>
  <r>
    <d v="2026-06-06T00:00:00"/>
    <x v="0"/>
    <x v="15"/>
    <s v="NON"/>
    <n v="770"/>
    <s v="NO TAX"/>
    <n v="770"/>
    <m/>
    <m/>
    <m/>
    <m/>
    <n v="0"/>
    <n v="0"/>
    <m/>
    <m/>
    <m/>
    <m/>
    <m/>
  </r>
  <r>
    <d v="2026-06-06T00:00:00"/>
    <x v="0"/>
    <x v="16"/>
    <s v="NON"/>
    <n v="462"/>
    <s v="NO TAX"/>
    <n v="462"/>
    <m/>
    <m/>
    <m/>
    <m/>
    <n v="0"/>
    <n v="0"/>
    <m/>
    <m/>
    <m/>
    <m/>
    <m/>
  </r>
  <r>
    <d v="2026-06-06T00:00:00"/>
    <x v="0"/>
    <x v="2"/>
    <s v="NON"/>
    <n v="58"/>
    <s v="NO TAX"/>
    <n v="58"/>
    <m/>
    <m/>
    <m/>
    <m/>
    <n v="0"/>
    <n v="0"/>
    <m/>
    <m/>
    <m/>
    <m/>
    <m/>
  </r>
  <r>
    <d v="2026-06-06T00:00:00"/>
    <x v="0"/>
    <x v="17"/>
    <s v="NON"/>
    <n v="500"/>
    <s v="NO TAX"/>
    <n v="500"/>
    <m/>
    <m/>
    <m/>
    <m/>
    <n v="0"/>
    <n v="0"/>
    <m/>
    <m/>
    <m/>
    <m/>
    <m/>
  </r>
  <r>
    <d v="2026-06-06T00:00:00"/>
    <x v="0"/>
    <x v="6"/>
    <s v="NON"/>
    <n v="300"/>
    <s v="NO TAX"/>
    <n v="300"/>
    <m/>
    <m/>
    <m/>
    <m/>
    <n v="0"/>
    <n v="0"/>
    <m/>
    <m/>
    <m/>
    <m/>
    <m/>
  </r>
  <r>
    <d v="2026-06-06T00:00:00"/>
    <x v="2"/>
    <x v="11"/>
    <s v="NON"/>
    <m/>
    <n v="0"/>
    <n v="0"/>
    <m/>
    <m/>
    <n v="6675"/>
    <m/>
    <n v="0"/>
    <n v="0"/>
    <m/>
    <m/>
    <m/>
    <m/>
    <m/>
  </r>
  <r>
    <d v="2026-06-08T00:00:00"/>
    <x v="0"/>
    <x v="0"/>
    <s v="NON"/>
    <n v="200"/>
    <n v="10"/>
    <n v="210"/>
    <m/>
    <m/>
    <m/>
    <m/>
    <n v="0"/>
    <n v="0"/>
    <m/>
    <m/>
    <m/>
    <m/>
    <m/>
  </r>
  <r>
    <d v="2026-06-08T00:00:00"/>
    <x v="0"/>
    <x v="14"/>
    <s v="NON"/>
    <n v="600"/>
    <s v="NO TAX"/>
    <n v="600"/>
    <m/>
    <m/>
    <m/>
    <m/>
    <n v="0"/>
    <n v="0"/>
    <m/>
    <m/>
    <m/>
    <m/>
    <m/>
  </r>
  <r>
    <d v="2026-06-08T00:00:00"/>
    <x v="0"/>
    <x v="2"/>
    <s v="NON"/>
    <n v="58"/>
    <s v="NO TAX"/>
    <n v="58"/>
    <m/>
    <m/>
    <m/>
    <m/>
    <n v="0"/>
    <n v="0"/>
    <m/>
    <m/>
    <m/>
    <m/>
    <m/>
  </r>
  <r>
    <d v="2026-06-08T00:00:00"/>
    <x v="0"/>
    <x v="5"/>
    <s v="NON"/>
    <m/>
    <n v="0"/>
    <n v="0"/>
    <n v="1500"/>
    <m/>
    <m/>
    <m/>
    <n v="0"/>
    <n v="0"/>
    <m/>
    <m/>
    <m/>
    <m/>
    <m/>
  </r>
  <r>
    <d v="2026-06-08T00:00:00"/>
    <x v="0"/>
    <x v="5"/>
    <s v="NON"/>
    <m/>
    <n v="0"/>
    <n v="0"/>
    <n v="3000"/>
    <m/>
    <m/>
    <m/>
    <n v="0"/>
    <n v="0"/>
    <m/>
    <m/>
    <m/>
    <m/>
    <m/>
  </r>
  <r>
    <d v="2026-06-08T00:00:00"/>
    <x v="0"/>
    <x v="0"/>
    <s v="NON"/>
    <n v="121"/>
    <n v="6.0500000000000007"/>
    <n v="127.05"/>
    <m/>
    <m/>
    <m/>
    <m/>
    <n v="0"/>
    <n v="0"/>
    <m/>
    <m/>
    <m/>
    <m/>
    <m/>
  </r>
  <r>
    <d v="2026-06-08T00:00:00"/>
    <x v="0"/>
    <x v="0"/>
    <s v="NON"/>
    <n v="14.29"/>
    <n v="0.71450000000000002"/>
    <n v="15.004499999999998"/>
    <m/>
    <m/>
    <m/>
    <m/>
    <n v="0"/>
    <n v="0"/>
    <m/>
    <m/>
    <m/>
    <m/>
    <m/>
  </r>
  <r>
    <d v="2026-06-08T00:00:00"/>
    <x v="3"/>
    <x v="17"/>
    <s v="NON"/>
    <n v="1000"/>
    <s v="NO TAX"/>
    <n v="1000"/>
    <m/>
    <m/>
    <m/>
    <m/>
    <n v="0"/>
    <n v="0"/>
    <m/>
    <m/>
    <m/>
    <m/>
    <m/>
  </r>
  <r>
    <d v="2026-06-08T00:00:00"/>
    <x v="4"/>
    <x v="14"/>
    <s v="NON"/>
    <n v="2965"/>
    <s v="NO TAX"/>
    <n v="2965"/>
    <m/>
    <m/>
    <m/>
    <m/>
    <n v="0"/>
    <n v="0"/>
    <m/>
    <m/>
    <m/>
    <m/>
    <m/>
  </r>
  <r>
    <d v="2026-06-09T00:00:00"/>
    <x v="0"/>
    <x v="2"/>
    <s v="NON"/>
    <n v="38"/>
    <s v="NO TAX"/>
    <n v="38"/>
    <m/>
    <m/>
    <m/>
    <m/>
    <n v="0"/>
    <n v="0"/>
    <m/>
    <m/>
    <m/>
    <m/>
    <m/>
  </r>
  <r>
    <d v="2026-06-09T00:00:00"/>
    <x v="0"/>
    <x v="6"/>
    <s v="NON"/>
    <n v="166"/>
    <s v="NO TAX"/>
    <n v="166"/>
    <m/>
    <m/>
    <m/>
    <m/>
    <n v="0"/>
    <n v="0"/>
    <m/>
    <m/>
    <m/>
    <m/>
    <m/>
  </r>
  <r>
    <d v="2026-06-09T00:00:00"/>
    <x v="0"/>
    <x v="0"/>
    <s v="NON"/>
    <n v="5"/>
    <n v="0.25"/>
    <n v="5.25"/>
    <m/>
    <m/>
    <m/>
    <m/>
    <n v="0"/>
    <n v="0"/>
    <m/>
    <m/>
    <m/>
    <m/>
    <m/>
  </r>
  <r>
    <d v="2026-06-09T00:00:00"/>
    <x v="3"/>
    <x v="18"/>
    <s v="NON"/>
    <n v="500"/>
    <s v="NO TAX"/>
    <n v="500"/>
    <m/>
    <m/>
    <m/>
    <m/>
    <n v="0"/>
    <n v="0"/>
    <m/>
    <m/>
    <m/>
    <m/>
    <m/>
  </r>
  <r>
    <d v="2026-06-09T00:00:00"/>
    <x v="3"/>
    <x v="0"/>
    <s v="NON"/>
    <n v="918.12"/>
    <s v="NO TAX"/>
    <n v="918.12"/>
    <m/>
    <m/>
    <m/>
    <m/>
    <n v="0"/>
    <n v="0"/>
    <m/>
    <m/>
    <m/>
    <m/>
    <m/>
  </r>
  <r>
    <d v="2026-06-09T00:00:00"/>
    <x v="3"/>
    <x v="1"/>
    <s v="NON"/>
    <n v="202"/>
    <s v="NO TAX"/>
    <n v="202"/>
    <m/>
    <m/>
    <m/>
    <m/>
    <n v="0"/>
    <n v="0"/>
    <m/>
    <m/>
    <m/>
    <m/>
    <m/>
  </r>
  <r>
    <d v="2026-06-09T00:00:00"/>
    <x v="3"/>
    <x v="19"/>
    <s v="NON"/>
    <n v="161.59"/>
    <s v="NO TAX"/>
    <n v="161.59"/>
    <m/>
    <m/>
    <m/>
    <m/>
    <n v="0"/>
    <n v="0"/>
    <m/>
    <m/>
    <m/>
    <m/>
    <m/>
  </r>
  <r>
    <d v="2026-06-10T00:00:00"/>
    <x v="0"/>
    <x v="0"/>
    <s v="NON"/>
    <n v="40"/>
    <n v="2"/>
    <n v="42"/>
    <m/>
    <m/>
    <m/>
    <m/>
    <n v="0"/>
    <n v="0"/>
    <m/>
    <m/>
    <m/>
    <m/>
    <m/>
  </r>
  <r>
    <d v="2026-06-10T00:00:00"/>
    <x v="0"/>
    <x v="14"/>
    <s v="NON"/>
    <n v="300"/>
    <s v="NO TAX"/>
    <n v="300"/>
    <m/>
    <m/>
    <m/>
    <m/>
    <n v="0"/>
    <n v="0"/>
    <m/>
    <m/>
    <m/>
    <m/>
    <m/>
  </r>
  <r>
    <d v="2026-06-10T00:00:00"/>
    <x v="0"/>
    <x v="5"/>
    <s v="NON"/>
    <m/>
    <n v="0"/>
    <n v="0"/>
    <n v="500"/>
    <m/>
    <m/>
    <m/>
    <n v="0"/>
    <n v="0"/>
    <m/>
    <m/>
    <m/>
    <m/>
    <m/>
  </r>
  <r>
    <d v="2026-06-10T00:00:00"/>
    <x v="0"/>
    <x v="20"/>
    <s v="NON"/>
    <n v="2050"/>
    <s v="NO TAX"/>
    <n v="2050"/>
    <m/>
    <m/>
    <m/>
    <m/>
    <n v="0"/>
    <n v="0"/>
    <m/>
    <m/>
    <m/>
    <m/>
    <m/>
  </r>
  <r>
    <d v="2026-06-10T00:00:00"/>
    <x v="0"/>
    <x v="0"/>
    <s v="NON"/>
    <n v="286"/>
    <n v="14.3"/>
    <n v="300.3"/>
    <m/>
    <m/>
    <m/>
    <m/>
    <n v="0"/>
    <n v="0"/>
    <m/>
    <m/>
    <m/>
    <m/>
    <m/>
  </r>
  <r>
    <d v="2026-06-10T00:00:00"/>
    <x v="0"/>
    <x v="21"/>
    <s v="NON"/>
    <n v="5"/>
    <s v="NO TAX"/>
    <n v="5"/>
    <m/>
    <m/>
    <m/>
    <m/>
    <n v="0"/>
    <n v="0"/>
    <m/>
    <m/>
    <m/>
    <m/>
    <m/>
  </r>
  <r>
    <d v="2026-06-10T00:00:00"/>
    <x v="0"/>
    <x v="3"/>
    <s v="NON"/>
    <n v="5"/>
    <s v="NO TAX"/>
    <n v="5"/>
    <m/>
    <m/>
    <m/>
    <m/>
    <n v="0"/>
    <n v="0"/>
    <m/>
    <m/>
    <m/>
    <m/>
    <m/>
  </r>
  <r>
    <d v="2026-06-10T00:00:00"/>
    <x v="0"/>
    <x v="2"/>
    <s v="NON"/>
    <n v="150"/>
    <s v="NO TAX"/>
    <n v="150"/>
    <m/>
    <m/>
    <m/>
    <m/>
    <n v="0"/>
    <n v="0"/>
    <m/>
    <m/>
    <m/>
    <m/>
    <m/>
  </r>
  <r>
    <d v="2026-06-10T00:00:00"/>
    <x v="0"/>
    <x v="5"/>
    <s v="NON"/>
    <m/>
    <n v="0"/>
    <n v="0"/>
    <n v="100"/>
    <m/>
    <m/>
    <m/>
    <n v="0"/>
    <n v="0"/>
    <m/>
    <m/>
    <m/>
    <m/>
    <m/>
  </r>
  <r>
    <d v="2026-06-10T00:00:00"/>
    <x v="0"/>
    <x v="2"/>
    <s v="NON"/>
    <n v="220"/>
    <s v="NO TAX"/>
    <n v="220"/>
    <m/>
    <m/>
    <m/>
    <m/>
    <n v="0"/>
    <n v="0"/>
    <m/>
    <m/>
    <m/>
    <m/>
    <m/>
  </r>
  <r>
    <d v="2026-06-10T00:00:00"/>
    <x v="0"/>
    <x v="19"/>
    <s v="NON"/>
    <n v="20"/>
    <s v="NO TAX"/>
    <n v="20"/>
    <m/>
    <m/>
    <m/>
    <m/>
    <n v="0"/>
    <n v="0"/>
    <m/>
    <m/>
    <m/>
    <m/>
    <m/>
  </r>
  <r>
    <d v="2026-06-10T00:00:00"/>
    <x v="0"/>
    <x v="5"/>
    <s v="NON"/>
    <m/>
    <n v="0"/>
    <n v="0"/>
    <n v="200"/>
    <m/>
    <m/>
    <m/>
    <n v="0"/>
    <n v="0"/>
    <m/>
    <m/>
    <m/>
    <m/>
    <m/>
  </r>
  <r>
    <d v="2026-06-11T00:00:00"/>
    <x v="0"/>
    <x v="13"/>
    <s v="NON"/>
    <n v="1500"/>
    <s v="NO TAX"/>
    <n v="1500"/>
    <m/>
    <m/>
    <m/>
    <m/>
    <n v="0"/>
    <n v="0"/>
    <m/>
    <m/>
    <m/>
    <m/>
    <m/>
  </r>
  <r>
    <d v="2026-06-11T00:00:00"/>
    <x v="0"/>
    <x v="0"/>
    <s v="NON"/>
    <n v="9"/>
    <n v="0.45"/>
    <n v="9.4499999999999993"/>
    <m/>
    <m/>
    <m/>
    <m/>
    <n v="0"/>
    <n v="0"/>
    <m/>
    <m/>
    <m/>
    <m/>
    <m/>
  </r>
  <r>
    <d v="2026-06-11T00:00:00"/>
    <x v="0"/>
    <x v="5"/>
    <s v="NON"/>
    <m/>
    <n v="0"/>
    <n v="0"/>
    <n v="2000"/>
    <m/>
    <m/>
    <m/>
    <n v="0"/>
    <n v="0"/>
    <m/>
    <m/>
    <m/>
    <m/>
    <m/>
  </r>
  <r>
    <d v="2026-06-11T00:00:00"/>
    <x v="0"/>
    <x v="2"/>
    <s v="NON"/>
    <n v="58"/>
    <s v="NO TAX"/>
    <n v="58"/>
    <m/>
    <m/>
    <m/>
    <m/>
    <n v="0"/>
    <n v="0"/>
    <m/>
    <m/>
    <m/>
    <m/>
    <m/>
  </r>
  <r>
    <d v="2026-06-11T00:00:00"/>
    <x v="0"/>
    <x v="5"/>
    <s v="NON"/>
    <m/>
    <n v="0"/>
    <n v="0"/>
    <n v="500"/>
    <m/>
    <m/>
    <m/>
    <n v="0"/>
    <n v="0"/>
    <m/>
    <m/>
    <m/>
    <m/>
    <m/>
  </r>
  <r>
    <d v="2026-06-11T00:00:00"/>
    <x v="0"/>
    <x v="6"/>
    <s v="NON"/>
    <n v="155"/>
    <s v="NO TAX"/>
    <n v="155"/>
    <m/>
    <m/>
    <m/>
    <m/>
    <n v="0"/>
    <n v="0"/>
    <m/>
    <m/>
    <m/>
    <m/>
    <m/>
  </r>
  <r>
    <d v="2026-06-11T00:00:00"/>
    <x v="0"/>
    <x v="0"/>
    <s v="NON"/>
    <n v="15"/>
    <n v="0.75"/>
    <n v="15.75"/>
    <m/>
    <m/>
    <m/>
    <m/>
    <n v="0"/>
    <n v="0"/>
    <m/>
    <m/>
    <m/>
    <m/>
    <m/>
  </r>
  <r>
    <d v="2026-06-11T00:00:00"/>
    <x v="0"/>
    <x v="0"/>
    <s v="NON"/>
    <n v="80"/>
    <n v="4"/>
    <n v="84"/>
    <m/>
    <m/>
    <m/>
    <m/>
    <n v="0"/>
    <n v="0"/>
    <m/>
    <m/>
    <m/>
    <m/>
    <m/>
  </r>
  <r>
    <d v="2026-06-11T00:00:00"/>
    <x v="0"/>
    <x v="0"/>
    <s v="NON"/>
    <n v="18"/>
    <n v="0.9"/>
    <n v="18.899999999999999"/>
    <m/>
    <m/>
    <m/>
    <m/>
    <n v="0"/>
    <n v="0"/>
    <m/>
    <m/>
    <m/>
    <m/>
    <m/>
  </r>
  <r>
    <d v="2026-06-11T00:00:00"/>
    <x v="0"/>
    <x v="9"/>
    <s v="NON"/>
    <n v="15"/>
    <s v="NO TAX"/>
    <n v="15"/>
    <m/>
    <m/>
    <m/>
    <m/>
    <n v="0"/>
    <n v="0"/>
    <m/>
    <m/>
    <m/>
    <m/>
    <m/>
  </r>
  <r>
    <d v="2026-06-11T00:00:00"/>
    <x v="3"/>
    <x v="17"/>
    <s v="NON"/>
    <n v="150"/>
    <s v="NO TAX"/>
    <n v="150"/>
    <m/>
    <m/>
    <m/>
    <m/>
    <n v="0"/>
    <n v="0"/>
    <m/>
    <m/>
    <m/>
    <m/>
    <m/>
  </r>
  <r>
    <d v="2026-06-11T00:00:00"/>
    <x v="3"/>
    <x v="18"/>
    <s v="NON"/>
    <n v="1500"/>
    <s v="NO TAX"/>
    <n v="1500"/>
    <m/>
    <m/>
    <m/>
    <m/>
    <n v="0"/>
    <n v="0"/>
    <m/>
    <m/>
    <m/>
    <m/>
    <m/>
  </r>
  <r>
    <d v="2026-06-11T00:00:00"/>
    <x v="3"/>
    <x v="8"/>
    <s v="NON"/>
    <n v="768"/>
    <s v="NO TAX"/>
    <n v="768"/>
    <m/>
    <m/>
    <m/>
    <m/>
    <n v="0"/>
    <n v="0"/>
    <m/>
    <m/>
    <m/>
    <m/>
    <m/>
  </r>
  <r>
    <d v="2026-06-11T00:00:00"/>
    <x v="5"/>
    <x v="22"/>
    <s v="NON"/>
    <n v="676.46"/>
    <s v="NO TAX"/>
    <n v="676.46"/>
    <m/>
    <m/>
    <m/>
    <m/>
    <n v="0"/>
    <n v="0"/>
    <m/>
    <m/>
    <m/>
    <m/>
    <m/>
  </r>
  <r>
    <d v="2026-06-12T00:00:00"/>
    <x v="0"/>
    <x v="19"/>
    <s v="NON"/>
    <n v="240"/>
    <s v="NO TAX"/>
    <n v="240"/>
    <m/>
    <m/>
    <m/>
    <m/>
    <n v="0"/>
    <n v="0"/>
    <m/>
    <m/>
    <m/>
    <m/>
    <m/>
  </r>
  <r>
    <d v="2026-06-12T00:00:00"/>
    <x v="0"/>
    <x v="9"/>
    <s v="NON"/>
    <n v="70"/>
    <s v="NO TAX"/>
    <n v="70"/>
    <m/>
    <m/>
    <m/>
    <m/>
    <n v="0"/>
    <n v="0"/>
    <m/>
    <m/>
    <m/>
    <m/>
    <m/>
  </r>
  <r>
    <d v="2026-06-12T00:00:00"/>
    <x v="0"/>
    <x v="5"/>
    <s v="NON"/>
    <m/>
    <n v="0"/>
    <n v="0"/>
    <n v="100"/>
    <m/>
    <m/>
    <m/>
    <n v="0"/>
    <n v="0"/>
    <m/>
    <m/>
    <m/>
    <m/>
    <m/>
  </r>
  <r>
    <d v="2026-06-12T00:00:00"/>
    <x v="0"/>
    <x v="0"/>
    <s v="NON"/>
    <n v="47.62"/>
    <n v="2.3809999999999998"/>
    <n v="50.000999999999998"/>
    <m/>
    <m/>
    <m/>
    <m/>
    <n v="0"/>
    <n v="0"/>
    <m/>
    <m/>
    <m/>
    <m/>
    <m/>
  </r>
  <r>
    <d v="2026-06-12T00:00:00"/>
    <x v="0"/>
    <x v="14"/>
    <s v="NON"/>
    <n v="70"/>
    <s v="NO TAX"/>
    <n v="70"/>
    <m/>
    <m/>
    <m/>
    <m/>
    <n v="0"/>
    <n v="0"/>
    <m/>
    <m/>
    <m/>
    <m/>
    <m/>
  </r>
  <r>
    <d v="2026-06-12T00:00:00"/>
    <x v="0"/>
    <x v="5"/>
    <s v="NON"/>
    <m/>
    <n v="0"/>
    <n v="0"/>
    <n v="2000"/>
    <m/>
    <m/>
    <m/>
    <n v="0"/>
    <n v="0"/>
    <m/>
    <m/>
    <m/>
    <m/>
    <m/>
  </r>
  <r>
    <d v="2026-06-11T00:00:00"/>
    <x v="0"/>
    <x v="14"/>
    <s v="NON"/>
    <m/>
    <n v="0"/>
    <n v="0"/>
    <m/>
    <m/>
    <m/>
    <m/>
    <n v="0"/>
    <n v="0"/>
    <n v="34000"/>
    <m/>
    <m/>
    <m/>
    <m/>
  </r>
  <r>
    <d v="2026-06-16T00:00:00"/>
    <x v="6"/>
    <x v="23"/>
    <s v="NON"/>
    <n v="41400"/>
    <s v="NO TAX"/>
    <n v="41400"/>
    <m/>
    <m/>
    <m/>
    <m/>
    <n v="0"/>
    <n v="0"/>
    <m/>
    <m/>
    <m/>
    <m/>
    <m/>
  </r>
  <r>
    <d v="2026-06-13T00:00:00"/>
    <x v="0"/>
    <x v="5"/>
    <s v="NON"/>
    <m/>
    <n v="0"/>
    <n v="0"/>
    <n v="100"/>
    <m/>
    <m/>
    <m/>
    <n v="0"/>
    <n v="0"/>
    <m/>
    <m/>
    <m/>
    <m/>
    <m/>
  </r>
  <r>
    <d v="2026-06-13T00:00:00"/>
    <x v="0"/>
    <x v="0"/>
    <s v="NON"/>
    <n v="8"/>
    <n v="0.4"/>
    <n v="8.4"/>
    <m/>
    <m/>
    <m/>
    <m/>
    <n v="0"/>
    <n v="0"/>
    <m/>
    <m/>
    <m/>
    <m/>
    <m/>
  </r>
  <r>
    <d v="2026-06-13T00:00:00"/>
    <x v="0"/>
    <x v="5"/>
    <s v="NON"/>
    <m/>
    <n v="0"/>
    <n v="0"/>
    <n v="300"/>
    <m/>
    <m/>
    <m/>
    <n v="0"/>
    <n v="0"/>
    <m/>
    <m/>
    <m/>
    <m/>
    <m/>
  </r>
  <r>
    <d v="2026-06-13T00:00:00"/>
    <x v="0"/>
    <x v="5"/>
    <s v="NON"/>
    <m/>
    <n v="0"/>
    <n v="0"/>
    <n v="500"/>
    <m/>
    <m/>
    <m/>
    <n v="0"/>
    <n v="0"/>
    <m/>
    <m/>
    <m/>
    <m/>
    <m/>
  </r>
  <r>
    <d v="2026-06-13T00:00:00"/>
    <x v="0"/>
    <x v="6"/>
    <s v="NON"/>
    <n v="140"/>
    <s v="NO TAX"/>
    <n v="140"/>
    <m/>
    <m/>
    <m/>
    <m/>
    <n v="0"/>
    <n v="0"/>
    <m/>
    <m/>
    <m/>
    <m/>
    <m/>
  </r>
  <r>
    <d v="2026-06-13T00:00:00"/>
    <x v="0"/>
    <x v="14"/>
    <s v="NON"/>
    <n v="11"/>
    <n v="0.55000000000000004"/>
    <n v="11.55"/>
    <m/>
    <m/>
    <m/>
    <m/>
    <n v="0"/>
    <n v="0"/>
    <m/>
    <m/>
    <m/>
    <m/>
    <m/>
  </r>
  <r>
    <d v="2026-06-13T00:00:00"/>
    <x v="0"/>
    <x v="14"/>
    <s v="NON"/>
    <n v="31.46"/>
    <n v="1.5730000000000002"/>
    <n v="33.033000000000001"/>
    <m/>
    <m/>
    <m/>
    <m/>
    <n v="0"/>
    <n v="0"/>
    <m/>
    <m/>
    <m/>
    <m/>
    <m/>
  </r>
  <r>
    <d v="2026-06-13T00:00:00"/>
    <x v="0"/>
    <x v="0"/>
    <s v="NON"/>
    <n v="12.5"/>
    <s v="NO TAX"/>
    <n v="12.5"/>
    <m/>
    <m/>
    <m/>
    <m/>
    <n v="0"/>
    <n v="0"/>
    <m/>
    <m/>
    <m/>
    <m/>
    <m/>
  </r>
  <r>
    <d v="2026-06-13T00:00:00"/>
    <x v="0"/>
    <x v="14"/>
    <s v="NON"/>
    <n v="95.24"/>
    <n v="4.7619999999999996"/>
    <n v="100.002"/>
    <m/>
    <m/>
    <m/>
    <m/>
    <n v="0"/>
    <n v="0"/>
    <m/>
    <m/>
    <m/>
    <m/>
    <m/>
  </r>
  <r>
    <d v="2026-06-13T00:00:00"/>
    <x v="0"/>
    <x v="1"/>
    <s v="NON"/>
    <n v="157.97999999999999"/>
    <n v="7.899"/>
    <n v="165.87899999999999"/>
    <m/>
    <m/>
    <m/>
    <m/>
    <n v="0"/>
    <n v="0"/>
    <m/>
    <m/>
    <m/>
    <m/>
    <m/>
  </r>
  <r>
    <d v="2026-06-13T00:00:00"/>
    <x v="0"/>
    <x v="6"/>
    <s v="NON"/>
    <n v="220"/>
    <s v="NO TAX"/>
    <n v="220"/>
    <m/>
    <m/>
    <m/>
    <m/>
    <n v="0"/>
    <n v="0"/>
    <m/>
    <m/>
    <m/>
    <m/>
    <m/>
  </r>
  <r>
    <d v="2026-06-13T00:00:00"/>
    <x v="0"/>
    <x v="5"/>
    <s v="NON"/>
    <m/>
    <n v="0"/>
    <n v="0"/>
    <n v="3000"/>
    <m/>
    <m/>
    <m/>
    <n v="0"/>
    <n v="0"/>
    <m/>
    <m/>
    <m/>
    <m/>
    <m/>
  </r>
  <r>
    <d v="2026-06-13T00:00:00"/>
    <x v="0"/>
    <x v="5"/>
    <s v="NON"/>
    <m/>
    <n v="0"/>
    <n v="0"/>
    <n v="500"/>
    <m/>
    <m/>
    <m/>
    <n v="0"/>
    <n v="0"/>
    <m/>
    <m/>
    <m/>
    <m/>
    <m/>
  </r>
  <r>
    <d v="2026-06-13T00:00:00"/>
    <x v="0"/>
    <x v="3"/>
    <s v="NON"/>
    <n v="10"/>
    <s v="NO TAX"/>
    <n v="10"/>
    <m/>
    <m/>
    <m/>
    <m/>
    <n v="0"/>
    <n v="0"/>
    <m/>
    <m/>
    <m/>
    <m/>
    <m/>
  </r>
  <r>
    <d v="2026-06-13T00:00:00"/>
    <x v="3"/>
    <x v="18"/>
    <s v="NON"/>
    <n v="4000"/>
    <s v="NO TAX"/>
    <n v="4000"/>
    <m/>
    <m/>
    <m/>
    <m/>
    <n v="0"/>
    <n v="0"/>
    <m/>
    <m/>
    <m/>
    <m/>
    <m/>
  </r>
  <r>
    <d v="2026-06-15T00:00:00"/>
    <x v="0"/>
    <x v="20"/>
    <s v="NON"/>
    <n v="500"/>
    <s v="NO TAX"/>
    <n v="500"/>
    <m/>
    <m/>
    <m/>
    <m/>
    <n v="0"/>
    <n v="0"/>
    <m/>
    <m/>
    <m/>
    <m/>
    <m/>
  </r>
  <r>
    <d v="2026-06-15T00:00:00"/>
    <x v="0"/>
    <x v="5"/>
    <s v="NON"/>
    <m/>
    <n v="0"/>
    <n v="0"/>
    <n v="1000"/>
    <m/>
    <m/>
    <m/>
    <n v="0"/>
    <n v="0"/>
    <m/>
    <m/>
    <m/>
    <m/>
    <m/>
  </r>
  <r>
    <d v="2026-06-15T00:00:00"/>
    <x v="0"/>
    <x v="7"/>
    <s v="NON"/>
    <n v="1630"/>
    <s v="NO TAX"/>
    <n v="1630"/>
    <m/>
    <m/>
    <m/>
    <m/>
    <n v="0"/>
    <n v="0"/>
    <m/>
    <m/>
    <m/>
    <m/>
    <m/>
  </r>
  <r>
    <d v="2026-06-15T00:00:00"/>
    <x v="0"/>
    <x v="14"/>
    <s v="NON"/>
    <n v="12.5"/>
    <s v="NO TAX"/>
    <n v="12.5"/>
    <m/>
    <m/>
    <m/>
    <m/>
    <n v="0"/>
    <n v="0"/>
    <m/>
    <m/>
    <m/>
    <m/>
    <m/>
  </r>
  <r>
    <d v="2026-06-15T00:00:00"/>
    <x v="0"/>
    <x v="5"/>
    <s v="NON"/>
    <m/>
    <n v="0"/>
    <n v="0"/>
    <n v="100"/>
    <m/>
    <m/>
    <m/>
    <n v="0"/>
    <n v="0"/>
    <m/>
    <m/>
    <m/>
    <m/>
    <m/>
  </r>
  <r>
    <d v="2026-06-15T00:00:00"/>
    <x v="0"/>
    <x v="2"/>
    <s v="NON"/>
    <n v="58"/>
    <s v="NO TAX"/>
    <n v="58"/>
    <m/>
    <m/>
    <m/>
    <m/>
    <n v="0"/>
    <n v="0"/>
    <m/>
    <m/>
    <m/>
    <m/>
    <m/>
  </r>
  <r>
    <d v="2026-06-15T00:00:00"/>
    <x v="0"/>
    <x v="3"/>
    <s v="NON"/>
    <n v="47"/>
    <s v="NO TAX"/>
    <n v="47"/>
    <m/>
    <m/>
    <m/>
    <m/>
    <n v="0"/>
    <n v="0"/>
    <m/>
    <m/>
    <m/>
    <m/>
    <m/>
  </r>
  <r>
    <d v="2026-06-16T00:00:00"/>
    <x v="0"/>
    <x v="6"/>
    <s v="NON"/>
    <n v="165"/>
    <s v="NO TAX"/>
    <n v="165"/>
    <m/>
    <m/>
    <m/>
    <m/>
    <n v="0"/>
    <n v="0"/>
    <m/>
    <m/>
    <m/>
    <m/>
    <m/>
  </r>
  <r>
    <d v="2026-06-16T00:00:00"/>
    <x v="0"/>
    <x v="4"/>
    <s v="NON"/>
    <n v="111"/>
    <s v="NO TAX"/>
    <n v="111"/>
    <m/>
    <m/>
    <m/>
    <m/>
    <n v="0"/>
    <n v="0"/>
    <m/>
    <m/>
    <m/>
    <m/>
    <m/>
  </r>
  <r>
    <d v="2026-06-16T00:00:00"/>
    <x v="0"/>
    <x v="4"/>
    <s v="NON"/>
    <n v="35"/>
    <s v="NO TAX"/>
    <n v="35"/>
    <m/>
    <m/>
    <m/>
    <m/>
    <n v="0"/>
    <n v="0"/>
    <m/>
    <m/>
    <m/>
    <m/>
    <m/>
  </r>
  <r>
    <d v="2026-06-16T00:00:00"/>
    <x v="0"/>
    <x v="5"/>
    <s v="NON"/>
    <m/>
    <n v="0"/>
    <n v="0"/>
    <n v="300"/>
    <m/>
    <m/>
    <m/>
    <n v="0"/>
    <n v="0"/>
    <m/>
    <m/>
    <m/>
    <m/>
    <m/>
  </r>
  <r>
    <d v="2026-06-16T00:00:00"/>
    <x v="0"/>
    <x v="0"/>
    <s v="NON"/>
    <n v="670"/>
    <n v="33.5"/>
    <n v="703.5"/>
    <m/>
    <m/>
    <m/>
    <m/>
    <n v="0"/>
    <n v="0"/>
    <m/>
    <m/>
    <m/>
    <m/>
    <m/>
  </r>
  <r>
    <d v="2026-06-16T00:00:00"/>
    <x v="0"/>
    <x v="5"/>
    <s v="NON"/>
    <m/>
    <n v="0"/>
    <n v="0"/>
    <n v="1500"/>
    <m/>
    <m/>
    <m/>
    <n v="0"/>
    <n v="0"/>
    <m/>
    <m/>
    <m/>
    <m/>
    <m/>
  </r>
  <r>
    <d v="2026-06-16T00:00:00"/>
    <x v="0"/>
    <x v="5"/>
    <s v="NON"/>
    <m/>
    <n v="0"/>
    <n v="0"/>
    <n v="1500"/>
    <m/>
    <m/>
    <m/>
    <n v="0"/>
    <n v="0"/>
    <m/>
    <m/>
    <m/>
    <m/>
    <m/>
  </r>
  <r>
    <d v="2026-06-16T00:00:00"/>
    <x v="0"/>
    <x v="24"/>
    <s v="NON"/>
    <n v="700"/>
    <s v="NO TAX"/>
    <n v="700"/>
    <m/>
    <m/>
    <m/>
    <m/>
    <n v="0"/>
    <n v="0"/>
    <m/>
    <m/>
    <m/>
    <m/>
    <m/>
  </r>
  <r>
    <d v="2026-06-16T00:00:00"/>
    <x v="0"/>
    <x v="0"/>
    <s v="NON"/>
    <n v="19.5"/>
    <s v="NO TAX"/>
    <n v="19.5"/>
    <m/>
    <m/>
    <m/>
    <m/>
    <n v="0"/>
    <n v="0"/>
    <m/>
    <m/>
    <m/>
    <m/>
    <m/>
  </r>
  <r>
    <d v="2026-06-16T00:00:00"/>
    <x v="0"/>
    <x v="25"/>
    <s v="NON"/>
    <n v="147.62"/>
    <n v="7.3810000000000002"/>
    <n v="155.001"/>
    <m/>
    <m/>
    <m/>
    <m/>
    <n v="0"/>
    <n v="0"/>
    <m/>
    <m/>
    <m/>
    <m/>
    <m/>
  </r>
  <r>
    <d v="2026-06-16T00:00:00"/>
    <x v="0"/>
    <x v="2"/>
    <s v="NON"/>
    <n v="386"/>
    <s v="NO TAX"/>
    <n v="386"/>
    <m/>
    <m/>
    <m/>
    <m/>
    <n v="0"/>
    <n v="0"/>
    <m/>
    <m/>
    <m/>
    <m/>
    <m/>
  </r>
  <r>
    <d v="2026-06-16T00:00:00"/>
    <x v="0"/>
    <x v="0"/>
    <s v="NON"/>
    <n v="40"/>
    <n v="2"/>
    <n v="42"/>
    <m/>
    <m/>
    <m/>
    <m/>
    <n v="0"/>
    <n v="0"/>
    <m/>
    <m/>
    <m/>
    <m/>
    <m/>
  </r>
  <r>
    <d v="2026-06-16T00:00:00"/>
    <x v="0"/>
    <x v="0"/>
    <s v="NON"/>
    <n v="80"/>
    <n v="4"/>
    <n v="84"/>
    <m/>
    <m/>
    <m/>
    <m/>
    <n v="0"/>
    <n v="0"/>
    <m/>
    <m/>
    <m/>
    <m/>
    <m/>
  </r>
  <r>
    <d v="2026-06-16T00:00:00"/>
    <x v="0"/>
    <x v="2"/>
    <s v="NON"/>
    <n v="14"/>
    <s v="NO TAX"/>
    <n v="14"/>
    <m/>
    <m/>
    <m/>
    <m/>
    <n v="0"/>
    <n v="0"/>
    <m/>
    <m/>
    <m/>
    <m/>
    <m/>
  </r>
  <r>
    <d v="2026-06-17T00:00:00"/>
    <x v="0"/>
    <x v="12"/>
    <s v="NON"/>
    <n v="333.33333333333331"/>
    <n v="16.666666666666668"/>
    <n v="350"/>
    <m/>
    <m/>
    <m/>
    <m/>
    <n v="0"/>
    <n v="0"/>
    <m/>
    <m/>
    <m/>
    <m/>
    <m/>
  </r>
  <r>
    <d v="2026-06-17T00:00:00"/>
    <x v="7"/>
    <x v="26"/>
    <s v="NON"/>
    <n v="6000"/>
    <s v="NO TAX"/>
    <n v="6000"/>
    <m/>
    <m/>
    <m/>
    <m/>
    <n v="0"/>
    <n v="0"/>
    <m/>
    <m/>
    <m/>
    <m/>
    <m/>
  </r>
  <r>
    <d v="2026-06-17T00:00:00"/>
    <x v="0"/>
    <x v="4"/>
    <s v="NON"/>
    <n v="250"/>
    <s v="NO TAX"/>
    <n v="250"/>
    <m/>
    <m/>
    <m/>
    <m/>
    <n v="0"/>
    <n v="0"/>
    <m/>
    <m/>
    <m/>
    <m/>
    <m/>
  </r>
  <r>
    <d v="2026-06-17T00:00:00"/>
    <x v="0"/>
    <x v="5"/>
    <s v="NON"/>
    <m/>
    <n v="0"/>
    <n v="0"/>
    <n v="100"/>
    <m/>
    <m/>
    <m/>
    <n v="0"/>
    <n v="0"/>
    <m/>
    <m/>
    <m/>
    <m/>
    <m/>
  </r>
  <r>
    <d v="2026-06-17T00:00:00"/>
    <x v="0"/>
    <x v="27"/>
    <s v="NON"/>
    <n v="2354"/>
    <s v="NO TAX"/>
    <n v="2354"/>
    <m/>
    <m/>
    <m/>
    <m/>
    <n v="0"/>
    <n v="0"/>
    <m/>
    <m/>
    <m/>
    <m/>
    <m/>
  </r>
  <r>
    <d v="2026-06-17T00:00:00"/>
    <x v="0"/>
    <x v="2"/>
    <s v="NON"/>
    <n v="60"/>
    <s v="NO TAX"/>
    <n v="60"/>
    <m/>
    <m/>
    <m/>
    <m/>
    <n v="0"/>
    <n v="0"/>
    <m/>
    <m/>
    <m/>
    <m/>
    <m/>
  </r>
  <r>
    <d v="2026-06-17T00:00:00"/>
    <x v="0"/>
    <x v="2"/>
    <s v="NON"/>
    <n v="60"/>
    <s v="NO TAX"/>
    <n v="60"/>
    <m/>
    <m/>
    <m/>
    <m/>
    <n v="0"/>
    <n v="0"/>
    <m/>
    <m/>
    <m/>
    <m/>
    <m/>
  </r>
  <r>
    <d v="2026-06-17T00:00:00"/>
    <x v="0"/>
    <x v="0"/>
    <s v="NON"/>
    <m/>
    <n v="0"/>
    <n v="0"/>
    <m/>
    <m/>
    <m/>
    <m/>
    <n v="0"/>
    <n v="0"/>
    <n v="240"/>
    <m/>
    <m/>
    <m/>
    <m/>
  </r>
  <r>
    <d v="2026-06-17T00:00:00"/>
    <x v="0"/>
    <x v="5"/>
    <s v="NON"/>
    <m/>
    <n v="0"/>
    <n v="0"/>
    <n v="5000"/>
    <m/>
    <m/>
    <m/>
    <n v="0"/>
    <n v="0"/>
    <m/>
    <m/>
    <m/>
    <m/>
    <m/>
  </r>
  <r>
    <d v="2026-06-17T00:00:00"/>
    <x v="5"/>
    <x v="1"/>
    <s v="NON"/>
    <n v="735"/>
    <s v="NO TAX"/>
    <n v="735"/>
    <m/>
    <m/>
    <m/>
    <m/>
    <n v="0"/>
    <n v="0"/>
    <m/>
    <m/>
    <m/>
    <m/>
    <m/>
  </r>
  <r>
    <d v="2026-06-18T00:00:00"/>
    <x v="0"/>
    <x v="13"/>
    <s v="NON"/>
    <n v="1500"/>
    <s v="NO TAX"/>
    <n v="1500"/>
    <m/>
    <m/>
    <m/>
    <m/>
    <n v="0"/>
    <n v="0"/>
    <m/>
    <m/>
    <m/>
    <m/>
    <m/>
  </r>
  <r>
    <d v="2026-06-18T00:00:00"/>
    <x v="0"/>
    <x v="0"/>
    <s v="NON"/>
    <n v="200"/>
    <n v="10"/>
    <n v="210"/>
    <m/>
    <m/>
    <m/>
    <m/>
    <n v="0"/>
    <n v="0"/>
    <m/>
    <m/>
    <m/>
    <m/>
    <m/>
  </r>
  <r>
    <d v="2026-06-18T00:00:00"/>
    <x v="0"/>
    <x v="0"/>
    <s v="NON"/>
    <n v="570"/>
    <n v="28.5"/>
    <n v="598.5"/>
    <m/>
    <m/>
    <m/>
    <m/>
    <n v="0"/>
    <n v="0"/>
    <m/>
    <m/>
    <m/>
    <m/>
    <m/>
  </r>
  <r>
    <d v="2026-06-18T00:00:00"/>
    <x v="0"/>
    <x v="0"/>
    <s v="NON"/>
    <n v="40"/>
    <s v="NO TAX"/>
    <n v="40"/>
    <m/>
    <m/>
    <m/>
    <m/>
    <n v="0"/>
    <n v="0"/>
    <m/>
    <m/>
    <m/>
    <m/>
    <m/>
  </r>
  <r>
    <d v="2026-06-18T00:00:00"/>
    <x v="0"/>
    <x v="5"/>
    <s v="NON"/>
    <m/>
    <n v="0"/>
    <n v="0"/>
    <n v="200"/>
    <m/>
    <m/>
    <m/>
    <n v="0"/>
    <n v="0"/>
    <m/>
    <m/>
    <m/>
    <m/>
    <m/>
  </r>
  <r>
    <d v="2026-06-18T00:00:00"/>
    <x v="0"/>
    <x v="5"/>
    <s v="NON"/>
    <m/>
    <n v="0"/>
    <n v="0"/>
    <n v="100"/>
    <m/>
    <m/>
    <m/>
    <n v="0"/>
    <n v="0"/>
    <m/>
    <m/>
    <m/>
    <m/>
    <m/>
  </r>
  <r>
    <d v="2026-06-18T00:00:00"/>
    <x v="0"/>
    <x v="9"/>
    <s v="NON"/>
    <n v="15"/>
    <s v="NO TAX"/>
    <n v="15"/>
    <m/>
    <m/>
    <m/>
    <m/>
    <n v="0"/>
    <n v="0"/>
    <m/>
    <m/>
    <m/>
    <m/>
    <m/>
  </r>
  <r>
    <d v="2026-06-18T00:00:00"/>
    <x v="0"/>
    <x v="9"/>
    <s v="NON"/>
    <n v="96"/>
    <s v="NO TAX"/>
    <n v="96"/>
    <m/>
    <m/>
    <m/>
    <m/>
    <n v="0"/>
    <n v="0"/>
    <m/>
    <m/>
    <m/>
    <m/>
    <m/>
  </r>
  <r>
    <d v="2026-06-18T00:00:00"/>
    <x v="0"/>
    <x v="5"/>
    <s v="NON"/>
    <m/>
    <n v="0"/>
    <n v="0"/>
    <n v="200"/>
    <m/>
    <m/>
    <m/>
    <n v="0"/>
    <n v="0"/>
    <m/>
    <m/>
    <m/>
    <m/>
    <m/>
  </r>
  <r>
    <d v="2026-06-18T00:00:00"/>
    <x v="3"/>
    <x v="16"/>
    <s v="NON"/>
    <n v="196"/>
    <s v="NO TAX"/>
    <n v="196"/>
    <m/>
    <m/>
    <m/>
    <m/>
    <n v="0"/>
    <n v="0"/>
    <m/>
    <m/>
    <m/>
    <m/>
    <m/>
  </r>
  <r>
    <d v="2026-06-19T00:00:00"/>
    <x v="0"/>
    <x v="2"/>
    <s v="NON"/>
    <n v="61"/>
    <s v="NO TAX"/>
    <n v="61"/>
    <m/>
    <m/>
    <m/>
    <m/>
    <n v="0"/>
    <n v="0"/>
    <m/>
    <m/>
    <m/>
    <m/>
    <m/>
  </r>
  <r>
    <d v="2026-06-19T00:00:00"/>
    <x v="0"/>
    <x v="0"/>
    <s v="NON"/>
    <n v="220"/>
    <n v="11"/>
    <n v="231"/>
    <m/>
    <m/>
    <m/>
    <m/>
    <n v="0"/>
    <n v="0"/>
    <m/>
    <m/>
    <m/>
    <m/>
    <m/>
  </r>
  <r>
    <d v="2026-06-19T00:00:00"/>
    <x v="0"/>
    <x v="6"/>
    <s v="NON"/>
    <n v="160"/>
    <s v="NO TAX"/>
    <n v="160"/>
    <m/>
    <m/>
    <m/>
    <m/>
    <n v="0"/>
    <n v="0"/>
    <m/>
    <m/>
    <m/>
    <m/>
    <m/>
  </r>
  <r>
    <d v="2026-06-19T00:00:00"/>
    <x v="0"/>
    <x v="0"/>
    <s v="NON"/>
    <n v="30"/>
    <n v="1.5"/>
    <n v="31.5"/>
    <m/>
    <m/>
    <m/>
    <m/>
    <n v="0"/>
    <n v="0"/>
    <m/>
    <m/>
    <m/>
    <m/>
    <m/>
  </r>
  <r>
    <d v="2026-06-19T00:00:00"/>
    <x v="0"/>
    <x v="0"/>
    <s v="NON"/>
    <n v="156"/>
    <s v="NO TAX"/>
    <n v="156"/>
    <m/>
    <m/>
    <m/>
    <m/>
    <n v="0"/>
    <n v="0"/>
    <m/>
    <m/>
    <m/>
    <m/>
    <m/>
  </r>
  <r>
    <d v="2026-06-19T00:00:00"/>
    <x v="0"/>
    <x v="2"/>
    <s v="NON"/>
    <n v="60"/>
    <s v="NO TAX"/>
    <n v="60"/>
    <m/>
    <m/>
    <m/>
    <m/>
    <n v="0"/>
    <n v="0"/>
    <m/>
    <m/>
    <m/>
    <m/>
    <m/>
  </r>
  <r>
    <d v="2026-06-19T00:00:00"/>
    <x v="0"/>
    <x v="5"/>
    <s v="NON"/>
    <m/>
    <n v="0"/>
    <n v="0"/>
    <n v="1000"/>
    <m/>
    <m/>
    <m/>
    <n v="0"/>
    <n v="0"/>
    <m/>
    <m/>
    <m/>
    <m/>
    <m/>
  </r>
  <r>
    <d v="2026-06-19T00:00:00"/>
    <x v="3"/>
    <x v="17"/>
    <s v="NON"/>
    <n v="500"/>
    <s v="NO TAX"/>
    <n v="500"/>
    <m/>
    <m/>
    <m/>
    <m/>
    <n v="0"/>
    <n v="0"/>
    <m/>
    <m/>
    <m/>
    <m/>
    <m/>
  </r>
  <r>
    <d v="2026-06-19T00:00:00"/>
    <x v="6"/>
    <x v="16"/>
    <s v="NON"/>
    <n v="15388"/>
    <s v="NO TAX"/>
    <n v="15388"/>
    <m/>
    <m/>
    <m/>
    <m/>
    <n v="0"/>
    <n v="0"/>
    <m/>
    <m/>
    <m/>
    <m/>
    <m/>
  </r>
  <r>
    <d v="2026-06-20T00:00:00"/>
    <x v="0"/>
    <x v="0"/>
    <s v="NON"/>
    <n v="5520.1"/>
    <n v="276.00500000000005"/>
    <n v="5796.1050000000005"/>
    <m/>
    <m/>
    <m/>
    <m/>
    <n v="0"/>
    <n v="0"/>
    <m/>
    <m/>
    <m/>
    <m/>
    <m/>
  </r>
  <r>
    <d v="2026-06-20T00:00:00"/>
    <x v="0"/>
    <x v="5"/>
    <s v="NON"/>
    <m/>
    <n v="0"/>
    <n v="0"/>
    <n v="0"/>
    <m/>
    <m/>
    <m/>
    <n v="0"/>
    <n v="0"/>
    <m/>
    <m/>
    <m/>
    <m/>
    <m/>
  </r>
  <r>
    <d v="2026-06-20T00:00:00"/>
    <x v="0"/>
    <x v="5"/>
    <s v="NON"/>
    <m/>
    <n v="0"/>
    <n v="0"/>
    <n v="200"/>
    <m/>
    <m/>
    <m/>
    <n v="0"/>
    <n v="0"/>
    <m/>
    <m/>
    <m/>
    <m/>
    <m/>
  </r>
  <r>
    <d v="2026-06-20T00:00:00"/>
    <x v="0"/>
    <x v="5"/>
    <s v="NON"/>
    <m/>
    <n v="0"/>
    <n v="0"/>
    <n v="500"/>
    <m/>
    <m/>
    <m/>
    <n v="0"/>
    <n v="0"/>
    <m/>
    <m/>
    <m/>
    <m/>
    <m/>
  </r>
  <r>
    <d v="2026-06-20T00:00:00"/>
    <x v="0"/>
    <x v="11"/>
    <s v="NON"/>
    <m/>
    <n v="0"/>
    <n v="0"/>
    <m/>
    <m/>
    <n v="2000"/>
    <m/>
    <n v="0"/>
    <n v="0"/>
    <m/>
    <m/>
    <m/>
    <m/>
    <m/>
  </r>
  <r>
    <d v="2026-06-20T00:00:00"/>
    <x v="0"/>
    <x v="2"/>
    <s v="NON"/>
    <n v="60"/>
    <s v="NO TAX"/>
    <n v="60"/>
    <m/>
    <m/>
    <m/>
    <m/>
    <n v="0"/>
    <n v="0"/>
    <m/>
    <m/>
    <m/>
    <m/>
    <m/>
  </r>
  <r>
    <d v="2026-06-20T00:00:00"/>
    <x v="0"/>
    <x v="5"/>
    <s v="NON"/>
    <m/>
    <n v="0"/>
    <n v="0"/>
    <n v="1100"/>
    <m/>
    <m/>
    <m/>
    <n v="0"/>
    <n v="0"/>
    <m/>
    <m/>
    <m/>
    <m/>
    <m/>
  </r>
  <r>
    <d v="2026-06-20T00:00:00"/>
    <x v="0"/>
    <x v="5"/>
    <s v="NON"/>
    <m/>
    <n v="0"/>
    <n v="0"/>
    <n v="50"/>
    <m/>
    <m/>
    <m/>
    <n v="0"/>
    <n v="0"/>
    <m/>
    <m/>
    <m/>
    <m/>
    <m/>
  </r>
  <r>
    <d v="2026-06-20T00:00:00"/>
    <x v="0"/>
    <x v="8"/>
    <s v="NON"/>
    <n v="750"/>
    <s v="NO TAX"/>
    <n v="750"/>
    <m/>
    <m/>
    <m/>
    <m/>
    <n v="0"/>
    <n v="0"/>
    <m/>
    <m/>
    <m/>
    <m/>
    <m/>
  </r>
  <r>
    <d v="2026-06-20T00:00:00"/>
    <x v="3"/>
    <x v="5"/>
    <s v="NON"/>
    <m/>
    <n v="0"/>
    <n v="0"/>
    <n v="888.5"/>
    <m/>
    <m/>
    <m/>
    <n v="0"/>
    <n v="0"/>
    <m/>
    <m/>
    <m/>
    <m/>
    <m/>
  </r>
  <r>
    <d v="2026-06-22T00:00:00"/>
    <x v="0"/>
    <x v="20"/>
    <s v="NON"/>
    <n v="500"/>
    <s v="NO TAX"/>
    <n v="500"/>
    <m/>
    <m/>
    <m/>
    <m/>
    <n v="0"/>
    <n v="0"/>
    <m/>
    <m/>
    <m/>
    <m/>
    <m/>
  </r>
  <r>
    <d v="2026-06-22T00:00:00"/>
    <x v="0"/>
    <x v="20"/>
    <s v="NON"/>
    <n v="150"/>
    <s v="NO TAX"/>
    <n v="150"/>
    <m/>
    <m/>
    <m/>
    <m/>
    <n v="0"/>
    <n v="0"/>
    <m/>
    <m/>
    <m/>
    <m/>
    <m/>
  </r>
  <r>
    <d v="2026-06-22T00:00:00"/>
    <x v="0"/>
    <x v="0"/>
    <s v="NON"/>
    <n v="142.85714285714286"/>
    <n v="7.1428571428571432"/>
    <n v="150"/>
    <m/>
    <m/>
    <m/>
    <m/>
    <n v="0"/>
    <n v="0"/>
    <m/>
    <m/>
    <m/>
    <m/>
    <m/>
  </r>
  <r>
    <d v="2026-06-22T00:00:00"/>
    <x v="0"/>
    <x v="5"/>
    <s v="NON"/>
    <m/>
    <n v="0"/>
    <n v="0"/>
    <n v="100"/>
    <m/>
    <m/>
    <m/>
    <n v="0"/>
    <n v="0"/>
    <m/>
    <m/>
    <m/>
    <m/>
    <m/>
  </r>
  <r>
    <d v="2026-06-22T00:00:00"/>
    <x v="0"/>
    <x v="6"/>
    <s v="NON"/>
    <n v="160"/>
    <s v="NO TAX"/>
    <n v="160"/>
    <m/>
    <m/>
    <m/>
    <m/>
    <n v="0"/>
    <n v="0"/>
    <m/>
    <m/>
    <m/>
    <m/>
    <m/>
  </r>
  <r>
    <d v="2026-06-22T00:00:00"/>
    <x v="0"/>
    <x v="3"/>
    <s v="NON"/>
    <n v="44"/>
    <s v="NO TAX"/>
    <n v="44"/>
    <m/>
    <m/>
    <m/>
    <m/>
    <n v="0"/>
    <n v="0"/>
    <m/>
    <m/>
    <m/>
    <m/>
    <m/>
  </r>
  <r>
    <d v="2026-06-22T00:00:00"/>
    <x v="0"/>
    <x v="14"/>
    <s v="NON"/>
    <n v="10"/>
    <n v="0.5"/>
    <n v="10.5"/>
    <m/>
    <m/>
    <m/>
    <m/>
    <n v="0"/>
    <n v="0"/>
    <m/>
    <m/>
    <m/>
    <m/>
    <m/>
  </r>
  <r>
    <d v="2026-06-22T00:00:00"/>
    <x v="0"/>
    <x v="0"/>
    <s v="NON"/>
    <n v="40"/>
    <n v="2"/>
    <n v="42"/>
    <m/>
    <m/>
    <m/>
    <m/>
    <n v="0"/>
    <n v="0"/>
    <m/>
    <m/>
    <m/>
    <m/>
    <m/>
  </r>
  <r>
    <d v="2026-06-22T00:00:00"/>
    <x v="0"/>
    <x v="0"/>
    <s v="NON"/>
    <n v="13"/>
    <s v="NO TAX"/>
    <n v="13"/>
    <m/>
    <m/>
    <m/>
    <m/>
    <n v="0"/>
    <n v="0"/>
    <m/>
    <m/>
    <m/>
    <m/>
    <m/>
  </r>
  <r>
    <d v="2026-06-22T00:00:00"/>
    <x v="0"/>
    <x v="14"/>
    <s v="NON"/>
    <n v="13.75"/>
    <s v="NO TAX"/>
    <n v="13.75"/>
    <m/>
    <m/>
    <m/>
    <m/>
    <n v="0"/>
    <n v="0"/>
    <m/>
    <m/>
    <m/>
    <m/>
    <m/>
  </r>
  <r>
    <d v="2026-06-22T00:00:00"/>
    <x v="0"/>
    <x v="28"/>
    <s v="NON"/>
    <m/>
    <n v="0"/>
    <n v="0"/>
    <m/>
    <m/>
    <n v="2000"/>
    <m/>
    <n v="0"/>
    <n v="0"/>
    <m/>
    <m/>
    <m/>
    <m/>
    <m/>
  </r>
  <r>
    <d v="2026-06-22T00:00:00"/>
    <x v="0"/>
    <x v="2"/>
    <s v="NON"/>
    <n v="630"/>
    <s v="NO TAX"/>
    <n v="630"/>
    <m/>
    <m/>
    <m/>
    <m/>
    <n v="0"/>
    <n v="0"/>
    <m/>
    <m/>
    <m/>
    <m/>
    <m/>
  </r>
  <r>
    <d v="2026-06-22T00:00:00"/>
    <x v="0"/>
    <x v="2"/>
    <s v="NON"/>
    <n v="100"/>
    <s v="NO TAX"/>
    <n v="100"/>
    <m/>
    <m/>
    <m/>
    <m/>
    <n v="0"/>
    <n v="0"/>
    <m/>
    <m/>
    <m/>
    <m/>
    <m/>
  </r>
  <r>
    <d v="2026-06-22T00:00:00"/>
    <x v="1"/>
    <x v="5"/>
    <s v="NON"/>
    <m/>
    <n v="0"/>
    <n v="0"/>
    <n v="881.55"/>
    <m/>
    <m/>
    <m/>
    <n v="0"/>
    <n v="0"/>
    <m/>
    <m/>
    <m/>
    <m/>
    <m/>
  </r>
  <r>
    <d v="2026-06-22T00:00:00"/>
    <x v="3"/>
    <x v="5"/>
    <s v="NON"/>
    <m/>
    <n v="0"/>
    <n v="0"/>
    <n v="1763.11"/>
    <m/>
    <m/>
    <m/>
    <n v="0"/>
    <n v="0"/>
    <m/>
    <m/>
    <m/>
    <m/>
    <m/>
  </r>
  <r>
    <d v="2026-06-22T00:00:00"/>
    <x v="8"/>
    <x v="5"/>
    <s v="NON"/>
    <m/>
    <n v="0"/>
    <n v="0"/>
    <n v="600"/>
    <m/>
    <m/>
    <m/>
    <n v="0"/>
    <n v="0"/>
    <m/>
    <m/>
    <m/>
    <m/>
    <m/>
  </r>
  <r>
    <d v="2026-06-22T00:00:00"/>
    <x v="0"/>
    <x v="14"/>
    <s v="NON"/>
    <m/>
    <n v="0"/>
    <n v="0"/>
    <m/>
    <m/>
    <m/>
    <m/>
    <n v="0"/>
    <n v="0"/>
    <n v="430"/>
    <m/>
    <m/>
    <m/>
    <m/>
  </r>
  <r>
    <d v="2026-06-22T00:00:00"/>
    <x v="0"/>
    <x v="0"/>
    <s v="NON"/>
    <m/>
    <n v="0"/>
    <n v="0"/>
    <m/>
    <m/>
    <m/>
    <m/>
    <n v="0"/>
    <n v="0"/>
    <n v="900"/>
    <m/>
    <m/>
    <m/>
    <m/>
  </r>
  <r>
    <d v="2026-06-23T00:00:00"/>
    <x v="0"/>
    <x v="13"/>
    <s v="NON"/>
    <n v="1500"/>
    <s v="NO TAX"/>
    <n v="1500"/>
    <m/>
    <m/>
    <m/>
    <m/>
    <n v="0"/>
    <n v="0"/>
    <m/>
    <m/>
    <m/>
    <m/>
    <m/>
  </r>
  <r>
    <d v="2026-06-23T00:00:00"/>
    <x v="0"/>
    <x v="0"/>
    <s v="NON"/>
    <n v="904.77"/>
    <n v="45.238500000000002"/>
    <n v="950.00850000000003"/>
    <m/>
    <m/>
    <m/>
    <m/>
    <n v="0"/>
    <n v="0"/>
    <m/>
    <m/>
    <m/>
    <m/>
    <m/>
  </r>
  <r>
    <d v="2026-06-23T00:00:00"/>
    <x v="0"/>
    <x v="0"/>
    <s v="NON"/>
    <n v="1161"/>
    <n v="58.050000000000004"/>
    <n v="1219.05"/>
    <m/>
    <m/>
    <m/>
    <m/>
    <n v="0"/>
    <n v="0"/>
    <m/>
    <m/>
    <m/>
    <m/>
    <m/>
  </r>
  <r>
    <d v="2026-06-23T00:00:00"/>
    <x v="0"/>
    <x v="17"/>
    <s v="NON"/>
    <n v="500"/>
    <s v="NO TAX"/>
    <n v="500"/>
    <m/>
    <m/>
    <m/>
    <m/>
    <n v="0"/>
    <n v="0"/>
    <m/>
    <m/>
    <m/>
    <m/>
    <m/>
  </r>
  <r>
    <d v="2026-06-24T00:00:00"/>
    <x v="0"/>
    <x v="0"/>
    <s v="NON"/>
    <n v="560"/>
    <n v="28"/>
    <n v="588"/>
    <m/>
    <m/>
    <m/>
    <m/>
    <n v="0"/>
    <n v="0"/>
    <m/>
    <m/>
    <m/>
    <m/>
    <m/>
  </r>
  <r>
    <d v="2026-06-24T00:00:00"/>
    <x v="0"/>
    <x v="2"/>
    <s v="NON"/>
    <n v="14"/>
    <s v="NO TAX"/>
    <n v="14"/>
    <m/>
    <m/>
    <m/>
    <m/>
    <n v="0"/>
    <n v="0"/>
    <m/>
    <m/>
    <m/>
    <m/>
    <m/>
  </r>
  <r>
    <d v="2026-06-24T00:00:00"/>
    <x v="0"/>
    <x v="20"/>
    <s v="NON"/>
    <n v="1650"/>
    <s v="NO TAX"/>
    <n v="1650"/>
    <m/>
    <m/>
    <m/>
    <m/>
    <n v="0"/>
    <n v="0"/>
    <m/>
    <m/>
    <m/>
    <m/>
    <m/>
  </r>
  <r>
    <d v="2026-06-24T00:00:00"/>
    <x v="0"/>
    <x v="5"/>
    <s v="NON"/>
    <m/>
    <n v="0"/>
    <n v="0"/>
    <n v="14200"/>
    <m/>
    <m/>
    <m/>
    <n v="0"/>
    <n v="0"/>
    <m/>
    <m/>
    <m/>
    <m/>
    <m/>
  </r>
  <r>
    <d v="2026-06-24T00:00:00"/>
    <x v="0"/>
    <x v="14"/>
    <s v="NON"/>
    <n v="80"/>
    <s v="NO TAX"/>
    <n v="80"/>
    <m/>
    <m/>
    <m/>
    <m/>
    <n v="0"/>
    <n v="0"/>
    <m/>
    <m/>
    <m/>
    <m/>
    <m/>
  </r>
  <r>
    <d v="2026-06-24T00:00:00"/>
    <x v="0"/>
    <x v="6"/>
    <s v="NON"/>
    <n v="150"/>
    <s v="NO TAX"/>
    <n v="150"/>
    <m/>
    <m/>
    <m/>
    <m/>
    <n v="0"/>
    <n v="0"/>
    <m/>
    <m/>
    <m/>
    <m/>
    <m/>
  </r>
  <r>
    <d v="2026-06-24T00:00:00"/>
    <x v="0"/>
    <x v="0"/>
    <s v="NON"/>
    <n v="42"/>
    <s v="NO TAX"/>
    <n v="42"/>
    <m/>
    <m/>
    <m/>
    <m/>
    <n v="0"/>
    <n v="0"/>
    <m/>
    <m/>
    <m/>
    <m/>
    <m/>
  </r>
  <r>
    <d v="2026-06-24T00:00:00"/>
    <x v="0"/>
    <x v="0"/>
    <s v="NON"/>
    <n v="120"/>
    <n v="6"/>
    <n v="126"/>
    <m/>
    <m/>
    <m/>
    <m/>
    <n v="0"/>
    <n v="0"/>
    <m/>
    <m/>
    <m/>
    <m/>
    <m/>
  </r>
  <r>
    <d v="2026-06-24T00:00:00"/>
    <x v="0"/>
    <x v="19"/>
    <s v="NON"/>
    <n v="44"/>
    <s v="NO TAX"/>
    <n v="44"/>
    <m/>
    <m/>
    <m/>
    <m/>
    <n v="0"/>
    <n v="0"/>
    <m/>
    <m/>
    <m/>
    <m/>
    <m/>
  </r>
  <r>
    <d v="2026-06-24T00:00:00"/>
    <x v="3"/>
    <x v="29"/>
    <s v="NON"/>
    <m/>
    <n v="0"/>
    <n v="0"/>
    <m/>
    <m/>
    <m/>
    <n v="900"/>
    <n v="45"/>
    <n v="945"/>
    <m/>
    <m/>
    <m/>
    <m/>
    <m/>
  </r>
  <r>
    <d v="2026-06-25T00:00:00"/>
    <x v="0"/>
    <x v="0"/>
    <s v="NON"/>
    <n v="200"/>
    <n v="10"/>
    <n v="210"/>
    <m/>
    <m/>
    <m/>
    <m/>
    <n v="0"/>
    <n v="0"/>
    <m/>
    <m/>
    <m/>
    <m/>
    <m/>
  </r>
  <r>
    <d v="2026-06-25T00:00:00"/>
    <x v="0"/>
    <x v="0"/>
    <s v="NON"/>
    <n v="730"/>
    <s v="NO TAX"/>
    <n v="730"/>
    <m/>
    <m/>
    <m/>
    <m/>
    <n v="0"/>
    <n v="0"/>
    <m/>
    <m/>
    <m/>
    <m/>
    <m/>
  </r>
  <r>
    <d v="2026-06-25T00:00:00"/>
    <x v="0"/>
    <x v="0"/>
    <s v="NON"/>
    <n v="506"/>
    <s v="NO TAX"/>
    <n v="506"/>
    <m/>
    <m/>
    <m/>
    <m/>
    <n v="0"/>
    <n v="0"/>
    <m/>
    <m/>
    <m/>
    <m/>
    <m/>
  </r>
  <r>
    <d v="2026-06-25T00:00:00"/>
    <x v="0"/>
    <x v="24"/>
    <s v="NON"/>
    <n v="50"/>
    <s v="NO TAX"/>
    <n v="50"/>
    <m/>
    <m/>
    <m/>
    <m/>
    <n v="0"/>
    <n v="0"/>
    <m/>
    <m/>
    <m/>
    <m/>
    <m/>
  </r>
  <r>
    <d v="2026-06-25T00:00:00"/>
    <x v="0"/>
    <x v="5"/>
    <s v="NON"/>
    <m/>
    <n v="0"/>
    <n v="0"/>
    <n v="2000"/>
    <m/>
    <m/>
    <m/>
    <n v="0"/>
    <n v="0"/>
    <m/>
    <m/>
    <m/>
    <m/>
    <m/>
  </r>
  <r>
    <d v="2026-06-25T00:00:00"/>
    <x v="0"/>
    <x v="2"/>
    <s v="NON"/>
    <n v="60"/>
    <s v="NO TAX"/>
    <n v="60"/>
    <m/>
    <m/>
    <m/>
    <m/>
    <n v="0"/>
    <n v="0"/>
    <m/>
    <m/>
    <m/>
    <m/>
    <m/>
  </r>
  <r>
    <d v="2026-06-25T00:00:00"/>
    <x v="0"/>
    <x v="14"/>
    <s v="NON"/>
    <n v="100"/>
    <s v="NO TAX"/>
    <n v="100"/>
    <m/>
    <m/>
    <m/>
    <m/>
    <n v="0"/>
    <n v="0"/>
    <m/>
    <m/>
    <m/>
    <m/>
    <m/>
  </r>
  <r>
    <d v="2026-06-25T00:00:00"/>
    <x v="0"/>
    <x v="2"/>
    <s v="NON"/>
    <n v="60"/>
    <s v="NO TAX"/>
    <n v="60"/>
    <m/>
    <m/>
    <m/>
    <m/>
    <n v="0"/>
    <n v="0"/>
    <m/>
    <m/>
    <m/>
    <m/>
    <m/>
  </r>
  <r>
    <d v="2026-06-26T00:00:00"/>
    <x v="0"/>
    <x v="2"/>
    <s v="NON"/>
    <n v="36"/>
    <s v="NO TAX"/>
    <n v="36"/>
    <m/>
    <m/>
    <m/>
    <m/>
    <n v="0"/>
    <n v="0"/>
    <m/>
    <m/>
    <m/>
    <m/>
    <m/>
  </r>
  <r>
    <d v="2026-06-26T00:00:00"/>
    <x v="0"/>
    <x v="0"/>
    <s v="NON"/>
    <n v="1500"/>
    <n v="75"/>
    <n v="1575"/>
    <m/>
    <m/>
    <m/>
    <m/>
    <n v="0"/>
    <n v="0"/>
    <m/>
    <m/>
    <m/>
    <m/>
    <m/>
  </r>
  <r>
    <d v="2026-06-26T00:00:00"/>
    <x v="0"/>
    <x v="2"/>
    <s v="NON"/>
    <n v="60"/>
    <s v="NO TAX"/>
    <n v="60"/>
    <m/>
    <m/>
    <m/>
    <m/>
    <n v="0"/>
    <n v="0"/>
    <m/>
    <m/>
    <m/>
    <m/>
    <m/>
  </r>
  <r>
    <d v="2026-06-26T00:00:00"/>
    <x v="0"/>
    <x v="5"/>
    <s v="NON"/>
    <m/>
    <n v="0"/>
    <n v="0"/>
    <n v="1000"/>
    <m/>
    <m/>
    <m/>
    <n v="0"/>
    <n v="0"/>
    <m/>
    <m/>
    <m/>
    <m/>
    <m/>
  </r>
  <r>
    <d v="2026-06-26T00:00:00"/>
    <x v="0"/>
    <x v="14"/>
    <s v="NON"/>
    <n v="42"/>
    <s v="NO TAX"/>
    <n v="42"/>
    <m/>
    <m/>
    <m/>
    <m/>
    <n v="0"/>
    <n v="0"/>
    <m/>
    <m/>
    <m/>
    <m/>
    <m/>
  </r>
  <r>
    <d v="2026-06-26T00:00:00"/>
    <x v="0"/>
    <x v="2"/>
    <s v="NON"/>
    <n v="210"/>
    <s v="NO TAX"/>
    <n v="210"/>
    <m/>
    <m/>
    <m/>
    <m/>
    <n v="0"/>
    <n v="0"/>
    <m/>
    <m/>
    <m/>
    <m/>
    <m/>
  </r>
  <r>
    <d v="2026-06-26T00:00:00"/>
    <x v="0"/>
    <x v="0"/>
    <s v="NON"/>
    <n v="6"/>
    <n v="0.30000000000000004"/>
    <n v="6.3"/>
    <m/>
    <m/>
    <m/>
    <m/>
    <n v="0"/>
    <n v="0"/>
    <m/>
    <m/>
    <m/>
    <m/>
    <m/>
  </r>
  <r>
    <d v="2026-06-26T00:00:00"/>
    <x v="0"/>
    <x v="2"/>
    <s v="NON"/>
    <n v="60"/>
    <s v="NO TAX"/>
    <n v="60"/>
    <m/>
    <m/>
    <m/>
    <m/>
    <n v="0"/>
    <n v="0"/>
    <m/>
    <m/>
    <m/>
    <m/>
    <m/>
  </r>
  <r>
    <d v="2026-06-26T00:00:00"/>
    <x v="0"/>
    <x v="11"/>
    <s v="NON"/>
    <m/>
    <n v="0"/>
    <n v="0"/>
    <m/>
    <m/>
    <n v="3000"/>
    <m/>
    <n v="0"/>
    <n v="0"/>
    <m/>
    <m/>
    <m/>
    <m/>
    <m/>
  </r>
  <r>
    <d v="2026-06-26T00:00:00"/>
    <x v="0"/>
    <x v="5"/>
    <s v="NON"/>
    <m/>
    <n v="0"/>
    <n v="0"/>
    <n v="100"/>
    <m/>
    <m/>
    <m/>
    <n v="0"/>
    <n v="0"/>
    <m/>
    <m/>
    <m/>
    <m/>
    <m/>
  </r>
  <r>
    <d v="2026-06-27T00:00:00"/>
    <x v="0"/>
    <x v="4"/>
    <s v="NON"/>
    <n v="15"/>
    <s v="NO TAX"/>
    <n v="15"/>
    <m/>
    <m/>
    <m/>
    <m/>
    <n v="0"/>
    <n v="0"/>
    <m/>
    <m/>
    <m/>
    <m/>
    <m/>
  </r>
  <r>
    <d v="2026-06-27T00:00:00"/>
    <x v="0"/>
    <x v="13"/>
    <s v="NON"/>
    <n v="1000"/>
    <s v="NO TAX"/>
    <n v="1000"/>
    <m/>
    <m/>
    <m/>
    <m/>
    <n v="0"/>
    <n v="0"/>
    <m/>
    <m/>
    <m/>
    <m/>
    <m/>
  </r>
  <r>
    <d v="2026-06-27T00:00:00"/>
    <x v="0"/>
    <x v="3"/>
    <s v="NON"/>
    <n v="85"/>
    <s v="NO TAX"/>
    <n v="85"/>
    <m/>
    <m/>
    <m/>
    <m/>
    <n v="0"/>
    <n v="0"/>
    <m/>
    <m/>
    <m/>
    <m/>
    <m/>
  </r>
  <r>
    <d v="2026-06-27T00:00:00"/>
    <x v="0"/>
    <x v="0"/>
    <s v="NON"/>
    <n v="6000"/>
    <n v="300"/>
    <n v="6300"/>
    <m/>
    <m/>
    <m/>
    <m/>
    <n v="0"/>
    <n v="0"/>
    <m/>
    <m/>
    <m/>
    <m/>
    <m/>
  </r>
  <r>
    <d v="2026-06-27T00:00:00"/>
    <x v="0"/>
    <x v="2"/>
    <s v="NON"/>
    <n v="15"/>
    <s v="NO TAX"/>
    <n v="15"/>
    <m/>
    <m/>
    <m/>
    <m/>
    <n v="0"/>
    <n v="0"/>
    <m/>
    <m/>
    <m/>
    <m/>
    <m/>
  </r>
  <r>
    <d v="2026-06-27T00:00:00"/>
    <x v="0"/>
    <x v="2"/>
    <s v="NON"/>
    <n v="60"/>
    <s v="NO TAX"/>
    <n v="60"/>
    <m/>
    <m/>
    <m/>
    <m/>
    <n v="0"/>
    <n v="0"/>
    <m/>
    <m/>
    <m/>
    <m/>
    <m/>
  </r>
  <r>
    <d v="2026-06-27T00:00:00"/>
    <x v="0"/>
    <x v="5"/>
    <s v="NON"/>
    <m/>
    <n v="0"/>
    <n v="0"/>
    <n v="1050"/>
    <m/>
    <m/>
    <m/>
    <n v="0"/>
    <n v="0"/>
    <m/>
    <m/>
    <m/>
    <m/>
    <m/>
  </r>
  <r>
    <d v="2026-06-27T00:00:00"/>
    <x v="0"/>
    <x v="6"/>
    <s v="NON"/>
    <n v="160"/>
    <s v="NO TAX"/>
    <n v="160"/>
    <m/>
    <m/>
    <m/>
    <m/>
    <n v="0"/>
    <n v="0"/>
    <m/>
    <m/>
    <m/>
    <m/>
    <m/>
  </r>
  <r>
    <d v="2026-06-27T00:00:00"/>
    <x v="0"/>
    <x v="1"/>
    <s v="NON"/>
    <n v="20.48"/>
    <n v="1.024"/>
    <n v="21.504000000000001"/>
    <m/>
    <m/>
    <m/>
    <m/>
    <n v="0"/>
    <n v="0"/>
    <m/>
    <m/>
    <m/>
    <m/>
    <m/>
  </r>
  <r>
    <d v="2026-06-27T00:00:00"/>
    <x v="0"/>
    <x v="19"/>
    <s v="NON"/>
    <n v="50"/>
    <s v="NO TAX"/>
    <n v="50"/>
    <m/>
    <m/>
    <m/>
    <m/>
    <n v="0"/>
    <n v="0"/>
    <m/>
    <m/>
    <m/>
    <m/>
    <m/>
  </r>
  <r>
    <d v="2026-06-27T00:00:00"/>
    <x v="0"/>
    <x v="6"/>
    <s v="NON"/>
    <n v="215"/>
    <s v="NO TAX"/>
    <n v="215"/>
    <m/>
    <m/>
    <m/>
    <m/>
    <n v="0"/>
    <n v="0"/>
    <m/>
    <m/>
    <m/>
    <m/>
    <m/>
  </r>
  <r>
    <d v="2026-06-27T00:00:00"/>
    <x v="0"/>
    <x v="11"/>
    <s v="NON"/>
    <m/>
    <n v="0"/>
    <n v="0"/>
    <m/>
    <m/>
    <n v="3000"/>
    <m/>
    <n v="0"/>
    <n v="0"/>
    <m/>
    <m/>
    <m/>
    <m/>
    <m/>
  </r>
  <r>
    <d v="2026-06-27T00:00:00"/>
    <x v="3"/>
    <x v="17"/>
    <s v="NON"/>
    <n v="500"/>
    <s v="NO TAX"/>
    <n v="500"/>
    <m/>
    <m/>
    <m/>
    <m/>
    <n v="0"/>
    <n v="0"/>
    <m/>
    <m/>
    <m/>
    <m/>
    <m/>
  </r>
  <r>
    <d v="2026-06-29T00:00:00"/>
    <x v="0"/>
    <x v="5"/>
    <s v="NON"/>
    <m/>
    <n v="0"/>
    <n v="0"/>
    <n v="500"/>
    <m/>
    <m/>
    <m/>
    <n v="0"/>
    <n v="0"/>
    <m/>
    <m/>
    <m/>
    <m/>
    <m/>
  </r>
  <r>
    <d v="2026-06-29T00:00:00"/>
    <x v="0"/>
    <x v="3"/>
    <s v="NON"/>
    <n v="57"/>
    <s v="NO TAX"/>
    <n v="57"/>
    <m/>
    <m/>
    <m/>
    <m/>
    <n v="0"/>
    <n v="0"/>
    <m/>
    <m/>
    <m/>
    <m/>
    <m/>
  </r>
  <r>
    <d v="2026-06-29T00:00:00"/>
    <x v="0"/>
    <x v="4"/>
    <s v="NON"/>
    <n v="53.5"/>
    <s v="NO TAX"/>
    <n v="53.5"/>
    <m/>
    <m/>
    <m/>
    <m/>
    <n v="0"/>
    <n v="0"/>
    <m/>
    <m/>
    <m/>
    <m/>
    <m/>
  </r>
  <r>
    <d v="2026-06-29T00:00:00"/>
    <x v="0"/>
    <x v="9"/>
    <s v="NON"/>
    <n v="76"/>
    <s v="NO TAX"/>
    <n v="76"/>
    <m/>
    <m/>
    <m/>
    <m/>
    <n v="0"/>
    <n v="0"/>
    <m/>
    <m/>
    <m/>
    <m/>
    <m/>
  </r>
  <r>
    <d v="2026-06-29T00:00:00"/>
    <x v="0"/>
    <x v="20"/>
    <s v="NON"/>
    <n v="50"/>
    <s v="NO TAX"/>
    <n v="50"/>
    <m/>
    <m/>
    <m/>
    <m/>
    <n v="0"/>
    <n v="0"/>
    <m/>
    <m/>
    <m/>
    <m/>
    <m/>
  </r>
  <r>
    <d v="2026-06-29T00:00:00"/>
    <x v="2"/>
    <x v="11"/>
    <s v="NON"/>
    <m/>
    <n v="0"/>
    <n v="0"/>
    <m/>
    <m/>
    <n v="6140"/>
    <m/>
    <n v="0"/>
    <n v="0"/>
    <m/>
    <m/>
    <m/>
    <m/>
    <m/>
  </r>
  <r>
    <d v="2026-06-29T00:00:00"/>
    <x v="6"/>
    <x v="30"/>
    <s v="NON"/>
    <n v="37976.400000000001"/>
    <n v="1898.8200000000002"/>
    <n v="39875.22"/>
    <m/>
    <m/>
    <m/>
    <m/>
    <n v="0"/>
    <n v="0"/>
    <m/>
    <m/>
    <m/>
    <m/>
    <m/>
  </r>
  <r>
    <d v="2026-05-01T00:00:00"/>
    <x v="0"/>
    <x v="0"/>
    <s v="NON"/>
    <n v="176.19"/>
    <n v="8.8094999999999999"/>
    <n v="184.99950000000001"/>
    <m/>
    <m/>
    <m/>
    <m/>
    <n v="0"/>
    <n v="0"/>
    <m/>
    <m/>
    <m/>
    <m/>
    <m/>
  </r>
  <r>
    <d v="2026-05-01T00:00:00"/>
    <x v="0"/>
    <x v="14"/>
    <s v="NON"/>
    <n v="47"/>
    <s v="NO TAX"/>
    <n v="47"/>
    <m/>
    <m/>
    <m/>
    <m/>
    <n v="0"/>
    <n v="0"/>
    <m/>
    <m/>
    <m/>
    <m/>
    <m/>
  </r>
  <r>
    <d v="2026-05-01T00:00:00"/>
    <x v="0"/>
    <x v="2"/>
    <s v="NON"/>
    <n v="13900"/>
    <s v="NO TAX"/>
    <n v="13900"/>
    <m/>
    <m/>
    <m/>
    <m/>
    <n v="0"/>
    <n v="0"/>
    <m/>
    <m/>
    <m/>
    <m/>
    <m/>
  </r>
  <r>
    <d v="2026-05-01T00:00:00"/>
    <x v="0"/>
    <x v="2"/>
    <s v="NON"/>
    <n v="14"/>
    <s v="NO TAX"/>
    <n v="14"/>
    <m/>
    <m/>
    <m/>
    <m/>
    <n v="0"/>
    <n v="0"/>
    <m/>
    <m/>
    <m/>
    <m/>
    <m/>
  </r>
  <r>
    <d v="2026-05-01T00:00:00"/>
    <x v="0"/>
    <x v="13"/>
    <s v="NON"/>
    <n v="1500"/>
    <s v="NO TAX"/>
    <n v="1500"/>
    <m/>
    <m/>
    <m/>
    <m/>
    <n v="0"/>
    <n v="0"/>
    <m/>
    <m/>
    <m/>
    <m/>
    <m/>
  </r>
  <r>
    <d v="2026-05-02T00:00:00"/>
    <x v="9"/>
    <x v="5"/>
    <s v="NON"/>
    <m/>
    <n v="0"/>
    <n v="0"/>
    <n v="1926"/>
    <m/>
    <m/>
    <m/>
    <n v="0"/>
    <n v="0"/>
    <m/>
    <m/>
    <m/>
    <m/>
    <m/>
  </r>
  <r>
    <d v="2026-05-02T00:00:00"/>
    <x v="0"/>
    <x v="6"/>
    <s v="NON"/>
    <n v="150"/>
    <s v="NO TAX"/>
    <n v="150"/>
    <m/>
    <m/>
    <m/>
    <m/>
    <n v="0"/>
    <n v="0"/>
    <m/>
    <m/>
    <m/>
    <m/>
    <m/>
  </r>
  <r>
    <d v="2026-05-02T00:00:00"/>
    <x v="0"/>
    <x v="19"/>
    <s v="NON"/>
    <n v="100"/>
    <s v="NO TAX"/>
    <n v="100"/>
    <m/>
    <m/>
    <m/>
    <m/>
    <n v="0"/>
    <n v="0"/>
    <m/>
    <m/>
    <m/>
    <m/>
    <m/>
  </r>
  <r>
    <d v="2026-05-02T00:00:00"/>
    <x v="0"/>
    <x v="6"/>
    <s v="NON"/>
    <n v="400"/>
    <s v="NO TAX"/>
    <n v="400"/>
    <m/>
    <m/>
    <m/>
    <m/>
    <n v="0"/>
    <n v="0"/>
    <m/>
    <m/>
    <m/>
    <m/>
    <m/>
  </r>
  <r>
    <d v="2026-05-02T00:00:00"/>
    <x v="0"/>
    <x v="3"/>
    <s v="NON"/>
    <n v="50"/>
    <s v="NO TAX"/>
    <n v="50"/>
    <m/>
    <m/>
    <m/>
    <m/>
    <n v="0"/>
    <n v="0"/>
    <m/>
    <m/>
    <m/>
    <m/>
    <m/>
  </r>
  <r>
    <d v="2026-05-04T00:00:00"/>
    <x v="0"/>
    <x v="0"/>
    <s v="NON"/>
    <n v="275"/>
    <n v="13.75"/>
    <n v="288.75"/>
    <m/>
    <m/>
    <m/>
    <m/>
    <n v="0"/>
    <n v="0"/>
    <m/>
    <m/>
    <m/>
    <m/>
    <m/>
  </r>
  <r>
    <d v="2026-05-04T00:00:00"/>
    <x v="0"/>
    <x v="0"/>
    <s v="NON"/>
    <n v="38.1"/>
    <n v="1.9050000000000002"/>
    <n v="40.005000000000003"/>
    <m/>
    <m/>
    <m/>
    <m/>
    <n v="0"/>
    <n v="0"/>
    <m/>
    <m/>
    <m/>
    <m/>
    <m/>
  </r>
  <r>
    <d v="2026-05-04T00:00:00"/>
    <x v="0"/>
    <x v="25"/>
    <s v="NON"/>
    <n v="2000"/>
    <s v="NO TAX"/>
    <n v="2000"/>
    <m/>
    <m/>
    <m/>
    <m/>
    <n v="0"/>
    <n v="0"/>
    <m/>
    <m/>
    <m/>
    <m/>
    <m/>
  </r>
  <r>
    <d v="2026-05-04T00:00:00"/>
    <x v="0"/>
    <x v="1"/>
    <s v="NON"/>
    <n v="3"/>
    <s v="NO TAX"/>
    <n v="3"/>
    <m/>
    <m/>
    <m/>
    <m/>
    <n v="0"/>
    <n v="0"/>
    <m/>
    <m/>
    <m/>
    <m/>
    <m/>
  </r>
  <r>
    <d v="2026-05-04T00:00:00"/>
    <x v="0"/>
    <x v="0"/>
    <s v="NON"/>
    <n v="-176.19"/>
    <n v="-8.8094999999999999"/>
    <n v="-184.99950000000001"/>
    <m/>
    <m/>
    <m/>
    <m/>
    <n v="0"/>
    <n v="0"/>
    <m/>
    <m/>
    <m/>
    <m/>
    <m/>
  </r>
  <r>
    <d v="2026-05-05T00:00:00"/>
    <x v="0"/>
    <x v="2"/>
    <s v="NON"/>
    <n v="55"/>
    <s v="NO TAX"/>
    <n v="55"/>
    <m/>
    <m/>
    <m/>
    <m/>
    <n v="0"/>
    <n v="0"/>
    <m/>
    <m/>
    <m/>
    <m/>
    <m/>
  </r>
  <r>
    <d v="2026-05-05T00:00:00"/>
    <x v="0"/>
    <x v="2"/>
    <s v="NON"/>
    <n v="495"/>
    <s v="NO TAX"/>
    <n v="495"/>
    <m/>
    <m/>
    <m/>
    <m/>
    <n v="0"/>
    <n v="0"/>
    <m/>
    <m/>
    <m/>
    <m/>
    <m/>
  </r>
  <r>
    <d v="2026-05-05T00:00:00"/>
    <x v="0"/>
    <x v="3"/>
    <s v="NON"/>
    <n v="37"/>
    <s v="NO TAX"/>
    <n v="37"/>
    <m/>
    <m/>
    <m/>
    <m/>
    <n v="0"/>
    <n v="0"/>
    <m/>
    <m/>
    <m/>
    <m/>
    <m/>
  </r>
  <r>
    <d v="2026-05-05T00:00:00"/>
    <x v="0"/>
    <x v="7"/>
    <s v="NON"/>
    <n v="340"/>
    <s v="NO TAX"/>
    <n v="340"/>
    <m/>
    <m/>
    <m/>
    <m/>
    <n v="0"/>
    <n v="0"/>
    <m/>
    <m/>
    <m/>
    <m/>
    <m/>
  </r>
  <r>
    <d v="2026-05-05T00:00:00"/>
    <x v="0"/>
    <x v="0"/>
    <s v="NON"/>
    <n v="110"/>
    <n v="5.5"/>
    <n v="115.5"/>
    <m/>
    <m/>
    <m/>
    <m/>
    <n v="0"/>
    <n v="0"/>
    <m/>
    <m/>
    <m/>
    <m/>
    <m/>
  </r>
  <r>
    <d v="2026-05-05T00:00:00"/>
    <x v="0"/>
    <x v="1"/>
    <s v="NON"/>
    <n v="20.92"/>
    <n v="1.046"/>
    <n v="21.966000000000001"/>
    <m/>
    <m/>
    <m/>
    <m/>
    <n v="0"/>
    <n v="0"/>
    <m/>
    <m/>
    <m/>
    <m/>
    <m/>
  </r>
  <r>
    <d v="2026-05-05T00:00:00"/>
    <x v="0"/>
    <x v="6"/>
    <s v="NON"/>
    <n v="140"/>
    <s v="NO TAX"/>
    <n v="140"/>
    <m/>
    <m/>
    <m/>
    <m/>
    <n v="0"/>
    <n v="0"/>
    <m/>
    <m/>
    <m/>
    <m/>
    <m/>
  </r>
  <r>
    <d v="2026-05-04T00:00:00"/>
    <x v="0"/>
    <x v="7"/>
    <s v="NON"/>
    <n v="169490"/>
    <s v="NO TAX"/>
    <n v="169490"/>
    <m/>
    <m/>
    <m/>
    <m/>
    <n v="0"/>
    <n v="0"/>
    <m/>
    <m/>
    <m/>
    <m/>
    <m/>
  </r>
  <r>
    <d v="2026-05-04T00:00:00"/>
    <x v="0"/>
    <x v="24"/>
    <s v="NON"/>
    <n v="441"/>
    <s v="NO TAX"/>
    <n v="441"/>
    <m/>
    <m/>
    <m/>
    <m/>
    <n v="0"/>
    <n v="0"/>
    <m/>
    <m/>
    <m/>
    <m/>
    <m/>
  </r>
  <r>
    <d v="2026-05-06T00:00:00"/>
    <x v="0"/>
    <x v="2"/>
    <s v="NON"/>
    <n v="55"/>
    <s v="NO TAX"/>
    <n v="55"/>
    <m/>
    <m/>
    <m/>
    <m/>
    <n v="0"/>
    <n v="0"/>
    <m/>
    <m/>
    <m/>
    <m/>
    <m/>
  </r>
  <r>
    <d v="2026-05-07T00:00:00"/>
    <x v="0"/>
    <x v="14"/>
    <s v="NON"/>
    <n v="600"/>
    <n v="30"/>
    <n v="630"/>
    <m/>
    <m/>
    <m/>
    <m/>
    <n v="0"/>
    <n v="0"/>
    <m/>
    <m/>
    <m/>
    <m/>
    <m/>
  </r>
  <r>
    <d v="2026-05-07T00:00:00"/>
    <x v="0"/>
    <x v="14"/>
    <s v="NON"/>
    <n v="500"/>
    <s v="NO TAX"/>
    <n v="500"/>
    <m/>
    <m/>
    <m/>
    <m/>
    <n v="0"/>
    <n v="0"/>
    <m/>
    <m/>
    <m/>
    <m/>
    <m/>
  </r>
  <r>
    <d v="2026-05-07T00:00:00"/>
    <x v="0"/>
    <x v="2"/>
    <s v="NON"/>
    <n v="62.5"/>
    <s v="NO TAX"/>
    <n v="62.5"/>
    <m/>
    <m/>
    <m/>
    <m/>
    <n v="0"/>
    <n v="0"/>
    <m/>
    <m/>
    <m/>
    <m/>
    <m/>
  </r>
  <r>
    <d v="2026-05-07T00:00:00"/>
    <x v="0"/>
    <x v="2"/>
    <s v="NON"/>
    <n v="500"/>
    <s v="NO TAX"/>
    <n v="500"/>
    <m/>
    <m/>
    <m/>
    <m/>
    <n v="0"/>
    <n v="0"/>
    <m/>
    <m/>
    <m/>
    <m/>
    <m/>
  </r>
  <r>
    <d v="2026-05-07T00:00:00"/>
    <x v="0"/>
    <x v="2"/>
    <s v="NON"/>
    <n v="160"/>
    <s v="NO TAX"/>
    <n v="160"/>
    <m/>
    <m/>
    <m/>
    <m/>
    <n v="0"/>
    <n v="0"/>
    <m/>
    <m/>
    <m/>
    <m/>
    <m/>
  </r>
  <r>
    <d v="2026-05-07T00:00:00"/>
    <x v="0"/>
    <x v="2"/>
    <s v="NON"/>
    <n v="55"/>
    <s v="NO TAX"/>
    <n v="55"/>
    <m/>
    <m/>
    <m/>
    <m/>
    <n v="0"/>
    <n v="0"/>
    <m/>
    <m/>
    <m/>
    <m/>
    <m/>
  </r>
  <r>
    <d v="2026-05-07T00:00:00"/>
    <x v="0"/>
    <x v="5"/>
    <s v="NON"/>
    <m/>
    <n v="0"/>
    <n v="0"/>
    <n v="500"/>
    <m/>
    <m/>
    <m/>
    <n v="0"/>
    <n v="0"/>
    <m/>
    <m/>
    <m/>
    <m/>
    <m/>
  </r>
  <r>
    <d v="2026-05-07T00:00:00"/>
    <x v="0"/>
    <x v="31"/>
    <s v="NON"/>
    <n v="230"/>
    <s v="NO TAX"/>
    <n v="230"/>
    <m/>
    <m/>
    <m/>
    <m/>
    <n v="0"/>
    <n v="0"/>
    <m/>
    <m/>
    <m/>
    <m/>
    <m/>
  </r>
  <r>
    <d v="2026-05-07T00:00:00"/>
    <x v="0"/>
    <x v="14"/>
    <s v="NON"/>
    <n v="8"/>
    <s v="NO TAX"/>
    <n v="8"/>
    <m/>
    <m/>
    <m/>
    <m/>
    <n v="0"/>
    <n v="0"/>
    <m/>
    <m/>
    <m/>
    <m/>
    <m/>
  </r>
  <r>
    <d v="2026-05-07T00:00:00"/>
    <x v="0"/>
    <x v="2"/>
    <s v="NON"/>
    <n v="348.25"/>
    <s v="NO TAX"/>
    <n v="348.25"/>
    <m/>
    <m/>
    <m/>
    <m/>
    <n v="0"/>
    <n v="0"/>
    <m/>
    <m/>
    <m/>
    <m/>
    <m/>
  </r>
  <r>
    <d v="2026-05-07T00:00:00"/>
    <x v="0"/>
    <x v="9"/>
    <s v="NON"/>
    <n v="200"/>
    <s v="NO TAX"/>
    <n v="200"/>
    <m/>
    <m/>
    <m/>
    <m/>
    <n v="0"/>
    <n v="0"/>
    <m/>
    <m/>
    <m/>
    <m/>
    <m/>
  </r>
  <r>
    <d v="2026-05-07T00:00:00"/>
    <x v="6"/>
    <x v="32"/>
    <s v="NON"/>
    <n v="41559.5"/>
    <n v="2077.9749999999999"/>
    <n v="43637.474999999999"/>
    <m/>
    <m/>
    <m/>
    <m/>
    <n v="0"/>
    <n v="0"/>
    <m/>
    <m/>
    <m/>
    <m/>
    <m/>
  </r>
  <r>
    <d v="2026-05-07T00:00:00"/>
    <x v="6"/>
    <x v="33"/>
    <s v="NON"/>
    <n v="9665"/>
    <n v="483.25"/>
    <n v="10148.25"/>
    <m/>
    <m/>
    <m/>
    <m/>
    <n v="0"/>
    <n v="0"/>
    <m/>
    <m/>
    <m/>
    <m/>
    <m/>
  </r>
  <r>
    <d v="2026-05-07T00:00:00"/>
    <x v="6"/>
    <x v="34"/>
    <s v="NON"/>
    <n v="16913.75"/>
    <n v="845.6875"/>
    <n v="17759.4375"/>
    <m/>
    <m/>
    <m/>
    <m/>
    <n v="0"/>
    <n v="0"/>
    <m/>
    <m/>
    <m/>
    <m/>
    <m/>
  </r>
  <r>
    <d v="2026-05-07T00:00:00"/>
    <x v="6"/>
    <x v="35"/>
    <s v="NON"/>
    <n v="105"/>
    <s v="NO TAX"/>
    <n v="105"/>
    <m/>
    <m/>
    <m/>
    <m/>
    <n v="0"/>
    <n v="0"/>
    <m/>
    <m/>
    <m/>
    <m/>
    <m/>
  </r>
  <r>
    <d v="2026-05-08T00:00:00"/>
    <x v="0"/>
    <x v="19"/>
    <s v="NON"/>
    <n v="145"/>
    <s v="NO TAX"/>
    <n v="145"/>
    <m/>
    <m/>
    <m/>
    <m/>
    <n v="0"/>
    <n v="0"/>
    <m/>
    <m/>
    <m/>
    <m/>
    <m/>
  </r>
  <r>
    <d v="2026-05-08T00:00:00"/>
    <x v="0"/>
    <x v="6"/>
    <s v="NON"/>
    <n v="150"/>
    <s v="NO TAX"/>
    <n v="150"/>
    <m/>
    <m/>
    <m/>
    <m/>
    <n v="0"/>
    <n v="0"/>
    <m/>
    <m/>
    <m/>
    <m/>
    <m/>
  </r>
  <r>
    <d v="2026-05-08T00:00:00"/>
    <x v="0"/>
    <x v="0"/>
    <s v="NON"/>
    <n v="40"/>
    <n v="2"/>
    <n v="42"/>
    <m/>
    <m/>
    <m/>
    <m/>
    <n v="0"/>
    <n v="0"/>
    <m/>
    <m/>
    <m/>
    <m/>
    <m/>
  </r>
  <r>
    <d v="2026-05-08T00:00:00"/>
    <x v="0"/>
    <x v="21"/>
    <s v="NON"/>
    <n v="20"/>
    <s v="NO TAX"/>
    <n v="20"/>
    <m/>
    <m/>
    <m/>
    <m/>
    <n v="0"/>
    <n v="0"/>
    <m/>
    <m/>
    <m/>
    <m/>
    <m/>
  </r>
  <r>
    <d v="2026-05-08T00:00:00"/>
    <x v="0"/>
    <x v="9"/>
    <s v="NON"/>
    <n v="200"/>
    <s v="NO TAX"/>
    <n v="200"/>
    <m/>
    <m/>
    <m/>
    <m/>
    <n v="0"/>
    <n v="0"/>
    <m/>
    <m/>
    <m/>
    <m/>
    <m/>
  </r>
  <r>
    <d v="2026-05-08T00:00:00"/>
    <x v="0"/>
    <x v="5"/>
    <s v="NON"/>
    <n v="0"/>
    <n v="0"/>
    <n v="0"/>
    <n v="1000"/>
    <m/>
    <m/>
    <m/>
    <n v="0"/>
    <n v="0"/>
    <m/>
    <m/>
    <m/>
    <m/>
    <m/>
  </r>
  <r>
    <d v="2026-05-08T00:00:00"/>
    <x v="0"/>
    <x v="2"/>
    <s v="NON"/>
    <n v="15"/>
    <s v="NO TAX"/>
    <n v="15"/>
    <m/>
    <m/>
    <m/>
    <m/>
    <n v="0"/>
    <n v="0"/>
    <m/>
    <m/>
    <m/>
    <m/>
    <m/>
  </r>
  <r>
    <d v="2026-05-09T00:00:00"/>
    <x v="0"/>
    <x v="4"/>
    <s v="NON"/>
    <n v="20"/>
    <s v="NO TAX"/>
    <n v="20"/>
    <m/>
    <m/>
    <m/>
    <m/>
    <n v="0"/>
    <n v="0"/>
    <m/>
    <m/>
    <m/>
    <m/>
    <m/>
  </r>
  <r>
    <d v="2026-05-09T00:00:00"/>
    <x v="0"/>
    <x v="0"/>
    <s v="NON"/>
    <n v="140"/>
    <s v="NO TAX"/>
    <n v="140"/>
    <m/>
    <m/>
    <m/>
    <m/>
    <n v="0"/>
    <n v="0"/>
    <m/>
    <m/>
    <m/>
    <m/>
    <m/>
  </r>
  <r>
    <d v="2026-05-09T00:00:00"/>
    <x v="0"/>
    <x v="0"/>
    <s v="NON"/>
    <n v="30"/>
    <n v="1.5"/>
    <n v="31.5"/>
    <m/>
    <m/>
    <m/>
    <m/>
    <n v="0"/>
    <n v="0"/>
    <m/>
    <m/>
    <m/>
    <m/>
    <m/>
  </r>
  <r>
    <d v="2026-05-09T00:00:00"/>
    <x v="0"/>
    <x v="19"/>
    <s v="NON"/>
    <n v="225"/>
    <s v="NO TAX"/>
    <n v="225"/>
    <m/>
    <m/>
    <m/>
    <m/>
    <n v="0"/>
    <n v="0"/>
    <m/>
    <m/>
    <m/>
    <m/>
    <m/>
  </r>
  <r>
    <d v="2026-05-09T00:00:00"/>
    <x v="0"/>
    <x v="19"/>
    <s v="NON"/>
    <n v="8"/>
    <s v="NO TAX"/>
    <n v="8"/>
    <m/>
    <m/>
    <m/>
    <m/>
    <n v="0"/>
    <n v="0"/>
    <m/>
    <m/>
    <m/>
    <m/>
    <m/>
  </r>
  <r>
    <d v="2026-05-09T00:00:00"/>
    <x v="0"/>
    <x v="14"/>
    <s v="NON"/>
    <n v="300"/>
    <s v="NO TAX"/>
    <n v="300"/>
    <m/>
    <m/>
    <m/>
    <m/>
    <n v="0"/>
    <n v="0"/>
    <m/>
    <m/>
    <m/>
    <m/>
    <m/>
  </r>
  <r>
    <d v="2026-05-09T00:00:00"/>
    <x v="0"/>
    <x v="5"/>
    <s v="NON"/>
    <m/>
    <n v="0"/>
    <n v="0"/>
    <n v="150"/>
    <m/>
    <m/>
    <m/>
    <n v="0"/>
    <n v="0"/>
    <m/>
    <m/>
    <m/>
    <m/>
    <m/>
  </r>
  <r>
    <d v="2026-05-09T00:00:00"/>
    <x v="0"/>
    <x v="3"/>
    <s v="NON"/>
    <n v="250"/>
    <s v="NO TAX"/>
    <n v="250"/>
    <m/>
    <m/>
    <m/>
    <m/>
    <n v="0"/>
    <n v="0"/>
    <m/>
    <m/>
    <m/>
    <m/>
    <m/>
  </r>
  <r>
    <d v="2026-05-11T00:00:00"/>
    <x v="6"/>
    <x v="32"/>
    <s v="NON"/>
    <n v="19657.25"/>
    <n v="982.86250000000007"/>
    <n v="20640.112499999999"/>
    <m/>
    <m/>
    <m/>
    <m/>
    <n v="0"/>
    <n v="0"/>
    <m/>
    <m/>
    <m/>
    <m/>
    <m/>
  </r>
  <r>
    <d v="2026-05-11T00:00:00"/>
    <x v="6"/>
    <x v="33"/>
    <s v="NON"/>
    <n v="6445"/>
    <n v="322.25"/>
    <n v="6767.25"/>
    <m/>
    <m/>
    <m/>
    <m/>
    <n v="0"/>
    <n v="0"/>
    <m/>
    <m/>
    <m/>
    <m/>
    <m/>
  </r>
  <r>
    <d v="2026-05-11T00:00:00"/>
    <x v="6"/>
    <x v="34"/>
    <s v="NON"/>
    <n v="11278.75"/>
    <n v="563.9375"/>
    <n v="11842.6875"/>
    <m/>
    <m/>
    <m/>
    <m/>
    <n v="0"/>
    <n v="0"/>
    <m/>
    <m/>
    <m/>
    <m/>
    <m/>
  </r>
  <r>
    <d v="2026-05-11T00:00:00"/>
    <x v="0"/>
    <x v="13"/>
    <s v="NON"/>
    <n v="1500"/>
    <s v="NO TAX"/>
    <n v="1500"/>
    <m/>
    <m/>
    <m/>
    <m/>
    <n v="0"/>
    <n v="0"/>
    <m/>
    <m/>
    <m/>
    <m/>
    <m/>
  </r>
  <r>
    <d v="2026-05-11T00:00:00"/>
    <x v="0"/>
    <x v="19"/>
    <s v="NON"/>
    <n v="114"/>
    <s v="NO TAX"/>
    <n v="114"/>
    <m/>
    <m/>
    <m/>
    <m/>
    <n v="0"/>
    <n v="0"/>
    <m/>
    <m/>
    <m/>
    <m/>
    <m/>
  </r>
  <r>
    <d v="2026-05-11T00:00:00"/>
    <x v="0"/>
    <x v="36"/>
    <s v="NON"/>
    <n v="9232.24"/>
    <n v="461.61200000000002"/>
    <n v="9693.851999999999"/>
    <m/>
    <m/>
    <m/>
    <m/>
    <n v="0"/>
    <n v="0"/>
    <m/>
    <m/>
    <m/>
    <m/>
    <m/>
  </r>
  <r>
    <d v="2026-05-11T00:00:00"/>
    <x v="0"/>
    <x v="37"/>
    <s v="NON"/>
    <n v="1415.7"/>
    <n v="70.785000000000011"/>
    <n v="1486.4850000000001"/>
    <m/>
    <m/>
    <m/>
    <m/>
    <n v="0"/>
    <n v="0"/>
    <m/>
    <m/>
    <m/>
    <m/>
    <m/>
  </r>
  <r>
    <d v="2026-05-11T00:00:00"/>
    <x v="0"/>
    <x v="0"/>
    <s v="NON"/>
    <n v="500"/>
    <n v="25"/>
    <n v="525"/>
    <m/>
    <m/>
    <m/>
    <m/>
    <n v="0"/>
    <n v="0"/>
    <m/>
    <m/>
    <m/>
    <m/>
    <m/>
  </r>
  <r>
    <d v="2026-05-11T00:00:00"/>
    <x v="0"/>
    <x v="0"/>
    <s v="NON"/>
    <n v="1425.05"/>
    <n v="71.252499999999998"/>
    <n v="1496.3025"/>
    <m/>
    <m/>
    <m/>
    <m/>
    <n v="0"/>
    <n v="0"/>
    <m/>
    <m/>
    <m/>
    <m/>
    <m/>
  </r>
  <r>
    <d v="2026-05-11T00:00:00"/>
    <x v="0"/>
    <x v="0"/>
    <s v="NON"/>
    <n v="7000"/>
    <s v="NO TAX"/>
    <n v="7000"/>
    <m/>
    <m/>
    <m/>
    <m/>
    <n v="0"/>
    <n v="0"/>
    <m/>
    <m/>
    <m/>
    <m/>
    <m/>
  </r>
  <r>
    <d v="2026-05-11T00:00:00"/>
    <x v="0"/>
    <x v="5"/>
    <s v="NON"/>
    <m/>
    <n v="0"/>
    <n v="0"/>
    <n v="200"/>
    <m/>
    <m/>
    <m/>
    <n v="0"/>
    <n v="0"/>
    <m/>
    <m/>
    <m/>
    <m/>
    <m/>
  </r>
  <r>
    <d v="2026-05-11T00:00:00"/>
    <x v="0"/>
    <x v="2"/>
    <s v="NON"/>
    <n v="58"/>
    <s v="NO TAX"/>
    <n v="58"/>
    <m/>
    <m/>
    <m/>
    <m/>
    <n v="0"/>
    <n v="0"/>
    <m/>
    <m/>
    <m/>
    <m/>
    <m/>
  </r>
  <r>
    <d v="2026-05-11T00:00:00"/>
    <x v="0"/>
    <x v="21"/>
    <s v="NON"/>
    <n v="20"/>
    <s v="NO TAX"/>
    <n v="20"/>
    <m/>
    <m/>
    <m/>
    <m/>
    <n v="0"/>
    <n v="0"/>
    <m/>
    <m/>
    <m/>
    <m/>
    <m/>
  </r>
  <r>
    <d v="2026-05-11T00:00:00"/>
    <x v="0"/>
    <x v="2"/>
    <s v="NON"/>
    <n v="390"/>
    <s v="NO TAX"/>
    <n v="390"/>
    <m/>
    <m/>
    <m/>
    <m/>
    <n v="0"/>
    <n v="0"/>
    <m/>
    <m/>
    <m/>
    <m/>
    <m/>
  </r>
  <r>
    <d v="2026-05-11T00:00:00"/>
    <x v="0"/>
    <x v="3"/>
    <s v="NON"/>
    <n v="8"/>
    <s v="NO TAX"/>
    <n v="8"/>
    <m/>
    <m/>
    <m/>
    <m/>
    <n v="0"/>
    <n v="0"/>
    <m/>
    <m/>
    <m/>
    <m/>
    <m/>
  </r>
  <r>
    <d v="2026-05-11T00:00:00"/>
    <x v="0"/>
    <x v="11"/>
    <s v="NON"/>
    <m/>
    <n v="0"/>
    <n v="0"/>
    <m/>
    <m/>
    <n v="11950"/>
    <m/>
    <n v="0"/>
    <n v="0"/>
    <m/>
    <m/>
    <m/>
    <m/>
    <m/>
  </r>
  <r>
    <d v="2026-05-11T00:00:00"/>
    <x v="0"/>
    <x v="38"/>
    <s v="NON"/>
    <m/>
    <n v="0"/>
    <n v="0"/>
    <m/>
    <m/>
    <n v="10000"/>
    <m/>
    <n v="0"/>
    <n v="0"/>
    <m/>
    <m/>
    <m/>
    <m/>
    <m/>
  </r>
  <r>
    <d v="2026-05-09T00:00:00"/>
    <x v="0"/>
    <x v="7"/>
    <s v="NON"/>
    <m/>
    <n v="0"/>
    <n v="0"/>
    <m/>
    <m/>
    <m/>
    <m/>
    <n v="0"/>
    <n v="0"/>
    <m/>
    <m/>
    <n v="15000"/>
    <m/>
    <m/>
  </r>
  <r>
    <d v="2026-05-11T00:00:00"/>
    <x v="0"/>
    <x v="39"/>
    <s v="NON"/>
    <m/>
    <n v="0"/>
    <n v="0"/>
    <m/>
    <m/>
    <m/>
    <m/>
    <n v="0"/>
    <n v="0"/>
    <m/>
    <m/>
    <n v="4200"/>
    <m/>
    <m/>
  </r>
  <r>
    <d v="2026-05-12T00:00:00"/>
    <x v="0"/>
    <x v="2"/>
    <s v="NON"/>
    <n v="13"/>
    <s v="NO TAX"/>
    <n v="13"/>
    <m/>
    <m/>
    <m/>
    <m/>
    <n v="0"/>
    <n v="0"/>
    <m/>
    <m/>
    <m/>
    <m/>
    <m/>
  </r>
  <r>
    <d v="2026-05-12T00:00:00"/>
    <x v="0"/>
    <x v="6"/>
    <s v="NON"/>
    <n v="150"/>
    <s v="NO TAX"/>
    <n v="150"/>
    <m/>
    <m/>
    <m/>
    <m/>
    <n v="0"/>
    <n v="0"/>
    <m/>
    <m/>
    <m/>
    <m/>
    <m/>
  </r>
  <r>
    <d v="2026-05-12T00:00:00"/>
    <x v="0"/>
    <x v="2"/>
    <s v="NON"/>
    <n v="55"/>
    <s v="NO TAX"/>
    <n v="55"/>
    <m/>
    <m/>
    <m/>
    <m/>
    <n v="0"/>
    <n v="0"/>
    <m/>
    <m/>
    <m/>
    <m/>
    <m/>
  </r>
  <r>
    <d v="2026-05-12T00:00:00"/>
    <x v="0"/>
    <x v="5"/>
    <s v="NON"/>
    <n v="0"/>
    <n v="0"/>
    <n v="0"/>
    <n v="100"/>
    <m/>
    <m/>
    <m/>
    <n v="0"/>
    <n v="0"/>
    <m/>
    <m/>
    <m/>
    <m/>
    <m/>
  </r>
  <r>
    <d v="2026-05-12T00:00:00"/>
    <x v="0"/>
    <x v="2"/>
    <s v="NON"/>
    <n v="120"/>
    <s v="NO TAX"/>
    <n v="120"/>
    <m/>
    <m/>
    <m/>
    <m/>
    <n v="0"/>
    <n v="0"/>
    <m/>
    <m/>
    <m/>
    <m/>
    <m/>
  </r>
  <r>
    <d v="2026-05-12T00:00:00"/>
    <x v="0"/>
    <x v="27"/>
    <s v="NON"/>
    <n v="2373.75"/>
    <s v="NO TAX"/>
    <n v="2373.75"/>
    <m/>
    <m/>
    <m/>
    <m/>
    <n v="0"/>
    <n v="0"/>
    <m/>
    <m/>
    <m/>
    <m/>
    <m/>
  </r>
  <r>
    <d v="2026-05-12T00:00:00"/>
    <x v="1"/>
    <x v="8"/>
    <s v="NON"/>
    <n v="1275"/>
    <s v="NO TAX"/>
    <n v="1275"/>
    <m/>
    <m/>
    <m/>
    <m/>
    <n v="0"/>
    <n v="0"/>
    <m/>
    <m/>
    <m/>
    <m/>
    <m/>
  </r>
  <r>
    <d v="2026-05-12T00:00:00"/>
    <x v="9"/>
    <x v="17"/>
    <s v="NON"/>
    <n v="500"/>
    <s v="NO TAX"/>
    <n v="500"/>
    <m/>
    <m/>
    <m/>
    <m/>
    <n v="0"/>
    <n v="0"/>
    <m/>
    <m/>
    <m/>
    <m/>
    <m/>
  </r>
  <r>
    <d v="2026-05-12T00:00:00"/>
    <x v="9"/>
    <x v="0"/>
    <s v="NON"/>
    <n v="25886.55"/>
    <s v="NO TAX"/>
    <n v="25886.55"/>
    <m/>
    <m/>
    <m/>
    <m/>
    <n v="0"/>
    <n v="0"/>
    <m/>
    <m/>
    <m/>
    <m/>
    <m/>
  </r>
  <r>
    <d v="2026-05-12T00:00:00"/>
    <x v="0"/>
    <x v="14"/>
    <s v="NON"/>
    <m/>
    <n v="0"/>
    <n v="0"/>
    <m/>
    <m/>
    <m/>
    <m/>
    <n v="0"/>
    <n v="0"/>
    <n v="36000"/>
    <m/>
    <m/>
    <m/>
    <m/>
  </r>
  <r>
    <d v="2026-05-13T00:00:00"/>
    <x v="0"/>
    <x v="11"/>
    <s v="NON"/>
    <m/>
    <n v="0"/>
    <n v="0"/>
    <m/>
    <m/>
    <n v="500"/>
    <m/>
    <n v="0"/>
    <n v="0"/>
    <m/>
    <m/>
    <m/>
    <m/>
    <m/>
  </r>
  <r>
    <d v="2026-05-13T00:00:00"/>
    <x v="0"/>
    <x v="0"/>
    <s v="NON"/>
    <n v="137"/>
    <n v="6.8500000000000005"/>
    <n v="143.85"/>
    <m/>
    <m/>
    <m/>
    <m/>
    <n v="0"/>
    <n v="0"/>
    <m/>
    <m/>
    <m/>
    <m/>
    <m/>
  </r>
  <r>
    <d v="2026-05-13T00:00:00"/>
    <x v="0"/>
    <x v="0"/>
    <s v="NON"/>
    <n v="215"/>
    <n v="10.75"/>
    <n v="225.75"/>
    <m/>
    <m/>
    <m/>
    <m/>
    <n v="0"/>
    <n v="0"/>
    <m/>
    <m/>
    <m/>
    <m/>
    <m/>
  </r>
  <r>
    <d v="2026-05-13T00:00:00"/>
    <x v="0"/>
    <x v="2"/>
    <s v="NON"/>
    <n v="7"/>
    <s v="NO TAX"/>
    <n v="7"/>
    <m/>
    <m/>
    <m/>
    <m/>
    <n v="0"/>
    <n v="0"/>
    <m/>
    <m/>
    <m/>
    <m/>
    <m/>
  </r>
  <r>
    <d v="2026-05-13T00:00:00"/>
    <x v="0"/>
    <x v="0"/>
    <s v="NON"/>
    <n v="439.26"/>
    <n v="21.963000000000001"/>
    <n v="461.22300000000001"/>
    <m/>
    <m/>
    <m/>
    <m/>
    <n v="0"/>
    <n v="0"/>
    <m/>
    <m/>
    <m/>
    <m/>
    <m/>
  </r>
  <r>
    <d v="2026-05-13T00:00:00"/>
    <x v="0"/>
    <x v="0"/>
    <s v="NON"/>
    <n v="190"/>
    <s v="NO TAX"/>
    <n v="190"/>
    <m/>
    <m/>
    <m/>
    <m/>
    <n v="0"/>
    <n v="0"/>
    <m/>
    <m/>
    <m/>
    <m/>
    <m/>
  </r>
  <r>
    <d v="2026-05-13T00:00:00"/>
    <x v="0"/>
    <x v="0"/>
    <s v="NON"/>
    <n v="5"/>
    <s v="NO TAX"/>
    <n v="5"/>
    <m/>
    <m/>
    <m/>
    <m/>
    <n v="0"/>
    <n v="0"/>
    <m/>
    <m/>
    <m/>
    <m/>
    <m/>
  </r>
  <r>
    <d v="2026-05-13T00:00:00"/>
    <x v="0"/>
    <x v="5"/>
    <s v="NON"/>
    <m/>
    <n v="0"/>
    <n v="0"/>
    <n v="3000"/>
    <m/>
    <m/>
    <m/>
    <n v="0"/>
    <n v="0"/>
    <m/>
    <m/>
    <m/>
    <m/>
    <m/>
  </r>
  <r>
    <d v="2026-05-13T00:00:00"/>
    <x v="0"/>
    <x v="5"/>
    <s v="NON"/>
    <m/>
    <n v="0"/>
    <n v="0"/>
    <n v="1000"/>
    <m/>
    <m/>
    <m/>
    <n v="0"/>
    <n v="0"/>
    <m/>
    <m/>
    <m/>
    <m/>
    <m/>
  </r>
  <r>
    <d v="2026-05-14T00:00:00"/>
    <x v="0"/>
    <x v="2"/>
    <s v="NON"/>
    <n v="55"/>
    <s v="NO TAX"/>
    <n v="55"/>
    <m/>
    <m/>
    <m/>
    <m/>
    <n v="0"/>
    <n v="0"/>
    <m/>
    <m/>
    <m/>
    <m/>
    <m/>
  </r>
  <r>
    <d v="2026-05-14T00:00:00"/>
    <x v="0"/>
    <x v="5"/>
    <s v="NON"/>
    <m/>
    <n v="0"/>
    <n v="0"/>
    <n v="100"/>
    <m/>
    <m/>
    <m/>
    <n v="0"/>
    <n v="0"/>
    <m/>
    <m/>
    <m/>
    <m/>
    <m/>
  </r>
  <r>
    <d v="2026-05-14T00:00:00"/>
    <x v="0"/>
    <x v="5"/>
    <s v="NON"/>
    <m/>
    <n v="0"/>
    <n v="0"/>
    <n v="100"/>
    <m/>
    <m/>
    <m/>
    <n v="0"/>
    <n v="0"/>
    <m/>
    <m/>
    <m/>
    <m/>
    <m/>
  </r>
  <r>
    <d v="2026-05-14T00:00:00"/>
    <x v="0"/>
    <x v="5"/>
    <s v="NON"/>
    <m/>
    <n v="0"/>
    <n v="0"/>
    <n v="1200"/>
    <m/>
    <m/>
    <m/>
    <n v="0"/>
    <n v="0"/>
    <m/>
    <m/>
    <m/>
    <m/>
    <m/>
  </r>
  <r>
    <d v="2026-05-14T00:00:00"/>
    <x v="0"/>
    <x v="0"/>
    <s v="NON"/>
    <n v="857.14"/>
    <n v="42.856999999999999"/>
    <n v="899.99699999999996"/>
    <m/>
    <m/>
    <m/>
    <m/>
    <n v="0"/>
    <n v="0"/>
    <m/>
    <m/>
    <m/>
    <m/>
    <m/>
  </r>
  <r>
    <d v="2026-05-14T00:00:00"/>
    <x v="0"/>
    <x v="6"/>
    <s v="NON"/>
    <n v="150"/>
    <s v="NO TAX"/>
    <n v="150"/>
    <m/>
    <m/>
    <m/>
    <m/>
    <n v="0"/>
    <n v="0"/>
    <m/>
    <m/>
    <m/>
    <m/>
    <m/>
  </r>
  <r>
    <d v="2026-05-14T00:00:00"/>
    <x v="0"/>
    <x v="0"/>
    <s v="NON"/>
    <n v="133.33000000000001"/>
    <n v="6.666500000000001"/>
    <n v="139.99650000000003"/>
    <m/>
    <m/>
    <m/>
    <m/>
    <n v="0"/>
    <n v="0"/>
    <m/>
    <m/>
    <m/>
    <m/>
    <m/>
  </r>
  <r>
    <d v="2026-05-14T00:00:00"/>
    <x v="0"/>
    <x v="0"/>
    <s v="NON"/>
    <n v="109.53"/>
    <n v="5.4765000000000006"/>
    <n v="115.0065"/>
    <m/>
    <m/>
    <m/>
    <m/>
    <n v="0"/>
    <n v="0"/>
    <m/>
    <m/>
    <m/>
    <m/>
    <m/>
  </r>
  <r>
    <d v="2026-05-14T00:00:00"/>
    <x v="0"/>
    <x v="0"/>
    <s v="NON"/>
    <n v="52.38"/>
    <n v="2.6190000000000002"/>
    <n v="54.999000000000002"/>
    <m/>
    <m/>
    <m/>
    <m/>
    <n v="0"/>
    <n v="0"/>
    <m/>
    <m/>
    <m/>
    <m/>
    <m/>
  </r>
  <r>
    <d v="2026-05-14T00:00:00"/>
    <x v="0"/>
    <x v="0"/>
    <s v="NON"/>
    <n v="2"/>
    <s v="NO TAX"/>
    <n v="2"/>
    <m/>
    <m/>
    <m/>
    <m/>
    <n v="0"/>
    <n v="0"/>
    <m/>
    <m/>
    <m/>
    <m/>
    <m/>
  </r>
  <r>
    <d v="2026-05-15T00:00:00"/>
    <x v="0"/>
    <x v="5"/>
    <s v="NON"/>
    <m/>
    <n v="0"/>
    <n v="0"/>
    <n v="1000"/>
    <m/>
    <m/>
    <m/>
    <n v="0"/>
    <n v="0"/>
    <m/>
    <m/>
    <m/>
    <m/>
    <m/>
  </r>
  <r>
    <d v="2026-05-15T00:00:00"/>
    <x v="0"/>
    <x v="5"/>
    <s v="NON"/>
    <m/>
    <n v="0"/>
    <n v="0"/>
    <n v="50"/>
    <m/>
    <m/>
    <m/>
    <n v="0"/>
    <n v="0"/>
    <m/>
    <m/>
    <m/>
    <m/>
    <m/>
  </r>
  <r>
    <d v="2026-05-15T00:00:00"/>
    <x v="0"/>
    <x v="5"/>
    <s v="NON"/>
    <m/>
    <n v="0"/>
    <n v="0"/>
    <n v="100"/>
    <m/>
    <m/>
    <m/>
    <n v="0"/>
    <n v="0"/>
    <m/>
    <m/>
    <m/>
    <m/>
    <m/>
  </r>
  <r>
    <d v="2026-05-15T00:00:00"/>
    <x v="0"/>
    <x v="5"/>
    <s v="NON"/>
    <m/>
    <n v="0"/>
    <n v="0"/>
    <n v="500"/>
    <m/>
    <m/>
    <m/>
    <n v="0"/>
    <n v="0"/>
    <m/>
    <m/>
    <m/>
    <m/>
    <m/>
  </r>
  <r>
    <d v="2026-05-15T00:00:00"/>
    <x v="0"/>
    <x v="5"/>
    <s v="NON"/>
    <m/>
    <n v="0"/>
    <n v="0"/>
    <n v="200"/>
    <m/>
    <m/>
    <m/>
    <n v="0"/>
    <n v="0"/>
    <m/>
    <m/>
    <m/>
    <m/>
    <m/>
  </r>
  <r>
    <d v="2026-05-15T00:00:00"/>
    <x v="0"/>
    <x v="1"/>
    <s v="NON"/>
    <n v="11.43"/>
    <n v="0.57150000000000001"/>
    <n v="12.0015"/>
    <m/>
    <m/>
    <m/>
    <m/>
    <n v="0"/>
    <n v="0"/>
    <m/>
    <m/>
    <m/>
    <m/>
    <m/>
  </r>
  <r>
    <d v="2026-05-15T00:00:00"/>
    <x v="0"/>
    <x v="31"/>
    <s v="NON"/>
    <n v="25"/>
    <s v="NO TAX"/>
    <n v="25"/>
    <m/>
    <m/>
    <m/>
    <m/>
    <n v="0"/>
    <n v="0"/>
    <m/>
    <m/>
    <m/>
    <m/>
    <m/>
  </r>
  <r>
    <d v="2026-05-15T00:00:00"/>
    <x v="5"/>
    <x v="22"/>
    <s v="NON"/>
    <n v="759.17"/>
    <s v="NO TAX"/>
    <n v="759.17"/>
    <m/>
    <m/>
    <m/>
    <m/>
    <n v="0"/>
    <n v="0"/>
    <m/>
    <m/>
    <m/>
    <m/>
    <m/>
  </r>
  <r>
    <d v="2026-05-16T00:00:00"/>
    <x v="0"/>
    <x v="0"/>
    <s v="NON"/>
    <n v="5714.29"/>
    <n v="285.71449999999999"/>
    <n v="6000.0045"/>
    <m/>
    <m/>
    <m/>
    <m/>
    <n v="0"/>
    <n v="0"/>
    <m/>
    <m/>
    <m/>
    <m/>
    <m/>
  </r>
  <r>
    <d v="2026-05-16T00:00:00"/>
    <x v="0"/>
    <x v="13"/>
    <s v="NON"/>
    <n v="1500"/>
    <s v="NO TAX"/>
    <n v="1500"/>
    <m/>
    <m/>
    <m/>
    <m/>
    <n v="0"/>
    <n v="0"/>
    <m/>
    <m/>
    <m/>
    <m/>
    <m/>
  </r>
  <r>
    <d v="2026-05-16T00:00:00"/>
    <x v="0"/>
    <x v="0"/>
    <s v="NON"/>
    <n v="1335"/>
    <n v="66.75"/>
    <n v="1401.75"/>
    <m/>
    <m/>
    <m/>
    <m/>
    <n v="0"/>
    <n v="0"/>
    <m/>
    <m/>
    <m/>
    <m/>
    <m/>
  </r>
  <r>
    <d v="2026-05-16T00:00:00"/>
    <x v="0"/>
    <x v="7"/>
    <s v="NON"/>
    <n v="520"/>
    <s v="NO TAX"/>
    <n v="520"/>
    <m/>
    <m/>
    <m/>
    <m/>
    <n v="0"/>
    <n v="0"/>
    <m/>
    <m/>
    <m/>
    <m/>
    <m/>
  </r>
  <r>
    <d v="2026-05-16T00:00:00"/>
    <x v="0"/>
    <x v="9"/>
    <s v="NON"/>
    <n v="80"/>
    <s v="NO TAX"/>
    <n v="80"/>
    <m/>
    <m/>
    <m/>
    <m/>
    <n v="0"/>
    <n v="0"/>
    <m/>
    <m/>
    <m/>
    <m/>
    <m/>
  </r>
  <r>
    <d v="2026-05-16T00:00:00"/>
    <x v="0"/>
    <x v="5"/>
    <s v="NON"/>
    <m/>
    <n v="0"/>
    <n v="0"/>
    <n v="100"/>
    <m/>
    <m/>
    <m/>
    <n v="0"/>
    <n v="0"/>
    <m/>
    <m/>
    <m/>
    <m/>
    <m/>
  </r>
  <r>
    <d v="2026-05-16T00:00:00"/>
    <x v="0"/>
    <x v="3"/>
    <s v="NON"/>
    <n v="9"/>
    <s v="NO TAX"/>
    <n v="9"/>
    <m/>
    <m/>
    <m/>
    <m/>
    <n v="0"/>
    <n v="0"/>
    <m/>
    <m/>
    <m/>
    <m/>
    <m/>
  </r>
  <r>
    <d v="2026-05-16T00:00:00"/>
    <x v="0"/>
    <x v="19"/>
    <s v="NON"/>
    <n v="50"/>
    <s v="NO TAX"/>
    <n v="50"/>
    <m/>
    <m/>
    <m/>
    <m/>
    <n v="0"/>
    <n v="0"/>
    <m/>
    <m/>
    <m/>
    <m/>
    <m/>
  </r>
  <r>
    <d v="2026-05-16T00:00:00"/>
    <x v="0"/>
    <x v="19"/>
    <s v="NON"/>
    <n v="58"/>
    <s v="NO TAX"/>
    <n v="58"/>
    <m/>
    <m/>
    <m/>
    <m/>
    <n v="0"/>
    <n v="0"/>
    <m/>
    <m/>
    <m/>
    <m/>
    <m/>
  </r>
  <r>
    <d v="2026-05-16T00:00:00"/>
    <x v="0"/>
    <x v="19"/>
    <s v="NON"/>
    <n v="50"/>
    <s v="NO TAX"/>
    <n v="50"/>
    <m/>
    <m/>
    <m/>
    <m/>
    <n v="0"/>
    <n v="0"/>
    <m/>
    <m/>
    <m/>
    <m/>
    <m/>
  </r>
  <r>
    <d v="2026-05-16T00:00:00"/>
    <x v="0"/>
    <x v="5"/>
    <s v="NON"/>
    <m/>
    <n v="0"/>
    <n v="0"/>
    <n v="1050"/>
    <m/>
    <m/>
    <m/>
    <n v="0"/>
    <n v="0"/>
    <m/>
    <m/>
    <m/>
    <m/>
    <m/>
  </r>
  <r>
    <d v="2026-05-16T00:00:00"/>
    <x v="0"/>
    <x v="6"/>
    <s v="NON"/>
    <n v="100"/>
    <s v="NO TAX"/>
    <n v="100"/>
    <m/>
    <m/>
    <m/>
    <m/>
    <n v="0"/>
    <n v="0"/>
    <m/>
    <m/>
    <m/>
    <m/>
    <m/>
  </r>
  <r>
    <d v="2026-05-16T00:00:00"/>
    <x v="0"/>
    <x v="31"/>
    <s v="NON"/>
    <n v="25"/>
    <s v="NO TAX"/>
    <n v="25"/>
    <m/>
    <m/>
    <m/>
    <m/>
    <n v="0"/>
    <n v="0"/>
    <m/>
    <m/>
    <m/>
    <m/>
    <m/>
  </r>
  <r>
    <d v="2026-05-16T00:00:00"/>
    <x v="0"/>
    <x v="5"/>
    <s v="NON"/>
    <m/>
    <n v="0"/>
    <n v="0"/>
    <n v="5440"/>
    <m/>
    <m/>
    <m/>
    <n v="0"/>
    <n v="0"/>
    <m/>
    <m/>
    <m/>
    <m/>
    <m/>
  </r>
  <r>
    <d v="2026-05-18T00:00:00"/>
    <x v="0"/>
    <x v="5"/>
    <s v="NON"/>
    <m/>
    <n v="0"/>
    <n v="0"/>
    <n v="50"/>
    <m/>
    <m/>
    <m/>
    <n v="0"/>
    <n v="0"/>
    <m/>
    <m/>
    <m/>
    <m/>
    <m/>
  </r>
  <r>
    <d v="2026-05-18T00:00:00"/>
    <x v="0"/>
    <x v="5"/>
    <s v="NON"/>
    <m/>
    <n v="0"/>
    <n v="0"/>
    <n v="400"/>
    <m/>
    <m/>
    <m/>
    <n v="0"/>
    <n v="0"/>
    <m/>
    <m/>
    <m/>
    <m/>
    <m/>
  </r>
  <r>
    <d v="2026-05-18T00:00:00"/>
    <x v="0"/>
    <x v="2"/>
    <s v="NON"/>
    <n v="21"/>
    <s v="NO TAX"/>
    <n v="21"/>
    <m/>
    <m/>
    <m/>
    <m/>
    <n v="0"/>
    <n v="0"/>
    <m/>
    <m/>
    <m/>
    <m/>
    <m/>
  </r>
  <r>
    <d v="2026-05-18T00:00:00"/>
    <x v="0"/>
    <x v="5"/>
    <s v="NON"/>
    <m/>
    <n v="0"/>
    <n v="0"/>
    <n v="4200"/>
    <m/>
    <m/>
    <m/>
    <n v="0"/>
    <n v="0"/>
    <m/>
    <m/>
    <m/>
    <m/>
    <m/>
  </r>
  <r>
    <d v="2026-05-18T00:00:00"/>
    <x v="0"/>
    <x v="5"/>
    <s v="NON"/>
    <m/>
    <n v="0"/>
    <n v="0"/>
    <n v="2000"/>
    <m/>
    <m/>
    <m/>
    <n v="0"/>
    <n v="0"/>
    <m/>
    <m/>
    <m/>
    <m/>
    <m/>
  </r>
  <r>
    <d v="2026-05-18T00:00:00"/>
    <x v="0"/>
    <x v="2"/>
    <s v="NON"/>
    <n v="58"/>
    <s v="NO TAX"/>
    <n v="58"/>
    <m/>
    <m/>
    <m/>
    <m/>
    <n v="0"/>
    <n v="0"/>
    <m/>
    <m/>
    <m/>
    <m/>
    <m/>
  </r>
  <r>
    <d v="2026-05-18T00:00:00"/>
    <x v="0"/>
    <x v="5"/>
    <s v="NON"/>
    <m/>
    <n v="0"/>
    <n v="0"/>
    <n v="100"/>
    <m/>
    <m/>
    <m/>
    <n v="0"/>
    <n v="0"/>
    <m/>
    <m/>
    <m/>
    <m/>
    <m/>
  </r>
  <r>
    <d v="2026-05-18T00:00:00"/>
    <x v="0"/>
    <x v="10"/>
    <s v="NON"/>
    <n v="1800"/>
    <s v="NO TAX"/>
    <n v="1800"/>
    <m/>
    <m/>
    <m/>
    <m/>
    <n v="0"/>
    <n v="0"/>
    <m/>
    <m/>
    <m/>
    <m/>
    <m/>
  </r>
  <r>
    <d v="2026-05-19T00:00:00"/>
    <x v="0"/>
    <x v="0"/>
    <s v="NON"/>
    <n v="3950.1"/>
    <n v="197.505"/>
    <n v="4147.6049999999996"/>
    <m/>
    <m/>
    <m/>
    <m/>
    <n v="0"/>
    <n v="0"/>
    <m/>
    <m/>
    <m/>
    <m/>
    <m/>
  </r>
  <r>
    <d v="2026-05-19T00:00:00"/>
    <x v="0"/>
    <x v="5"/>
    <s v="NON"/>
    <m/>
    <n v="0"/>
    <n v="0"/>
    <n v="100"/>
    <m/>
    <m/>
    <m/>
    <n v="0"/>
    <n v="0"/>
    <m/>
    <m/>
    <m/>
    <m/>
    <m/>
  </r>
  <r>
    <d v="2026-05-19T00:00:00"/>
    <x v="0"/>
    <x v="5"/>
    <s v="NON"/>
    <m/>
    <n v="0"/>
    <n v="0"/>
    <n v="100"/>
    <m/>
    <m/>
    <m/>
    <n v="0"/>
    <n v="0"/>
    <m/>
    <m/>
    <m/>
    <m/>
    <m/>
  </r>
  <r>
    <d v="2026-05-19T00:00:00"/>
    <x v="1"/>
    <x v="8"/>
    <s v="NON"/>
    <n v="1630.18"/>
    <s v="NO TAX"/>
    <n v="1630.18"/>
    <m/>
    <m/>
    <m/>
    <m/>
    <n v="0"/>
    <n v="0"/>
    <m/>
    <m/>
    <m/>
    <m/>
    <m/>
  </r>
  <r>
    <d v="2026-05-19T00:00:00"/>
    <x v="1"/>
    <x v="17"/>
    <s v="NON"/>
    <n v="500"/>
    <s v="NO TAX"/>
    <n v="500"/>
    <m/>
    <m/>
    <m/>
    <m/>
    <n v="0"/>
    <n v="0"/>
    <m/>
    <m/>
    <m/>
    <m/>
    <m/>
  </r>
  <r>
    <d v="2026-05-20T00:00:00"/>
    <x v="0"/>
    <x v="2"/>
    <s v="NON"/>
    <n v="441.5"/>
    <s v="NO TAX"/>
    <n v="441.5"/>
    <m/>
    <m/>
    <m/>
    <m/>
    <n v="0"/>
    <n v="0"/>
    <m/>
    <m/>
    <m/>
    <m/>
    <m/>
  </r>
  <r>
    <d v="2026-05-20T00:00:00"/>
    <x v="0"/>
    <x v="40"/>
    <s v="NON"/>
    <n v="40221.96"/>
    <s v="NO TAX"/>
    <n v="40221.96"/>
    <m/>
    <m/>
    <m/>
    <m/>
    <n v="0"/>
    <n v="0"/>
    <m/>
    <m/>
    <m/>
    <m/>
    <m/>
  </r>
  <r>
    <d v="2026-05-20T00:00:00"/>
    <x v="0"/>
    <x v="0"/>
    <s v="NON"/>
    <n v="200"/>
    <n v="10"/>
    <n v="210"/>
    <m/>
    <m/>
    <m/>
    <m/>
    <n v="0"/>
    <n v="0"/>
    <m/>
    <m/>
    <m/>
    <m/>
    <m/>
  </r>
  <r>
    <d v="2026-05-20T00:00:00"/>
    <x v="0"/>
    <x v="6"/>
    <s v="NON"/>
    <n v="165"/>
    <s v="NO TAX"/>
    <n v="165"/>
    <m/>
    <m/>
    <m/>
    <m/>
    <n v="0"/>
    <n v="0"/>
    <m/>
    <m/>
    <m/>
    <m/>
    <m/>
  </r>
  <r>
    <d v="2026-05-20T00:00:00"/>
    <x v="1"/>
    <x v="8"/>
    <s v="NON"/>
    <n v="3226.56"/>
    <s v="NO TAX"/>
    <n v="3226.56"/>
    <m/>
    <m/>
    <m/>
    <m/>
    <n v="0"/>
    <n v="0"/>
    <m/>
    <m/>
    <m/>
    <m/>
    <m/>
  </r>
  <r>
    <d v="2026-05-20T00:00:00"/>
    <x v="0"/>
    <x v="24"/>
    <s v="NON"/>
    <n v="24.26"/>
    <s v="NO TAX"/>
    <n v="24.26"/>
    <m/>
    <m/>
    <m/>
    <m/>
    <n v="0"/>
    <n v="0"/>
    <m/>
    <m/>
    <m/>
    <m/>
    <m/>
  </r>
  <r>
    <d v="2026-05-20T00:00:00"/>
    <x v="1"/>
    <x v="5"/>
    <s v="NON"/>
    <m/>
    <n v="0"/>
    <n v="0"/>
    <n v="2151.04"/>
    <m/>
    <m/>
    <m/>
    <n v="0"/>
    <n v="0"/>
    <m/>
    <m/>
    <m/>
    <m/>
    <m/>
  </r>
  <r>
    <d v="2026-05-21T00:00:00"/>
    <x v="0"/>
    <x v="0"/>
    <s v="NON"/>
    <n v="76.2"/>
    <n v="3.8100000000000005"/>
    <n v="80.010000000000005"/>
    <m/>
    <m/>
    <m/>
    <m/>
    <n v="0"/>
    <n v="0"/>
    <m/>
    <m/>
    <m/>
    <m/>
    <m/>
  </r>
  <r>
    <d v="2026-05-21T00:00:00"/>
    <x v="0"/>
    <x v="0"/>
    <s v="NON"/>
    <n v="238.1"/>
    <n v="11.905000000000001"/>
    <n v="250.005"/>
    <m/>
    <m/>
    <m/>
    <m/>
    <n v="0"/>
    <n v="0"/>
    <m/>
    <m/>
    <m/>
    <m/>
    <m/>
  </r>
  <r>
    <d v="2026-05-21T00:00:00"/>
    <x v="0"/>
    <x v="9"/>
    <s v="NON"/>
    <n v="80"/>
    <s v="NO TAX"/>
    <n v="80"/>
    <m/>
    <m/>
    <m/>
    <m/>
    <n v="0"/>
    <n v="0"/>
    <m/>
    <m/>
    <m/>
    <m/>
    <m/>
  </r>
  <r>
    <d v="2026-05-21T00:00:00"/>
    <x v="0"/>
    <x v="5"/>
    <s v="NON"/>
    <m/>
    <n v="0"/>
    <n v="0"/>
    <n v="200"/>
    <m/>
    <m/>
    <m/>
    <n v="0"/>
    <n v="0"/>
    <m/>
    <m/>
    <m/>
    <m/>
    <m/>
  </r>
  <r>
    <d v="2026-05-21T00:00:00"/>
    <x v="0"/>
    <x v="5"/>
    <s v="NON"/>
    <m/>
    <n v="0"/>
    <n v="0"/>
    <n v="1300"/>
    <m/>
    <m/>
    <m/>
    <n v="0"/>
    <n v="0"/>
    <m/>
    <m/>
    <m/>
    <m/>
    <m/>
  </r>
  <r>
    <d v="2026-05-21T00:00:00"/>
    <x v="0"/>
    <x v="2"/>
    <s v="NON"/>
    <n v="58"/>
    <s v="NO TAX"/>
    <n v="58"/>
    <m/>
    <m/>
    <m/>
    <m/>
    <n v="0"/>
    <n v="0"/>
    <m/>
    <m/>
    <m/>
    <m/>
    <m/>
  </r>
  <r>
    <d v="2026-05-21T00:00:00"/>
    <x v="0"/>
    <x v="5"/>
    <s v="NON"/>
    <m/>
    <n v="0"/>
    <n v="0"/>
    <n v="500"/>
    <m/>
    <m/>
    <m/>
    <n v="0"/>
    <n v="0"/>
    <m/>
    <m/>
    <m/>
    <m/>
    <m/>
  </r>
  <r>
    <d v="2026-05-21T00:00:00"/>
    <x v="0"/>
    <x v="3"/>
    <s v="NON"/>
    <n v="10"/>
    <s v="NO TAX"/>
    <n v="10"/>
    <m/>
    <m/>
    <m/>
    <m/>
    <n v="0"/>
    <n v="0"/>
    <m/>
    <m/>
    <m/>
    <m/>
    <m/>
  </r>
  <r>
    <d v="2026-05-21T00:00:00"/>
    <x v="1"/>
    <x v="8"/>
    <s v="NON"/>
    <n v="1072.75"/>
    <s v="NO TAX"/>
    <n v="1072.75"/>
    <m/>
    <m/>
    <m/>
    <m/>
    <n v="0"/>
    <n v="0"/>
    <m/>
    <m/>
    <m/>
    <m/>
    <m/>
  </r>
  <r>
    <d v="2026-05-22T00:00:00"/>
    <x v="0"/>
    <x v="41"/>
    <s v="NON"/>
    <n v="7875"/>
    <s v="NO TAX"/>
    <n v="7875"/>
    <m/>
    <m/>
    <m/>
    <m/>
    <n v="0"/>
    <n v="0"/>
    <m/>
    <m/>
    <m/>
    <m/>
    <m/>
  </r>
  <r>
    <d v="2026-05-22T00:00:00"/>
    <x v="0"/>
    <x v="5"/>
    <s v="NON"/>
    <m/>
    <n v="0"/>
    <n v="0"/>
    <n v="500"/>
    <m/>
    <m/>
    <m/>
    <n v="0"/>
    <n v="0"/>
    <m/>
    <m/>
    <m/>
    <m/>
    <m/>
  </r>
  <r>
    <d v="2026-05-22T00:00:00"/>
    <x v="0"/>
    <x v="14"/>
    <s v="NON"/>
    <n v="37"/>
    <s v="NO TAX"/>
    <n v="37"/>
    <m/>
    <m/>
    <m/>
    <m/>
    <n v="0"/>
    <n v="0"/>
    <m/>
    <m/>
    <m/>
    <m/>
    <m/>
  </r>
  <r>
    <d v="2026-05-22T00:00:00"/>
    <x v="0"/>
    <x v="28"/>
    <s v="NON"/>
    <m/>
    <n v="0"/>
    <n v="0"/>
    <m/>
    <m/>
    <n v="15000"/>
    <m/>
    <n v="0"/>
    <n v="0"/>
    <m/>
    <m/>
    <m/>
    <m/>
    <m/>
  </r>
  <r>
    <d v="2026-05-22T00:00:00"/>
    <x v="0"/>
    <x v="8"/>
    <s v="NON"/>
    <n v="200"/>
    <s v="NO TAX"/>
    <n v="200"/>
    <m/>
    <m/>
    <m/>
    <m/>
    <n v="0"/>
    <n v="0"/>
    <m/>
    <m/>
    <m/>
    <m/>
    <m/>
  </r>
  <r>
    <d v="2026-05-22T00:00:00"/>
    <x v="0"/>
    <x v="2"/>
    <s v="NON"/>
    <n v="58"/>
    <s v="NO TAX"/>
    <n v="58"/>
    <m/>
    <m/>
    <m/>
    <m/>
    <n v="0"/>
    <n v="0"/>
    <m/>
    <m/>
    <m/>
    <m/>
    <m/>
  </r>
  <r>
    <d v="2026-05-22T00:00:00"/>
    <x v="0"/>
    <x v="19"/>
    <s v="NON"/>
    <n v="126.5"/>
    <s v="NO TAX"/>
    <n v="126.5"/>
    <m/>
    <m/>
    <m/>
    <m/>
    <n v="0"/>
    <n v="0"/>
    <m/>
    <m/>
    <m/>
    <m/>
    <m/>
  </r>
  <r>
    <d v="2026-05-22T00:00:00"/>
    <x v="0"/>
    <x v="2"/>
    <s v="NON"/>
    <n v="58"/>
    <s v="NO TAX"/>
    <n v="58"/>
    <m/>
    <m/>
    <m/>
    <m/>
    <n v="0"/>
    <n v="0"/>
    <m/>
    <m/>
    <m/>
    <m/>
    <m/>
  </r>
  <r>
    <d v="2026-05-22T00:00:00"/>
    <x v="0"/>
    <x v="2"/>
    <s v="NON"/>
    <n v="58"/>
    <s v="NO TAX"/>
    <n v="58"/>
    <m/>
    <m/>
    <m/>
    <m/>
    <n v="0"/>
    <n v="0"/>
    <m/>
    <m/>
    <m/>
    <m/>
    <m/>
  </r>
  <r>
    <d v="2026-05-23T00:00:00"/>
    <x v="1"/>
    <x v="0"/>
    <s v="NON"/>
    <n v="10451.459999999999"/>
    <s v="NO TAX"/>
    <n v="10451.459999999999"/>
    <m/>
    <m/>
    <m/>
    <m/>
    <n v="0"/>
    <n v="0"/>
    <m/>
    <m/>
    <m/>
    <m/>
    <m/>
  </r>
  <r>
    <d v="2026-05-20T00:00:00"/>
    <x v="0"/>
    <x v="28"/>
    <s v="NON"/>
    <m/>
    <n v="0"/>
    <n v="0"/>
    <m/>
    <m/>
    <n v="10000"/>
    <m/>
    <n v="0"/>
    <n v="0"/>
    <m/>
    <m/>
    <m/>
    <m/>
    <m/>
  </r>
  <r>
    <d v="2026-05-22T00:00:00"/>
    <x v="6"/>
    <x v="35"/>
    <s v="NON"/>
    <n v="26.25"/>
    <s v="NO TAX"/>
    <n v="26.25"/>
    <m/>
    <m/>
    <m/>
    <m/>
    <n v="0"/>
    <n v="0"/>
    <m/>
    <m/>
    <m/>
    <m/>
    <m/>
  </r>
  <r>
    <d v="2026-05-22T00:00:00"/>
    <x v="0"/>
    <x v="42"/>
    <s v="NON"/>
    <m/>
    <n v="0"/>
    <n v="0"/>
    <m/>
    <m/>
    <m/>
    <m/>
    <n v="0"/>
    <n v="0"/>
    <m/>
    <m/>
    <n v="800"/>
    <m/>
    <m/>
  </r>
  <r>
    <d v="2026-05-22T00:00:00"/>
    <x v="0"/>
    <x v="0"/>
    <s v="NON"/>
    <m/>
    <n v="0"/>
    <n v="0"/>
    <m/>
    <m/>
    <m/>
    <m/>
    <n v="0"/>
    <n v="0"/>
    <n v="1970"/>
    <m/>
    <m/>
    <m/>
    <m/>
  </r>
  <r>
    <d v="2026-05-23T00:00:00"/>
    <x v="0"/>
    <x v="13"/>
    <s v="NON"/>
    <n v="1000"/>
    <s v="NO TAX"/>
    <n v="1000"/>
    <m/>
    <m/>
    <m/>
    <m/>
    <n v="0"/>
    <n v="0"/>
    <m/>
    <m/>
    <m/>
    <m/>
    <m/>
  </r>
  <r>
    <d v="2026-05-23T00:00:00"/>
    <x v="0"/>
    <x v="0"/>
    <s v="NON"/>
    <n v="1030.48"/>
    <n v="51.524000000000001"/>
    <n v="1082.0039999999999"/>
    <m/>
    <m/>
    <m/>
    <m/>
    <n v="0"/>
    <n v="0"/>
    <m/>
    <m/>
    <m/>
    <m/>
    <m/>
  </r>
  <r>
    <d v="2026-05-23T00:00:00"/>
    <x v="0"/>
    <x v="43"/>
    <s v="NON"/>
    <n v="160"/>
    <s v="NO TAX"/>
    <n v="160"/>
    <m/>
    <m/>
    <m/>
    <m/>
    <n v="0"/>
    <n v="0"/>
    <m/>
    <m/>
    <m/>
    <m/>
    <m/>
  </r>
  <r>
    <d v="2026-05-23T00:00:00"/>
    <x v="0"/>
    <x v="20"/>
    <s v="NON"/>
    <n v="250"/>
    <s v="NO TAX"/>
    <n v="250"/>
    <m/>
    <m/>
    <m/>
    <m/>
    <n v="0"/>
    <n v="0"/>
    <m/>
    <m/>
    <m/>
    <m/>
    <m/>
  </r>
  <r>
    <d v="2026-05-23T00:00:00"/>
    <x v="0"/>
    <x v="5"/>
    <s v="NON"/>
    <m/>
    <n v="0"/>
    <n v="0"/>
    <n v="500"/>
    <m/>
    <m/>
    <m/>
    <n v="0"/>
    <n v="0"/>
    <m/>
    <m/>
    <m/>
    <m/>
    <m/>
  </r>
  <r>
    <d v="2026-05-23T00:00:00"/>
    <x v="0"/>
    <x v="5"/>
    <s v="NON"/>
    <m/>
    <n v="0"/>
    <n v="0"/>
    <n v="250"/>
    <m/>
    <m/>
    <m/>
    <n v="0"/>
    <n v="0"/>
    <m/>
    <m/>
    <m/>
    <m/>
    <m/>
  </r>
  <r>
    <d v="2026-05-23T00:00:00"/>
    <x v="0"/>
    <x v="5"/>
    <s v="NON"/>
    <m/>
    <n v="0"/>
    <n v="0"/>
    <n v="1250"/>
    <m/>
    <m/>
    <m/>
    <n v="0"/>
    <n v="0"/>
    <m/>
    <m/>
    <m/>
    <m/>
    <m/>
  </r>
  <r>
    <d v="2026-05-23T00:00:00"/>
    <x v="0"/>
    <x v="2"/>
    <s v="NON"/>
    <n v="58"/>
    <s v="NO TAX"/>
    <n v="58"/>
    <m/>
    <m/>
    <m/>
    <m/>
    <n v="0"/>
    <n v="0"/>
    <m/>
    <m/>
    <m/>
    <m/>
    <m/>
  </r>
  <r>
    <d v="2026-05-23T00:00:00"/>
    <x v="0"/>
    <x v="6"/>
    <s v="NON"/>
    <n v="160"/>
    <s v="NO TAX"/>
    <n v="160"/>
    <m/>
    <m/>
    <m/>
    <m/>
    <n v="0"/>
    <n v="0"/>
    <m/>
    <m/>
    <m/>
    <m/>
    <m/>
  </r>
  <r>
    <d v="2026-05-23T00:00:00"/>
    <x v="0"/>
    <x v="14"/>
    <s v="NON"/>
    <n v="30"/>
    <n v="1.5"/>
    <n v="31.5"/>
    <m/>
    <m/>
    <m/>
    <m/>
    <n v="0"/>
    <n v="0"/>
    <m/>
    <m/>
    <m/>
    <m/>
    <m/>
  </r>
  <r>
    <d v="2026-05-23T00:00:00"/>
    <x v="0"/>
    <x v="2"/>
    <s v="NON"/>
    <n v="58"/>
    <s v="NO TAX"/>
    <n v="58"/>
    <m/>
    <m/>
    <m/>
    <m/>
    <n v="0"/>
    <n v="0"/>
    <m/>
    <m/>
    <m/>
    <m/>
    <m/>
  </r>
  <r>
    <d v="2026-05-23T00:00:00"/>
    <x v="0"/>
    <x v="28"/>
    <s v="NON"/>
    <m/>
    <n v="0"/>
    <n v="0"/>
    <m/>
    <m/>
    <n v="1000"/>
    <m/>
    <n v="0"/>
    <n v="0"/>
    <m/>
    <m/>
    <m/>
    <m/>
    <m/>
  </r>
  <r>
    <d v="2026-05-23T00:00:00"/>
    <x v="0"/>
    <x v="3"/>
    <s v="NON"/>
    <n v="10"/>
    <s v="NO TAX"/>
    <n v="10"/>
    <m/>
    <m/>
    <m/>
    <m/>
    <n v="0"/>
    <n v="0"/>
    <m/>
    <m/>
    <m/>
    <m/>
    <m/>
  </r>
  <r>
    <d v="2026-05-23T00:00:00"/>
    <x v="0"/>
    <x v="2"/>
    <s v="NON"/>
    <n v="200"/>
    <s v="NO TAX"/>
    <n v="200"/>
    <m/>
    <m/>
    <m/>
    <m/>
    <n v="0"/>
    <n v="0"/>
    <m/>
    <m/>
    <m/>
    <m/>
    <m/>
  </r>
  <r>
    <d v="2026-05-25T00:00:00"/>
    <x v="0"/>
    <x v="0"/>
    <s v="NON"/>
    <n v="29.5"/>
    <n v="1.4750000000000001"/>
    <n v="30.975000000000001"/>
    <m/>
    <m/>
    <m/>
    <m/>
    <n v="0"/>
    <n v="0"/>
    <m/>
    <m/>
    <m/>
    <m/>
    <m/>
  </r>
  <r>
    <d v="2026-05-25T00:00:00"/>
    <x v="0"/>
    <x v="14"/>
    <s v="NON"/>
    <n v="14"/>
    <s v="NO TAX"/>
    <n v="14"/>
    <m/>
    <m/>
    <m/>
    <m/>
    <n v="0"/>
    <n v="0"/>
    <m/>
    <m/>
    <m/>
    <m/>
    <m/>
  </r>
  <r>
    <d v="2026-05-25T00:00:00"/>
    <x v="0"/>
    <x v="2"/>
    <s v="NON"/>
    <n v="58"/>
    <s v="NO TAX"/>
    <n v="58"/>
    <m/>
    <m/>
    <m/>
    <m/>
    <n v="0"/>
    <n v="0"/>
    <m/>
    <m/>
    <m/>
    <m/>
    <m/>
  </r>
  <r>
    <d v="2026-05-25T00:00:00"/>
    <x v="0"/>
    <x v="5"/>
    <s v="NON"/>
    <m/>
    <n v="0"/>
    <n v="0"/>
    <n v="100"/>
    <m/>
    <m/>
    <m/>
    <n v="0"/>
    <n v="0"/>
    <m/>
    <m/>
    <m/>
    <m/>
    <m/>
  </r>
  <r>
    <d v="2026-05-25T00:00:00"/>
    <x v="0"/>
    <x v="3"/>
    <s v="NON"/>
    <n v="7"/>
    <s v="NO TAX"/>
    <n v="7"/>
    <m/>
    <m/>
    <m/>
    <m/>
    <n v="0"/>
    <n v="0"/>
    <m/>
    <m/>
    <m/>
    <m/>
    <m/>
  </r>
  <r>
    <d v="2026-05-26T00:00:00"/>
    <x v="0"/>
    <x v="44"/>
    <s v="NON"/>
    <n v="385"/>
    <s v="NO TAX"/>
    <n v="385"/>
    <m/>
    <m/>
    <m/>
    <m/>
    <n v="0"/>
    <n v="0"/>
    <m/>
    <m/>
    <m/>
    <m/>
    <m/>
  </r>
  <r>
    <d v="2026-05-26T00:00:00"/>
    <x v="0"/>
    <x v="26"/>
    <s v="NON"/>
    <n v="5000"/>
    <s v="NO TAX"/>
    <n v="5000"/>
    <m/>
    <m/>
    <m/>
    <m/>
    <n v="0"/>
    <n v="0"/>
    <m/>
    <m/>
    <m/>
    <m/>
    <m/>
  </r>
  <r>
    <d v="2026-05-26T00:00:00"/>
    <x v="0"/>
    <x v="0"/>
    <s v="NON"/>
    <n v="527.4"/>
    <n v="26.37"/>
    <n v="553.77"/>
    <m/>
    <m/>
    <m/>
    <m/>
    <n v="0"/>
    <n v="0"/>
    <m/>
    <m/>
    <m/>
    <m/>
    <m/>
  </r>
  <r>
    <d v="2026-05-26T00:00:00"/>
    <x v="0"/>
    <x v="14"/>
    <s v="NON"/>
    <n v="1000"/>
    <n v="50"/>
    <n v="1050"/>
    <m/>
    <m/>
    <m/>
    <m/>
    <n v="0"/>
    <n v="0"/>
    <m/>
    <m/>
    <m/>
    <m/>
    <m/>
  </r>
  <r>
    <d v="2026-05-26T00:00:00"/>
    <x v="0"/>
    <x v="19"/>
    <s v="NON"/>
    <n v="42"/>
    <s v="NO TAX"/>
    <n v="42"/>
    <m/>
    <m/>
    <m/>
    <m/>
    <n v="0"/>
    <n v="0"/>
    <m/>
    <m/>
    <m/>
    <m/>
    <m/>
  </r>
  <r>
    <d v="2026-05-26T00:00:00"/>
    <x v="0"/>
    <x v="28"/>
    <s v="NON"/>
    <m/>
    <n v="0"/>
    <n v="0"/>
    <m/>
    <m/>
    <n v="1000"/>
    <m/>
    <n v="0"/>
    <n v="0"/>
    <m/>
    <m/>
    <m/>
    <m/>
    <m/>
  </r>
  <r>
    <d v="2026-05-26T00:00:00"/>
    <x v="0"/>
    <x v="2"/>
    <s v="NON"/>
    <n v="9000"/>
    <s v="NO TAX"/>
    <n v="9000"/>
    <m/>
    <m/>
    <m/>
    <m/>
    <n v="0"/>
    <n v="0"/>
    <m/>
    <m/>
    <m/>
    <m/>
    <m/>
  </r>
  <r>
    <d v="2026-05-26T00:00:00"/>
    <x v="0"/>
    <x v="7"/>
    <s v="NON"/>
    <n v="1800"/>
    <s v="NO TAX"/>
    <n v="1800"/>
    <m/>
    <m/>
    <m/>
    <m/>
    <n v="0"/>
    <n v="0"/>
    <m/>
    <m/>
    <m/>
    <m/>
    <m/>
  </r>
  <r>
    <d v="2026-05-26T00:00:00"/>
    <x v="0"/>
    <x v="2"/>
    <s v="NON"/>
    <n v="100"/>
    <s v="NO TAX"/>
    <n v="100"/>
    <m/>
    <m/>
    <m/>
    <m/>
    <n v="0"/>
    <n v="0"/>
    <m/>
    <m/>
    <m/>
    <m/>
    <m/>
  </r>
  <r>
    <d v="2026-05-26T00:00:00"/>
    <x v="0"/>
    <x v="2"/>
    <s v="NON"/>
    <n v="56"/>
    <s v="NO TAX"/>
    <n v="56"/>
    <m/>
    <m/>
    <m/>
    <m/>
    <n v="0"/>
    <n v="0"/>
    <m/>
    <m/>
    <m/>
    <m/>
    <m/>
  </r>
  <r>
    <d v="2026-05-26T00:00:00"/>
    <x v="0"/>
    <x v="25"/>
    <s v="NON"/>
    <n v="160"/>
    <s v="NO TAX"/>
    <n v="160"/>
    <m/>
    <m/>
    <m/>
    <m/>
    <n v="0"/>
    <n v="0"/>
    <m/>
    <m/>
    <m/>
    <m/>
    <m/>
  </r>
  <r>
    <d v="2026-05-26T00:00:00"/>
    <x v="0"/>
    <x v="6"/>
    <s v="NON"/>
    <n v="120"/>
    <s v="NO TAX"/>
    <n v="120"/>
    <m/>
    <m/>
    <m/>
    <m/>
    <n v="0"/>
    <n v="0"/>
    <m/>
    <m/>
    <m/>
    <m/>
    <m/>
  </r>
  <r>
    <d v="2026-05-26T00:00:00"/>
    <x v="0"/>
    <x v="5"/>
    <s v="NON"/>
    <m/>
    <n v="0"/>
    <n v="0"/>
    <n v="500"/>
    <m/>
    <m/>
    <m/>
    <n v="0"/>
    <n v="0"/>
    <m/>
    <m/>
    <m/>
    <m/>
    <m/>
  </r>
  <r>
    <d v="2026-05-26T00:00:00"/>
    <x v="0"/>
    <x v="3"/>
    <s v="NON"/>
    <n v="27"/>
    <s v="NO TAX"/>
    <n v="27"/>
    <m/>
    <m/>
    <m/>
    <m/>
    <n v="0"/>
    <n v="0"/>
    <m/>
    <m/>
    <m/>
    <m/>
    <m/>
  </r>
  <r>
    <d v="2026-05-29T00:00:00"/>
    <x v="0"/>
    <x v="0"/>
    <s v="NON"/>
    <n v="200"/>
    <n v="10"/>
    <n v="210"/>
    <m/>
    <m/>
    <m/>
    <m/>
    <n v="0"/>
    <n v="0"/>
    <m/>
    <m/>
    <m/>
    <m/>
    <m/>
  </r>
  <r>
    <d v="2026-05-29T00:00:00"/>
    <x v="0"/>
    <x v="6"/>
    <s v="NON"/>
    <n v="140"/>
    <s v="NO TAX"/>
    <n v="140"/>
    <m/>
    <m/>
    <m/>
    <m/>
    <n v="0"/>
    <n v="0"/>
    <m/>
    <m/>
    <m/>
    <m/>
    <m/>
  </r>
  <r>
    <d v="2026-05-29T00:00:00"/>
    <x v="0"/>
    <x v="2"/>
    <s v="NON"/>
    <n v="20"/>
    <s v="NO TAX"/>
    <n v="20"/>
    <m/>
    <m/>
    <m/>
    <m/>
    <n v="0"/>
    <n v="0"/>
    <m/>
    <m/>
    <m/>
    <m/>
    <m/>
  </r>
  <r>
    <d v="2026-05-29T00:00:00"/>
    <x v="0"/>
    <x v="3"/>
    <s v="NON"/>
    <n v="7"/>
    <s v="NO TAX"/>
    <n v="7"/>
    <m/>
    <m/>
    <m/>
    <m/>
    <n v="0"/>
    <n v="0"/>
    <m/>
    <m/>
    <m/>
    <m/>
    <m/>
  </r>
  <r>
    <d v="2026-05-30T00:00:00"/>
    <x v="10"/>
    <x v="2"/>
    <s v="NON"/>
    <n v="7500"/>
    <s v="NO TAX"/>
    <n v="7500"/>
    <m/>
    <m/>
    <m/>
    <m/>
    <n v="0"/>
    <n v="0"/>
    <m/>
    <m/>
    <m/>
    <m/>
    <m/>
  </r>
  <r>
    <d v="2026-05-08T00:00:00"/>
    <x v="11"/>
    <x v="10"/>
    <s v="NON"/>
    <n v="591"/>
    <s v="NO TAX"/>
    <n v="591"/>
    <m/>
    <m/>
    <m/>
    <m/>
    <n v="0"/>
    <n v="0"/>
    <m/>
    <m/>
    <m/>
    <m/>
    <m/>
  </r>
  <r>
    <d v="2026-05-12T00:00:00"/>
    <x v="11"/>
    <x v="10"/>
    <s v="NON"/>
    <n v="323.25"/>
    <s v="NO TAX"/>
    <n v="323.25"/>
    <m/>
    <m/>
    <m/>
    <m/>
    <n v="0"/>
    <n v="0"/>
    <m/>
    <m/>
    <m/>
    <m/>
    <m/>
  </r>
  <r>
    <d v="2026-05-12T00:00:00"/>
    <x v="11"/>
    <x v="10"/>
    <s v="NON"/>
    <n v="591.5"/>
    <s v="NO TAX"/>
    <n v="591.5"/>
    <m/>
    <m/>
    <m/>
    <m/>
    <n v="0"/>
    <n v="0"/>
    <m/>
    <m/>
    <m/>
    <m/>
    <m/>
  </r>
  <r>
    <d v="2026-05-13T00:00:00"/>
    <x v="11"/>
    <x v="10"/>
    <s v="NON"/>
    <n v="1451.5"/>
    <s v="NO TAX"/>
    <n v="1451.5"/>
    <m/>
    <m/>
    <m/>
    <m/>
    <n v="0"/>
    <n v="0"/>
    <m/>
    <m/>
    <m/>
    <m/>
    <m/>
  </r>
  <r>
    <d v="2026-05-20T00:00:00"/>
    <x v="11"/>
    <x v="10"/>
    <s v="NON"/>
    <n v="295.75"/>
    <s v="NO TAX"/>
    <n v="295.75"/>
    <m/>
    <m/>
    <m/>
    <m/>
    <n v="0"/>
    <n v="0"/>
    <m/>
    <m/>
    <m/>
    <m/>
    <m/>
  </r>
  <r>
    <d v="2026-05-21T00:00:00"/>
    <x v="11"/>
    <x v="10"/>
    <s v="NON"/>
    <n v="325.75"/>
    <s v="NO TAX"/>
    <n v="325.75"/>
    <m/>
    <m/>
    <m/>
    <m/>
    <n v="0"/>
    <n v="0"/>
    <m/>
    <m/>
    <m/>
    <m/>
    <m/>
  </r>
  <r>
    <d v="2026-05-30T00:00:00"/>
    <x v="11"/>
    <x v="45"/>
    <s v="NON"/>
    <n v="4215.5"/>
    <s v="NO TAX"/>
    <n v="4215.5"/>
    <m/>
    <m/>
    <m/>
    <m/>
    <n v="0"/>
    <n v="0"/>
    <m/>
    <m/>
    <m/>
    <m/>
    <m/>
  </r>
  <r>
    <d v="2026-05-30T00:00:00"/>
    <x v="0"/>
    <x v="13"/>
    <s v="NON"/>
    <n v="2000"/>
    <s v="NO TAX"/>
    <n v="2000"/>
    <m/>
    <m/>
    <m/>
    <m/>
    <n v="0"/>
    <n v="0"/>
    <m/>
    <m/>
    <m/>
    <m/>
    <m/>
  </r>
  <r>
    <d v="2026-05-30T00:00:00"/>
    <x v="0"/>
    <x v="7"/>
    <s v="NON"/>
    <n v="168539"/>
    <s v="NO TAX"/>
    <n v="168539"/>
    <m/>
    <m/>
    <m/>
    <m/>
    <n v="0"/>
    <n v="0"/>
    <m/>
    <m/>
    <m/>
    <m/>
    <m/>
  </r>
  <r>
    <d v="2026-05-30T00:00:00"/>
    <x v="0"/>
    <x v="24"/>
    <s v="NON"/>
    <n v="467.25"/>
    <s v="NO TAX"/>
    <n v="467.25"/>
    <m/>
    <m/>
    <m/>
    <m/>
    <n v="0"/>
    <n v="0"/>
    <m/>
    <m/>
    <m/>
    <m/>
    <m/>
  </r>
  <r>
    <d v="2026-05-30T00:00:00"/>
    <x v="0"/>
    <x v="6"/>
    <s v="NON"/>
    <n v="140"/>
    <s v="NO TAX"/>
    <n v="140"/>
    <m/>
    <m/>
    <m/>
    <m/>
    <n v="0"/>
    <n v="0"/>
    <m/>
    <m/>
    <m/>
    <m/>
    <m/>
  </r>
  <r>
    <d v="2026-05-30T00:00:00"/>
    <x v="0"/>
    <x v="2"/>
    <s v="NON"/>
    <n v="21"/>
    <s v="NO TAX"/>
    <n v="21"/>
    <m/>
    <m/>
    <m/>
    <m/>
    <n v="0"/>
    <n v="0"/>
    <m/>
    <m/>
    <m/>
    <m/>
    <m/>
  </r>
  <r>
    <d v="2026-05-30T00:00:00"/>
    <x v="0"/>
    <x v="20"/>
    <s v="NON"/>
    <n v="84.76"/>
    <n v="4.2380000000000004"/>
    <n v="88.998000000000005"/>
    <m/>
    <m/>
    <m/>
    <m/>
    <n v="0"/>
    <n v="0"/>
    <m/>
    <m/>
    <m/>
    <m/>
    <m/>
  </r>
  <r>
    <d v="2026-05-30T00:00:00"/>
    <x v="0"/>
    <x v="2"/>
    <s v="NON"/>
    <n v="57"/>
    <s v="NO TAX"/>
    <n v="57"/>
    <m/>
    <m/>
    <m/>
    <m/>
    <n v="0"/>
    <n v="0"/>
    <m/>
    <m/>
    <m/>
    <m/>
    <m/>
  </r>
  <r>
    <d v="2026-05-30T00:00:00"/>
    <x v="0"/>
    <x v="7"/>
    <s v="NON"/>
    <n v="420"/>
    <s v="NO TAX"/>
    <n v="420"/>
    <m/>
    <m/>
    <m/>
    <m/>
    <n v="0"/>
    <n v="0"/>
    <m/>
    <m/>
    <m/>
    <m/>
    <m/>
  </r>
  <r>
    <d v="2026-05-30T00:00:00"/>
    <x v="0"/>
    <x v="25"/>
    <s v="NON"/>
    <n v="345"/>
    <s v="NO TAX"/>
    <n v="345"/>
    <m/>
    <m/>
    <m/>
    <m/>
    <n v="0"/>
    <n v="0"/>
    <m/>
    <m/>
    <m/>
    <m/>
    <m/>
  </r>
  <r>
    <d v="2026-05-30T00:00:00"/>
    <x v="0"/>
    <x v="3"/>
    <s v="NON"/>
    <n v="12"/>
    <s v="NO TAX"/>
    <n v="12"/>
    <m/>
    <m/>
    <m/>
    <m/>
    <n v="0"/>
    <n v="0"/>
    <m/>
    <m/>
    <m/>
    <m/>
    <m/>
  </r>
  <r>
    <d v="2026-04-01T00:00:00"/>
    <x v="0"/>
    <x v="13"/>
    <s v="NON"/>
    <n v="1800"/>
    <s v="NO TAX"/>
    <n v="1800"/>
    <m/>
    <m/>
    <m/>
    <m/>
    <n v="0"/>
    <n v="0"/>
    <m/>
    <m/>
    <m/>
    <m/>
    <m/>
  </r>
  <r>
    <d v="2026-04-01T00:00:00"/>
    <x v="0"/>
    <x v="25"/>
    <s v="NON"/>
    <n v="50"/>
    <s v="NO TAX"/>
    <n v="50"/>
    <m/>
    <m/>
    <m/>
    <m/>
    <n v="0"/>
    <n v="0"/>
    <m/>
    <m/>
    <m/>
    <m/>
    <m/>
  </r>
  <r>
    <d v="2026-04-01T00:00:00"/>
    <x v="0"/>
    <x v="2"/>
    <s v="NON"/>
    <n v="234"/>
    <s v="NO TAX"/>
    <n v="234"/>
    <m/>
    <m/>
    <m/>
    <m/>
    <n v="0"/>
    <n v="0"/>
    <m/>
    <m/>
    <m/>
    <m/>
    <m/>
  </r>
  <r>
    <d v="2026-04-01T00:00:00"/>
    <x v="0"/>
    <x v="2"/>
    <s v="NON"/>
    <n v="16060"/>
    <s v="NO TAX"/>
    <n v="16060"/>
    <m/>
    <m/>
    <m/>
    <m/>
    <n v="0"/>
    <n v="0"/>
    <m/>
    <m/>
    <m/>
    <m/>
    <m/>
  </r>
  <r>
    <d v="2026-04-01T00:00:00"/>
    <x v="0"/>
    <x v="46"/>
    <s v="NON"/>
    <n v="100000"/>
    <s v="NO TAX"/>
    <n v="100000"/>
    <m/>
    <m/>
    <m/>
    <m/>
    <n v="0"/>
    <n v="0"/>
    <m/>
    <m/>
    <m/>
    <m/>
    <m/>
  </r>
  <r>
    <d v="2026-04-01T00:00:00"/>
    <x v="0"/>
    <x v="0"/>
    <s v="NON"/>
    <m/>
    <n v="0"/>
    <n v="0"/>
    <m/>
    <m/>
    <m/>
    <m/>
    <n v="0"/>
    <n v="0"/>
    <n v="2500"/>
    <m/>
    <m/>
    <m/>
    <m/>
  </r>
  <r>
    <d v="2026-04-02T00:00:00"/>
    <x v="0"/>
    <x v="7"/>
    <s v="NON"/>
    <n v="1100"/>
    <s v="NO TAX"/>
    <n v="1100"/>
    <m/>
    <m/>
    <m/>
    <m/>
    <n v="0"/>
    <n v="0"/>
    <m/>
    <m/>
    <m/>
    <m/>
    <m/>
  </r>
  <r>
    <d v="2026-04-02T00:00:00"/>
    <x v="0"/>
    <x v="3"/>
    <s v="NON"/>
    <n v="15"/>
    <s v="NO TAX"/>
    <n v="15"/>
    <m/>
    <m/>
    <m/>
    <m/>
    <n v="0"/>
    <n v="0"/>
    <m/>
    <m/>
    <m/>
    <m/>
    <m/>
  </r>
  <r>
    <d v="2026-04-02T00:00:00"/>
    <x v="0"/>
    <x v="5"/>
    <s v="NON"/>
    <m/>
    <n v="0"/>
    <n v="0"/>
    <m/>
    <n v="10020"/>
    <m/>
    <m/>
    <n v="0"/>
    <n v="0"/>
    <m/>
    <m/>
    <m/>
    <m/>
    <m/>
  </r>
  <r>
    <d v="2026-04-03T00:00:00"/>
    <x v="0"/>
    <x v="3"/>
    <s v="NON"/>
    <n v="14"/>
    <s v="NO TAX"/>
    <n v="14"/>
    <m/>
    <m/>
    <m/>
    <m/>
    <n v="0"/>
    <n v="0"/>
    <m/>
    <m/>
    <m/>
    <m/>
    <m/>
  </r>
  <r>
    <d v="2026-04-03T00:00:00"/>
    <x v="0"/>
    <x v="7"/>
    <s v="NON"/>
    <n v="153019"/>
    <s v="NO TAX"/>
    <n v="153019"/>
    <m/>
    <m/>
    <m/>
    <m/>
    <n v="0"/>
    <n v="0"/>
    <m/>
    <m/>
    <m/>
    <m/>
    <m/>
  </r>
  <r>
    <d v="2026-04-03T00:00:00"/>
    <x v="0"/>
    <x v="24"/>
    <s v="NON"/>
    <n v="451.5"/>
    <s v="NO TAX"/>
    <n v="451.5"/>
    <m/>
    <m/>
    <m/>
    <m/>
    <n v="0"/>
    <n v="0"/>
    <m/>
    <m/>
    <m/>
    <m/>
    <m/>
  </r>
  <r>
    <d v="2026-04-04T00:00:00"/>
    <x v="0"/>
    <x v="6"/>
    <s v="NON"/>
    <n v="100"/>
    <s v="NO TAX"/>
    <n v="100"/>
    <m/>
    <m/>
    <m/>
    <m/>
    <n v="0"/>
    <n v="0"/>
    <m/>
    <m/>
    <m/>
    <m/>
    <m/>
  </r>
  <r>
    <d v="2026-04-04T00:00:00"/>
    <x v="0"/>
    <x v="25"/>
    <s v="NON"/>
    <n v="350"/>
    <s v="NO TAX"/>
    <n v="350"/>
    <m/>
    <m/>
    <m/>
    <m/>
    <n v="0"/>
    <n v="0"/>
    <m/>
    <m/>
    <m/>
    <m/>
    <m/>
  </r>
  <r>
    <d v="2026-04-04T00:00:00"/>
    <x v="0"/>
    <x v="17"/>
    <s v="NON"/>
    <n v="500"/>
    <s v="NO TAX"/>
    <n v="500"/>
    <m/>
    <m/>
    <m/>
    <m/>
    <n v="0"/>
    <n v="0"/>
    <m/>
    <m/>
    <m/>
    <m/>
    <m/>
  </r>
  <r>
    <d v="2026-04-04T00:00:00"/>
    <x v="0"/>
    <x v="11"/>
    <s v="NON"/>
    <m/>
    <n v="0"/>
    <n v="0"/>
    <m/>
    <m/>
    <n v="1000"/>
    <m/>
    <n v="0"/>
    <n v="0"/>
    <m/>
    <m/>
    <m/>
    <m/>
    <m/>
  </r>
  <r>
    <d v="2026-04-04T00:00:00"/>
    <x v="3"/>
    <x v="17"/>
    <s v="NON"/>
    <n v="500"/>
    <s v="NO TAX"/>
    <n v="500"/>
    <m/>
    <m/>
    <m/>
    <m/>
    <n v="0"/>
    <n v="0"/>
    <m/>
    <m/>
    <m/>
    <m/>
    <m/>
  </r>
  <r>
    <d v="2026-04-04T00:00:00"/>
    <x v="0"/>
    <x v="6"/>
    <s v="NON"/>
    <n v="100"/>
    <s v="NO TAX"/>
    <n v="100"/>
    <m/>
    <m/>
    <m/>
    <m/>
    <n v="0"/>
    <n v="0"/>
    <m/>
    <m/>
    <m/>
    <m/>
    <m/>
  </r>
  <r>
    <d v="2026-04-04T00:00:00"/>
    <x v="0"/>
    <x v="25"/>
    <s v="NON"/>
    <n v="30"/>
    <s v="NO TAX"/>
    <n v="30"/>
    <m/>
    <m/>
    <m/>
    <m/>
    <n v="0"/>
    <n v="0"/>
    <m/>
    <m/>
    <m/>
    <m/>
    <m/>
  </r>
  <r>
    <d v="2026-04-06T00:00:00"/>
    <x v="3"/>
    <x v="8"/>
    <s v="NON"/>
    <n v="685"/>
    <s v="NO TAX"/>
    <n v="685"/>
    <m/>
    <m/>
    <m/>
    <m/>
    <n v="0"/>
    <n v="0"/>
    <m/>
    <m/>
    <m/>
    <m/>
    <m/>
  </r>
  <r>
    <d v="2026-04-06T00:00:00"/>
    <x v="0"/>
    <x v="3"/>
    <s v="NON"/>
    <n v="27.75"/>
    <s v="NO TAX"/>
    <n v="27.75"/>
    <m/>
    <m/>
    <m/>
    <m/>
    <n v="0"/>
    <n v="0"/>
    <m/>
    <m/>
    <m/>
    <m/>
    <m/>
  </r>
  <r>
    <d v="2026-04-06T00:00:00"/>
    <x v="0"/>
    <x v="0"/>
    <s v="NON"/>
    <n v="18"/>
    <n v="0.9"/>
    <n v="18.899999999999999"/>
    <m/>
    <m/>
    <m/>
    <m/>
    <n v="0"/>
    <n v="0"/>
    <m/>
    <m/>
    <m/>
    <m/>
    <m/>
  </r>
  <r>
    <d v="2026-04-07T00:00:00"/>
    <x v="0"/>
    <x v="3"/>
    <s v="NON"/>
    <n v="70"/>
    <s v="NO TAX"/>
    <n v="70"/>
    <m/>
    <m/>
    <m/>
    <m/>
    <n v="0"/>
    <n v="0"/>
    <m/>
    <m/>
    <m/>
    <m/>
    <m/>
  </r>
  <r>
    <d v="2026-04-07T00:00:00"/>
    <x v="0"/>
    <x v="7"/>
    <s v="NON"/>
    <n v="2000"/>
    <s v="NO TAX"/>
    <n v="2000"/>
    <m/>
    <m/>
    <m/>
    <m/>
    <n v="0"/>
    <n v="0"/>
    <m/>
    <m/>
    <m/>
    <m/>
    <m/>
  </r>
  <r>
    <d v="2026-04-07T00:00:00"/>
    <x v="0"/>
    <x v="2"/>
    <s v="NON"/>
    <n v="21"/>
    <s v="NO TAX"/>
    <n v="21"/>
    <m/>
    <m/>
    <m/>
    <m/>
    <n v="0"/>
    <n v="0"/>
    <m/>
    <m/>
    <m/>
    <m/>
    <m/>
  </r>
  <r>
    <d v="2026-04-07T00:00:00"/>
    <x v="0"/>
    <x v="1"/>
    <s v="NON"/>
    <n v="14.29"/>
    <n v="0.71450000000000002"/>
    <n v="15.004499999999998"/>
    <m/>
    <m/>
    <m/>
    <m/>
    <n v="0"/>
    <n v="0"/>
    <m/>
    <m/>
    <m/>
    <m/>
    <m/>
  </r>
  <r>
    <d v="2026-04-08T00:00:00"/>
    <x v="0"/>
    <x v="3"/>
    <s v="NON"/>
    <n v="21"/>
    <s v="NO TAX"/>
    <n v="21"/>
    <m/>
    <m/>
    <m/>
    <m/>
    <n v="0"/>
    <n v="0"/>
    <m/>
    <m/>
    <m/>
    <m/>
    <m/>
  </r>
  <r>
    <d v="2026-04-08T00:00:00"/>
    <x v="0"/>
    <x v="36"/>
    <s v="NON"/>
    <n v="6979.73"/>
    <n v="348.98649999999998"/>
    <n v="7328.7164999999995"/>
    <m/>
    <m/>
    <m/>
    <m/>
    <n v="0"/>
    <n v="0"/>
    <m/>
    <m/>
    <m/>
    <m/>
    <m/>
  </r>
  <r>
    <d v="2026-04-08T00:00:00"/>
    <x v="0"/>
    <x v="3"/>
    <s v="NON"/>
    <n v="41"/>
    <s v="NO TAX"/>
    <n v="41"/>
    <m/>
    <m/>
    <m/>
    <m/>
    <n v="0"/>
    <n v="0"/>
    <m/>
    <m/>
    <m/>
    <m/>
    <m/>
  </r>
  <r>
    <d v="2026-04-08T00:00:00"/>
    <x v="0"/>
    <x v="11"/>
    <s v="NON"/>
    <m/>
    <n v="0"/>
    <n v="0"/>
    <m/>
    <m/>
    <n v="10000"/>
    <m/>
    <n v="0"/>
    <n v="0"/>
    <m/>
    <m/>
    <m/>
    <m/>
    <m/>
  </r>
  <r>
    <d v="2026-04-08T00:00:00"/>
    <x v="0"/>
    <x v="37"/>
    <s v="NON"/>
    <n v="1017.98"/>
    <n v="50.899000000000001"/>
    <n v="1068.8789999999999"/>
    <m/>
    <m/>
    <m/>
    <m/>
    <n v="0"/>
    <n v="0"/>
    <m/>
    <m/>
    <m/>
    <m/>
    <m/>
  </r>
  <r>
    <d v="2026-04-08T00:00:00"/>
    <x v="0"/>
    <x v="3"/>
    <s v="NON"/>
    <n v="15"/>
    <s v="NO TAX"/>
    <n v="15"/>
    <m/>
    <m/>
    <m/>
    <m/>
    <n v="0"/>
    <n v="0"/>
    <m/>
    <m/>
    <m/>
    <m/>
    <m/>
  </r>
  <r>
    <d v="2026-04-08T00:00:00"/>
    <x v="0"/>
    <x v="0"/>
    <s v="NON"/>
    <n v="915.24"/>
    <n v="45.762"/>
    <n v="961.00199999999995"/>
    <m/>
    <m/>
    <m/>
    <m/>
    <n v="0"/>
    <n v="0"/>
    <m/>
    <m/>
    <m/>
    <m/>
    <m/>
  </r>
  <r>
    <d v="2026-04-08T00:00:00"/>
    <x v="0"/>
    <x v="7"/>
    <s v="NON"/>
    <m/>
    <n v="0"/>
    <n v="0"/>
    <m/>
    <n v="10000"/>
    <m/>
    <m/>
    <n v="0"/>
    <n v="0"/>
    <m/>
    <m/>
    <m/>
    <m/>
    <m/>
  </r>
  <r>
    <d v="2026-04-09T00:00:00"/>
    <x v="0"/>
    <x v="0"/>
    <s v="NON"/>
    <n v="12"/>
    <n v="0.60000000000000009"/>
    <n v="12.6"/>
    <m/>
    <m/>
    <m/>
    <m/>
    <n v="0"/>
    <n v="0"/>
    <m/>
    <m/>
    <m/>
    <m/>
    <m/>
  </r>
  <r>
    <d v="2026-04-09T00:00:00"/>
    <x v="0"/>
    <x v="1"/>
    <s v="NON"/>
    <n v="80.25"/>
    <s v="NO TAX"/>
    <n v="80.25"/>
    <m/>
    <m/>
    <m/>
    <m/>
    <n v="0"/>
    <n v="0"/>
    <m/>
    <m/>
    <m/>
    <m/>
    <m/>
  </r>
  <r>
    <d v="2026-04-09T00:00:00"/>
    <x v="0"/>
    <x v="0"/>
    <s v="NON"/>
    <m/>
    <n v="0"/>
    <n v="0"/>
    <m/>
    <m/>
    <m/>
    <m/>
    <n v="0"/>
    <n v="0"/>
    <n v="600"/>
    <m/>
    <m/>
    <m/>
    <m/>
  </r>
  <r>
    <d v="2026-04-09T00:00:00"/>
    <x v="0"/>
    <x v="3"/>
    <s v="NON"/>
    <n v="46"/>
    <s v="NO TAX"/>
    <n v="46"/>
    <m/>
    <m/>
    <m/>
    <m/>
    <n v="0"/>
    <n v="0"/>
    <m/>
    <m/>
    <m/>
    <m/>
    <m/>
  </r>
  <r>
    <d v="2026-04-09T00:00:00"/>
    <x v="0"/>
    <x v="6"/>
    <s v="NON"/>
    <n v="100"/>
    <s v="NO TAX"/>
    <n v="100"/>
    <m/>
    <m/>
    <m/>
    <m/>
    <n v="0"/>
    <n v="0"/>
    <m/>
    <m/>
    <m/>
    <m/>
    <m/>
  </r>
  <r>
    <d v="2026-04-09T00:00:00"/>
    <x v="0"/>
    <x v="25"/>
    <s v="NON"/>
    <n v="25"/>
    <s v="NO TAX"/>
    <n v="25"/>
    <m/>
    <m/>
    <m/>
    <m/>
    <n v="0"/>
    <n v="0"/>
    <m/>
    <m/>
    <m/>
    <m/>
    <m/>
  </r>
  <r>
    <d v="2026-04-10T00:00:00"/>
    <x v="0"/>
    <x v="5"/>
    <s v="NON"/>
    <m/>
    <n v="0"/>
    <n v="0"/>
    <n v="150"/>
    <m/>
    <m/>
    <m/>
    <n v="0"/>
    <n v="0"/>
    <m/>
    <m/>
    <m/>
    <m/>
    <m/>
  </r>
  <r>
    <d v="2026-04-10T00:00:00"/>
    <x v="0"/>
    <x v="7"/>
    <s v="NON"/>
    <n v="150"/>
    <s v="NO TAX"/>
    <n v="150"/>
    <m/>
    <m/>
    <m/>
    <m/>
    <n v="0"/>
    <n v="0"/>
    <m/>
    <m/>
    <m/>
    <m/>
    <m/>
  </r>
  <r>
    <d v="2026-04-10T00:00:00"/>
    <x v="3"/>
    <x v="8"/>
    <s v="NON"/>
    <n v="-495"/>
    <s v="NO TAX"/>
    <n v="-495"/>
    <m/>
    <m/>
    <m/>
    <m/>
    <n v="0"/>
    <n v="0"/>
    <m/>
    <m/>
    <m/>
    <m/>
    <m/>
  </r>
  <r>
    <d v="2026-04-10T00:00:00"/>
    <x v="0"/>
    <x v="12"/>
    <s v="NON"/>
    <n v="95.24"/>
    <n v="4.7619999999999996"/>
    <n v="100.002"/>
    <m/>
    <m/>
    <m/>
    <m/>
    <n v="0"/>
    <n v="0"/>
    <m/>
    <m/>
    <m/>
    <m/>
    <m/>
  </r>
  <r>
    <d v="2026-04-10T00:00:00"/>
    <x v="0"/>
    <x v="0"/>
    <s v="NON"/>
    <n v="527.4"/>
    <n v="26.37"/>
    <n v="553.77"/>
    <m/>
    <m/>
    <m/>
    <m/>
    <n v="0"/>
    <n v="0"/>
    <m/>
    <m/>
    <m/>
    <m/>
    <m/>
  </r>
  <r>
    <d v="2026-04-10T00:00:00"/>
    <x v="0"/>
    <x v="0"/>
    <s v="NON"/>
    <n v="55.75"/>
    <s v="NO TAX"/>
    <n v="55.75"/>
    <m/>
    <m/>
    <m/>
    <m/>
    <n v="0"/>
    <n v="0"/>
    <m/>
    <m/>
    <m/>
    <m/>
    <m/>
  </r>
  <r>
    <d v="2026-04-10T00:00:00"/>
    <x v="0"/>
    <x v="2"/>
    <s v="NON"/>
    <n v="55"/>
    <s v="NO TAX"/>
    <n v="55"/>
    <m/>
    <m/>
    <m/>
    <m/>
    <n v="0"/>
    <n v="0"/>
    <m/>
    <m/>
    <m/>
    <m/>
    <m/>
  </r>
  <r>
    <d v="2026-04-11T00:00:00"/>
    <x v="5"/>
    <x v="22"/>
    <s v="NON"/>
    <n v="953.84999999999991"/>
    <s v="NO TAX"/>
    <n v="953.84999999999991"/>
    <m/>
    <m/>
    <m/>
    <m/>
    <n v="0"/>
    <n v="0"/>
    <m/>
    <m/>
    <m/>
    <m/>
    <m/>
  </r>
  <r>
    <d v="2026-04-11T00:00:00"/>
    <x v="0"/>
    <x v="3"/>
    <s v="NON"/>
    <n v="40"/>
    <s v="NO TAX"/>
    <n v="40"/>
    <m/>
    <m/>
    <m/>
    <m/>
    <n v="0"/>
    <n v="0"/>
    <m/>
    <m/>
    <m/>
    <m/>
    <m/>
  </r>
  <r>
    <d v="2026-04-11T00:00:00"/>
    <x v="0"/>
    <x v="0"/>
    <s v="NON"/>
    <n v="19.05"/>
    <n v="0.95250000000000012"/>
    <n v="20.002500000000001"/>
    <m/>
    <m/>
    <m/>
    <m/>
    <n v="0"/>
    <n v="0"/>
    <m/>
    <m/>
    <m/>
    <m/>
    <m/>
  </r>
  <r>
    <d v="2026-04-11T00:00:00"/>
    <x v="0"/>
    <x v="5"/>
    <s v="NON"/>
    <m/>
    <n v="0"/>
    <n v="0"/>
    <n v="40"/>
    <m/>
    <m/>
    <m/>
    <n v="0"/>
    <n v="0"/>
    <m/>
    <m/>
    <m/>
    <m/>
    <m/>
  </r>
  <r>
    <d v="2026-04-11T00:00:00"/>
    <x v="0"/>
    <x v="11"/>
    <s v="NON"/>
    <m/>
    <n v="0"/>
    <n v="0"/>
    <m/>
    <m/>
    <n v="2000"/>
    <m/>
    <n v="0"/>
    <n v="0"/>
    <m/>
    <m/>
    <m/>
    <m/>
    <m/>
  </r>
  <r>
    <d v="2026-04-11T00:00:00"/>
    <x v="0"/>
    <x v="13"/>
    <s v="NON"/>
    <n v="1000"/>
    <s v="NO TAX"/>
    <n v="1000"/>
    <m/>
    <m/>
    <m/>
    <m/>
    <n v="0"/>
    <n v="0"/>
    <m/>
    <m/>
    <m/>
    <m/>
    <m/>
  </r>
  <r>
    <d v="2026-04-11T00:00:00"/>
    <x v="0"/>
    <x v="2"/>
    <s v="NON"/>
    <n v="50"/>
    <s v="NO TAX"/>
    <n v="50"/>
    <m/>
    <m/>
    <m/>
    <m/>
    <n v="0"/>
    <n v="0"/>
    <m/>
    <m/>
    <m/>
    <m/>
    <m/>
  </r>
  <r>
    <d v="2026-04-11T00:00:00"/>
    <x v="0"/>
    <x v="6"/>
    <s v="NON"/>
    <n v="100"/>
    <s v="NO TAX"/>
    <n v="100"/>
    <m/>
    <m/>
    <m/>
    <m/>
    <n v="0"/>
    <n v="0"/>
    <m/>
    <m/>
    <m/>
    <m/>
    <m/>
  </r>
  <r>
    <d v="2026-04-13T00:00:00"/>
    <x v="0"/>
    <x v="1"/>
    <s v="NON"/>
    <n v="10"/>
    <s v="NO TAX"/>
    <n v="10"/>
    <m/>
    <m/>
    <m/>
    <m/>
    <n v="0"/>
    <n v="0"/>
    <m/>
    <m/>
    <m/>
    <m/>
    <m/>
  </r>
  <r>
    <d v="2026-04-13T00:00:00"/>
    <x v="0"/>
    <x v="20"/>
    <s v="NON"/>
    <n v="135"/>
    <s v="NO TAX"/>
    <n v="135"/>
    <m/>
    <m/>
    <m/>
    <m/>
    <n v="0"/>
    <n v="0"/>
    <m/>
    <m/>
    <m/>
    <m/>
    <m/>
  </r>
  <r>
    <d v="2026-04-13T00:00:00"/>
    <x v="0"/>
    <x v="0"/>
    <s v="NON"/>
    <n v="47.62"/>
    <n v="2.3809999999999998"/>
    <n v="50.000999999999998"/>
    <m/>
    <m/>
    <m/>
    <m/>
    <n v="0"/>
    <n v="0"/>
    <m/>
    <m/>
    <m/>
    <m/>
    <m/>
  </r>
  <r>
    <d v="2026-04-13T00:00:00"/>
    <x v="0"/>
    <x v="3"/>
    <s v="NON"/>
    <n v="20"/>
    <s v="NO TAX"/>
    <n v="20"/>
    <m/>
    <m/>
    <m/>
    <m/>
    <n v="0"/>
    <n v="0"/>
    <m/>
    <m/>
    <m/>
    <m/>
    <m/>
  </r>
  <r>
    <d v="2026-04-13T00:00:00"/>
    <x v="0"/>
    <x v="8"/>
    <s v="NON"/>
    <n v="850"/>
    <s v="NO TAX"/>
    <n v="850"/>
    <m/>
    <m/>
    <m/>
    <m/>
    <n v="0"/>
    <n v="0"/>
    <m/>
    <m/>
    <m/>
    <m/>
    <m/>
  </r>
  <r>
    <d v="2026-04-13T00:00:00"/>
    <x v="0"/>
    <x v="2"/>
    <s v="NON"/>
    <n v="55"/>
    <s v="NO TAX"/>
    <n v="55"/>
    <m/>
    <m/>
    <m/>
    <m/>
    <n v="0"/>
    <n v="0"/>
    <m/>
    <m/>
    <m/>
    <m/>
    <m/>
  </r>
  <r>
    <d v="2026-04-14T00:00:00"/>
    <x v="0"/>
    <x v="3"/>
    <s v="NON"/>
    <n v="14"/>
    <s v="NO TAX"/>
    <n v="14"/>
    <m/>
    <m/>
    <m/>
    <m/>
    <n v="0"/>
    <n v="0"/>
    <m/>
    <m/>
    <m/>
    <m/>
    <m/>
  </r>
  <r>
    <d v="2026-04-14T00:00:00"/>
    <x v="0"/>
    <x v="3"/>
    <s v="NON"/>
    <n v="38"/>
    <s v="NO TAX"/>
    <n v="38"/>
    <m/>
    <m/>
    <m/>
    <m/>
    <n v="0"/>
    <n v="0"/>
    <m/>
    <m/>
    <m/>
    <m/>
    <m/>
  </r>
  <r>
    <d v="2026-04-14T00:00:00"/>
    <x v="0"/>
    <x v="0"/>
    <s v="NON"/>
    <n v="1625.05"/>
    <n v="81.252499999999998"/>
    <n v="1706.3025"/>
    <m/>
    <m/>
    <m/>
    <m/>
    <n v="0"/>
    <n v="0"/>
    <m/>
    <m/>
    <m/>
    <m/>
    <m/>
  </r>
  <r>
    <d v="2026-04-14T00:00:00"/>
    <x v="0"/>
    <x v="3"/>
    <s v="NON"/>
    <n v="8"/>
    <s v="NO TAX"/>
    <n v="8"/>
    <m/>
    <m/>
    <m/>
    <m/>
    <n v="0"/>
    <n v="0"/>
    <m/>
    <m/>
    <m/>
    <m/>
    <m/>
  </r>
  <r>
    <d v="2026-04-14T00:00:00"/>
    <x v="0"/>
    <x v="13"/>
    <s v="NON"/>
    <n v="1000"/>
    <s v="NO TAX"/>
    <n v="1000"/>
    <m/>
    <m/>
    <m/>
    <m/>
    <n v="0"/>
    <n v="0"/>
    <m/>
    <m/>
    <m/>
    <m/>
    <m/>
  </r>
  <r>
    <d v="2026-04-14T00:00:00"/>
    <x v="0"/>
    <x v="2"/>
    <s v="NON"/>
    <n v="55"/>
    <s v="NO TAX"/>
    <n v="55"/>
    <m/>
    <m/>
    <m/>
    <m/>
    <n v="0"/>
    <n v="0"/>
    <m/>
    <m/>
    <m/>
    <m/>
    <m/>
  </r>
  <r>
    <d v="2026-04-14T00:00:00"/>
    <x v="0"/>
    <x v="0"/>
    <s v="NON"/>
    <n v="44"/>
    <s v="NO TAX"/>
    <n v="44"/>
    <m/>
    <m/>
    <m/>
    <m/>
    <n v="0"/>
    <n v="0"/>
    <m/>
    <m/>
    <m/>
    <m/>
    <m/>
  </r>
  <r>
    <d v="2026-04-14T00:00:00"/>
    <x v="3"/>
    <x v="5"/>
    <s v="NON"/>
    <m/>
    <n v="0"/>
    <n v="0"/>
    <n v="755"/>
    <m/>
    <m/>
    <m/>
    <n v="0"/>
    <n v="0"/>
    <m/>
    <m/>
    <m/>
    <m/>
    <m/>
  </r>
  <r>
    <d v="2026-04-14T00:00:00"/>
    <x v="0"/>
    <x v="7"/>
    <s v="NON"/>
    <m/>
    <n v="0"/>
    <n v="0"/>
    <m/>
    <m/>
    <m/>
    <m/>
    <n v="0"/>
    <n v="0"/>
    <m/>
    <m/>
    <n v="9000"/>
    <m/>
    <m/>
  </r>
  <r>
    <d v="2026-04-15T00:00:00"/>
    <x v="0"/>
    <x v="3"/>
    <s v="NON"/>
    <n v="37"/>
    <s v="NO TAX"/>
    <n v="37"/>
    <m/>
    <m/>
    <m/>
    <m/>
    <n v="0"/>
    <n v="0"/>
    <m/>
    <m/>
    <m/>
    <m/>
    <m/>
  </r>
  <r>
    <d v="2026-04-15T00:00:00"/>
    <x v="0"/>
    <x v="6"/>
    <s v="NON"/>
    <n v="140"/>
    <s v="NO TAX"/>
    <n v="140"/>
    <m/>
    <m/>
    <m/>
    <m/>
    <n v="0"/>
    <n v="0"/>
    <m/>
    <m/>
    <m/>
    <m/>
    <m/>
  </r>
  <r>
    <d v="2026-04-15T00:00:00"/>
    <x v="0"/>
    <x v="2"/>
    <s v="NON"/>
    <n v="105"/>
    <s v="NO TAX"/>
    <n v="105"/>
    <m/>
    <m/>
    <m/>
    <m/>
    <n v="0"/>
    <n v="0"/>
    <m/>
    <m/>
    <m/>
    <m/>
    <m/>
  </r>
  <r>
    <d v="2026-04-15T00:00:00"/>
    <x v="0"/>
    <x v="3"/>
    <s v="NON"/>
    <n v="10"/>
    <s v="NO TAX"/>
    <n v="10"/>
    <m/>
    <m/>
    <m/>
    <m/>
    <n v="0"/>
    <n v="0"/>
    <m/>
    <m/>
    <m/>
    <m/>
    <m/>
  </r>
  <r>
    <d v="2026-04-16T00:00:00"/>
    <x v="0"/>
    <x v="0"/>
    <s v="NON"/>
    <m/>
    <n v="0"/>
    <n v="0"/>
    <m/>
    <m/>
    <m/>
    <m/>
    <n v="0"/>
    <n v="0"/>
    <n v="1860"/>
    <m/>
    <m/>
    <m/>
    <m/>
  </r>
  <r>
    <d v="2026-04-16T00:00:00"/>
    <x v="0"/>
    <x v="3"/>
    <s v="NON"/>
    <n v="39"/>
    <s v="NO TAX"/>
    <n v="39"/>
    <m/>
    <m/>
    <m/>
    <m/>
    <n v="0"/>
    <n v="0"/>
    <m/>
    <m/>
    <m/>
    <m/>
    <m/>
  </r>
  <r>
    <d v="2026-04-16T00:00:00"/>
    <x v="0"/>
    <x v="5"/>
    <s v="NON"/>
    <m/>
    <n v="0"/>
    <n v="0"/>
    <n v="200"/>
    <m/>
    <m/>
    <m/>
    <n v="0"/>
    <n v="0"/>
    <m/>
    <m/>
    <m/>
    <m/>
    <m/>
  </r>
  <r>
    <d v="2026-04-16T00:00:00"/>
    <x v="0"/>
    <x v="5"/>
    <s v="NON"/>
    <m/>
    <n v="0"/>
    <n v="0"/>
    <n v="2000"/>
    <m/>
    <m/>
    <m/>
    <n v="0"/>
    <n v="0"/>
    <m/>
    <m/>
    <m/>
    <m/>
    <m/>
  </r>
  <r>
    <d v="2026-04-16T00:00:00"/>
    <x v="0"/>
    <x v="2"/>
    <s v="NON"/>
    <n v="362.25"/>
    <s v="NO TAX"/>
    <n v="362.25"/>
    <m/>
    <m/>
    <m/>
    <m/>
    <n v="0"/>
    <n v="0"/>
    <m/>
    <m/>
    <m/>
    <m/>
    <m/>
  </r>
  <r>
    <d v="2026-04-16T00:00:00"/>
    <x v="0"/>
    <x v="4"/>
    <s v="NON"/>
    <n v="21"/>
    <s v="NO TAX"/>
    <n v="21"/>
    <m/>
    <m/>
    <m/>
    <m/>
    <n v="0"/>
    <n v="0"/>
    <m/>
    <m/>
    <m/>
    <m/>
    <m/>
  </r>
  <r>
    <d v="2026-04-16T00:00:00"/>
    <x v="0"/>
    <x v="2"/>
    <s v="NON"/>
    <n v="31.5"/>
    <s v="NO TAX"/>
    <n v="31.5"/>
    <m/>
    <m/>
    <m/>
    <m/>
    <n v="0"/>
    <n v="0"/>
    <m/>
    <m/>
    <m/>
    <m/>
    <m/>
  </r>
  <r>
    <d v="2026-04-16T00:00:00"/>
    <x v="0"/>
    <x v="20"/>
    <s v="NON"/>
    <n v="142.85714285714286"/>
    <n v="7.1428571428571432"/>
    <n v="150"/>
    <m/>
    <m/>
    <m/>
    <m/>
    <n v="0"/>
    <n v="0"/>
    <m/>
    <m/>
    <m/>
    <m/>
    <m/>
  </r>
  <r>
    <d v="2026-04-17T00:00:00"/>
    <x v="0"/>
    <x v="0"/>
    <s v="NON"/>
    <n v="11788.6"/>
    <n v="589.43000000000006"/>
    <n v="12378.03"/>
    <m/>
    <m/>
    <m/>
    <m/>
    <n v="0"/>
    <n v="0"/>
    <m/>
    <m/>
    <m/>
    <m/>
    <m/>
  </r>
  <r>
    <d v="2026-04-17T00:00:00"/>
    <x v="0"/>
    <x v="0"/>
    <s v="NON"/>
    <n v="2340"/>
    <n v="117"/>
    <n v="2457"/>
    <m/>
    <m/>
    <m/>
    <m/>
    <n v="0"/>
    <n v="0"/>
    <m/>
    <m/>
    <m/>
    <m/>
    <m/>
  </r>
  <r>
    <d v="2026-04-17T00:00:00"/>
    <x v="3"/>
    <x v="0"/>
    <s v="NON"/>
    <n v="6430"/>
    <s v="NO TAX"/>
    <n v="6430"/>
    <m/>
    <m/>
    <m/>
    <m/>
    <n v="0"/>
    <n v="0"/>
    <m/>
    <m/>
    <m/>
    <m/>
    <m/>
  </r>
  <r>
    <d v="2026-04-17T00:00:00"/>
    <x v="3"/>
    <x v="0"/>
    <s v="NON"/>
    <n v="-8384.2999999999993"/>
    <s v="NO TAX"/>
    <n v="-8384.2999999999993"/>
    <m/>
    <m/>
    <m/>
    <m/>
    <n v="0"/>
    <n v="0"/>
    <m/>
    <m/>
    <m/>
    <m/>
    <m/>
  </r>
  <r>
    <d v="2026-04-17T00:00:00"/>
    <x v="3"/>
    <x v="29"/>
    <s v="NON"/>
    <m/>
    <n v="0"/>
    <n v="0"/>
    <m/>
    <m/>
    <m/>
    <n v="-7432.47"/>
    <s v="NO TAX"/>
    <n v="-7432.47"/>
    <m/>
    <m/>
    <m/>
    <m/>
    <m/>
  </r>
  <r>
    <d v="2026-04-17T00:00:00"/>
    <x v="0"/>
    <x v="3"/>
    <s v="NON"/>
    <n v="40"/>
    <s v="NO TAX"/>
    <n v="40"/>
    <m/>
    <m/>
    <m/>
    <m/>
    <n v="0"/>
    <n v="0"/>
    <m/>
    <m/>
    <m/>
    <m/>
    <m/>
  </r>
  <r>
    <d v="2026-04-17T00:00:00"/>
    <x v="0"/>
    <x v="12"/>
    <s v="NON"/>
    <n v="95.24"/>
    <n v="4.7619999999999996"/>
    <n v="100.002"/>
    <m/>
    <m/>
    <m/>
    <m/>
    <n v="0"/>
    <n v="0"/>
    <m/>
    <m/>
    <m/>
    <m/>
    <m/>
  </r>
  <r>
    <d v="2026-04-17T00:00:00"/>
    <x v="0"/>
    <x v="20"/>
    <s v="NON"/>
    <n v="333.33"/>
    <n v="16.666499999999999"/>
    <n v="349.99649999999997"/>
    <m/>
    <m/>
    <m/>
    <m/>
    <n v="0"/>
    <n v="0"/>
    <m/>
    <m/>
    <m/>
    <m/>
    <m/>
  </r>
  <r>
    <d v="2026-04-17T00:00:00"/>
    <x v="0"/>
    <x v="7"/>
    <s v="NON"/>
    <m/>
    <n v="0"/>
    <n v="0"/>
    <m/>
    <m/>
    <m/>
    <m/>
    <n v="0"/>
    <n v="0"/>
    <m/>
    <m/>
    <n v="7500"/>
    <m/>
    <m/>
  </r>
  <r>
    <d v="2026-04-18T00:00:00"/>
    <x v="0"/>
    <x v="47"/>
    <s v="NON"/>
    <n v="3937"/>
    <n v="196.85000000000002"/>
    <n v="4133.8500000000004"/>
    <m/>
    <m/>
    <m/>
    <m/>
    <n v="0"/>
    <n v="0"/>
    <m/>
    <m/>
    <m/>
    <m/>
    <m/>
  </r>
  <r>
    <d v="2026-04-18T00:00:00"/>
    <x v="0"/>
    <x v="13"/>
    <s v="NON"/>
    <n v="1000"/>
    <s v="NO TAX"/>
    <n v="1000"/>
    <m/>
    <m/>
    <m/>
    <m/>
    <n v="0"/>
    <n v="0"/>
    <m/>
    <m/>
    <m/>
    <m/>
    <m/>
  </r>
  <r>
    <d v="2026-04-18T00:00:00"/>
    <x v="0"/>
    <x v="5"/>
    <s v="NON"/>
    <n v="0"/>
    <n v="0"/>
    <n v="0"/>
    <n v="500"/>
    <m/>
    <m/>
    <m/>
    <n v="0"/>
    <n v="0"/>
    <m/>
    <m/>
    <m/>
    <m/>
    <m/>
  </r>
  <r>
    <d v="2026-04-18T00:00:00"/>
    <x v="0"/>
    <x v="0"/>
    <s v="NON"/>
    <n v="2525.0500000000002"/>
    <n v="126.25250000000001"/>
    <n v="2651.3025000000002"/>
    <m/>
    <m/>
    <m/>
    <m/>
    <n v="0"/>
    <n v="0"/>
    <m/>
    <m/>
    <m/>
    <m/>
    <m/>
  </r>
  <r>
    <d v="2026-04-18T00:00:00"/>
    <x v="0"/>
    <x v="5"/>
    <s v="NON"/>
    <m/>
    <n v="0"/>
    <n v="0"/>
    <n v="50"/>
    <m/>
    <m/>
    <m/>
    <n v="0"/>
    <n v="0"/>
    <m/>
    <m/>
    <m/>
    <m/>
    <m/>
  </r>
  <r>
    <d v="2026-04-18T00:00:00"/>
    <x v="0"/>
    <x v="5"/>
    <s v="NON"/>
    <m/>
    <n v="0"/>
    <n v="0"/>
    <n v="50"/>
    <m/>
    <m/>
    <m/>
    <n v="0"/>
    <n v="0"/>
    <m/>
    <m/>
    <m/>
    <m/>
    <m/>
  </r>
  <r>
    <d v="2026-04-18T00:00:00"/>
    <x v="0"/>
    <x v="2"/>
    <s v="NON"/>
    <n v="55"/>
    <s v="NO TAX"/>
    <n v="55"/>
    <m/>
    <m/>
    <m/>
    <m/>
    <n v="0"/>
    <n v="0"/>
    <m/>
    <m/>
    <m/>
    <m/>
    <m/>
  </r>
  <r>
    <d v="2026-04-18T00:00:00"/>
    <x v="0"/>
    <x v="0"/>
    <s v="NON"/>
    <n v="209"/>
    <n v="10.450000000000001"/>
    <n v="219.45"/>
    <m/>
    <m/>
    <m/>
    <m/>
    <n v="0"/>
    <n v="0"/>
    <m/>
    <m/>
    <m/>
    <m/>
    <m/>
  </r>
  <r>
    <d v="2026-04-18T00:00:00"/>
    <x v="0"/>
    <x v="19"/>
    <s v="NON"/>
    <n v="9.5"/>
    <s v="NO TAX"/>
    <n v="9.5"/>
    <m/>
    <m/>
    <m/>
    <m/>
    <n v="0"/>
    <n v="0"/>
    <m/>
    <m/>
    <m/>
    <m/>
    <m/>
  </r>
  <r>
    <d v="2026-04-18T00:00:00"/>
    <x v="0"/>
    <x v="7"/>
    <s v="NON"/>
    <n v="1500"/>
    <s v="NO TAX"/>
    <n v="1500"/>
    <m/>
    <m/>
    <m/>
    <m/>
    <n v="0"/>
    <n v="0"/>
    <m/>
    <m/>
    <m/>
    <m/>
    <m/>
  </r>
  <r>
    <d v="2026-04-18T00:00:00"/>
    <x v="0"/>
    <x v="5"/>
    <s v="NON"/>
    <m/>
    <n v="0"/>
    <n v="0"/>
    <n v="1000"/>
    <m/>
    <m/>
    <m/>
    <n v="0"/>
    <n v="0"/>
    <m/>
    <m/>
    <m/>
    <m/>
    <m/>
  </r>
  <r>
    <d v="2026-04-18T00:00:00"/>
    <x v="0"/>
    <x v="5"/>
    <s v="NON"/>
    <m/>
    <n v="0"/>
    <n v="0"/>
    <n v="50"/>
    <m/>
    <m/>
    <m/>
    <n v="0"/>
    <n v="0"/>
    <m/>
    <m/>
    <m/>
    <m/>
    <m/>
  </r>
  <r>
    <d v="2026-04-18T00:00:00"/>
    <x v="12"/>
    <x v="32"/>
    <s v="NON"/>
    <n v="32142.5"/>
    <n v="1607.125"/>
    <n v="33749.625"/>
    <m/>
    <m/>
    <m/>
    <m/>
    <n v="0"/>
    <n v="0"/>
    <m/>
    <m/>
    <m/>
    <m/>
    <m/>
  </r>
  <r>
    <d v="2026-04-18T00:00:00"/>
    <x v="12"/>
    <x v="33"/>
    <s v="NON"/>
    <n v="9890"/>
    <n v="494.5"/>
    <n v="10384.5"/>
    <m/>
    <m/>
    <m/>
    <m/>
    <n v="0"/>
    <n v="0"/>
    <m/>
    <m/>
    <m/>
    <m/>
    <m/>
  </r>
  <r>
    <d v="2026-04-18T00:00:00"/>
    <x v="12"/>
    <x v="34"/>
    <s v="NON"/>
    <n v="17307.5"/>
    <n v="865.375"/>
    <n v="18172.875"/>
    <m/>
    <m/>
    <m/>
    <m/>
    <n v="0"/>
    <n v="0"/>
    <m/>
    <m/>
    <m/>
    <m/>
    <m/>
  </r>
  <r>
    <d v="2026-04-20T00:00:00"/>
    <x v="0"/>
    <x v="0"/>
    <s v="NON"/>
    <n v="3110"/>
    <n v="155.5"/>
    <n v="3265.5"/>
    <m/>
    <m/>
    <m/>
    <m/>
    <n v="0"/>
    <n v="0"/>
    <m/>
    <m/>
    <m/>
    <m/>
    <m/>
  </r>
  <r>
    <d v="2026-04-20T00:00:00"/>
    <x v="0"/>
    <x v="5"/>
    <s v="NON"/>
    <m/>
    <n v="0"/>
    <n v="0"/>
    <n v="500"/>
    <m/>
    <m/>
    <m/>
    <n v="0"/>
    <n v="0"/>
    <m/>
    <m/>
    <m/>
    <m/>
    <m/>
  </r>
  <r>
    <d v="2026-04-20T00:00:00"/>
    <x v="0"/>
    <x v="6"/>
    <s v="NON"/>
    <n v="100"/>
    <s v="NO TAX"/>
    <n v="100"/>
    <m/>
    <m/>
    <m/>
    <m/>
    <n v="0"/>
    <n v="0"/>
    <m/>
    <m/>
    <m/>
    <m/>
    <m/>
  </r>
  <r>
    <d v="2026-04-20T00:00:00"/>
    <x v="0"/>
    <x v="5"/>
    <s v="NON"/>
    <n v="0"/>
    <n v="0"/>
    <n v="0"/>
    <n v="50"/>
    <m/>
    <m/>
    <m/>
    <n v="0"/>
    <n v="0"/>
    <m/>
    <m/>
    <m/>
    <m/>
    <m/>
  </r>
  <r>
    <d v="2026-04-20T00:00:00"/>
    <x v="0"/>
    <x v="2"/>
    <s v="NON"/>
    <n v="52"/>
    <s v="NO TAX"/>
    <n v="52"/>
    <m/>
    <m/>
    <m/>
    <m/>
    <n v="0"/>
    <n v="0"/>
    <m/>
    <m/>
    <m/>
    <m/>
    <m/>
  </r>
  <r>
    <d v="2026-04-20T00:00:00"/>
    <x v="0"/>
    <x v="48"/>
    <s v="NON"/>
    <m/>
    <n v="0"/>
    <n v="0"/>
    <m/>
    <m/>
    <m/>
    <m/>
    <n v="0"/>
    <n v="0"/>
    <m/>
    <m/>
    <n v="5900"/>
    <m/>
    <m/>
  </r>
  <r>
    <d v="2026-04-21T00:00:00"/>
    <x v="0"/>
    <x v="25"/>
    <s v="NON"/>
    <n v="165"/>
    <n v="8.25"/>
    <n v="173.25"/>
    <m/>
    <m/>
    <m/>
    <m/>
    <n v="0"/>
    <n v="0"/>
    <m/>
    <m/>
    <m/>
    <m/>
    <m/>
  </r>
  <r>
    <d v="2026-04-21T00:00:00"/>
    <x v="0"/>
    <x v="2"/>
    <s v="NON"/>
    <n v="52"/>
    <s v="NO TAX"/>
    <n v="52"/>
    <m/>
    <m/>
    <m/>
    <m/>
    <n v="0"/>
    <n v="0"/>
    <m/>
    <m/>
    <m/>
    <m/>
    <m/>
  </r>
  <r>
    <d v="2026-04-21T00:00:00"/>
    <x v="0"/>
    <x v="6"/>
    <s v="NON"/>
    <n v="120"/>
    <s v="NO TAX"/>
    <n v="120"/>
    <m/>
    <m/>
    <m/>
    <m/>
    <n v="0"/>
    <n v="0"/>
    <m/>
    <m/>
    <m/>
    <m/>
    <m/>
  </r>
  <r>
    <d v="2026-04-21T00:00:00"/>
    <x v="0"/>
    <x v="25"/>
    <s v="NON"/>
    <n v="40"/>
    <s v="NO TAX"/>
    <n v="40"/>
    <m/>
    <m/>
    <m/>
    <m/>
    <n v="0"/>
    <n v="0"/>
    <m/>
    <m/>
    <m/>
    <m/>
    <m/>
  </r>
  <r>
    <d v="2026-04-21T00:00:00"/>
    <x v="3"/>
    <x v="8"/>
    <s v="NON"/>
    <n v="4809.8100000000004"/>
    <s v="NO TAX"/>
    <n v="4809.8100000000004"/>
    <m/>
    <m/>
    <m/>
    <m/>
    <n v="0"/>
    <n v="0"/>
    <m/>
    <m/>
    <m/>
    <m/>
    <m/>
  </r>
  <r>
    <d v="2026-04-21T00:00:00"/>
    <x v="0"/>
    <x v="3"/>
    <s v="NON"/>
    <n v="8"/>
    <s v="NO TAX"/>
    <n v="8"/>
    <m/>
    <m/>
    <m/>
    <m/>
    <n v="0"/>
    <n v="0"/>
    <m/>
    <m/>
    <m/>
    <m/>
    <m/>
  </r>
  <r>
    <d v="2026-04-21T00:00:00"/>
    <x v="0"/>
    <x v="17"/>
    <s v="NON"/>
    <n v="500"/>
    <s v="NO TAX"/>
    <n v="500"/>
    <m/>
    <m/>
    <m/>
    <m/>
    <n v="0"/>
    <n v="0"/>
    <m/>
    <m/>
    <m/>
    <m/>
    <m/>
  </r>
  <r>
    <d v="2026-04-21T00:00:00"/>
    <x v="0"/>
    <x v="6"/>
    <s v="NON"/>
    <n v="200"/>
    <s v="NO TAX"/>
    <n v="200"/>
    <m/>
    <m/>
    <m/>
    <m/>
    <n v="0"/>
    <n v="0"/>
    <m/>
    <m/>
    <m/>
    <m/>
    <m/>
  </r>
  <r>
    <d v="2026-04-22T00:00:00"/>
    <x v="0"/>
    <x v="0"/>
    <s v="NON"/>
    <n v="480"/>
    <n v="24"/>
    <n v="504"/>
    <m/>
    <m/>
    <m/>
    <m/>
    <n v="0"/>
    <n v="0"/>
    <m/>
    <m/>
    <m/>
    <m/>
    <m/>
  </r>
  <r>
    <d v="2026-04-22T00:00:00"/>
    <x v="0"/>
    <x v="3"/>
    <s v="NON"/>
    <n v="38"/>
    <s v="NO TAX"/>
    <n v="38"/>
    <m/>
    <m/>
    <m/>
    <m/>
    <n v="0"/>
    <n v="0"/>
    <m/>
    <m/>
    <m/>
    <m/>
    <m/>
  </r>
  <r>
    <d v="2026-04-22T00:00:00"/>
    <x v="0"/>
    <x v="0"/>
    <s v="NON"/>
    <n v="24"/>
    <n v="1.2000000000000002"/>
    <n v="25.2"/>
    <m/>
    <m/>
    <m/>
    <m/>
    <n v="0"/>
    <n v="0"/>
    <m/>
    <m/>
    <m/>
    <m/>
    <m/>
  </r>
  <r>
    <d v="2026-04-22T00:00:00"/>
    <x v="0"/>
    <x v="2"/>
    <s v="NON"/>
    <n v="52"/>
    <s v="NO TAX"/>
    <n v="52"/>
    <m/>
    <m/>
    <m/>
    <m/>
    <n v="0"/>
    <n v="0"/>
    <m/>
    <m/>
    <m/>
    <m/>
    <m/>
  </r>
  <r>
    <d v="2026-04-22T00:00:00"/>
    <x v="0"/>
    <x v="5"/>
    <s v="NON"/>
    <m/>
    <n v="0"/>
    <n v="0"/>
    <n v="100"/>
    <m/>
    <m/>
    <m/>
    <n v="0"/>
    <n v="0"/>
    <m/>
    <m/>
    <m/>
    <m/>
    <m/>
  </r>
  <r>
    <d v="2026-04-22T00:00:00"/>
    <x v="3"/>
    <x v="17"/>
    <s v="NON"/>
    <n v="500"/>
    <s v="NO TAX"/>
    <n v="500"/>
    <m/>
    <m/>
    <m/>
    <m/>
    <n v="0"/>
    <n v="0"/>
    <m/>
    <m/>
    <m/>
    <m/>
    <m/>
  </r>
  <r>
    <d v="2026-04-23T00:00:00"/>
    <x v="0"/>
    <x v="3"/>
    <s v="NON"/>
    <n v="26"/>
    <s v="NO TAX"/>
    <n v="26"/>
    <m/>
    <m/>
    <m/>
    <m/>
    <n v="0"/>
    <n v="0"/>
    <m/>
    <m/>
    <m/>
    <m/>
    <m/>
  </r>
  <r>
    <d v="2026-04-23T00:00:00"/>
    <x v="0"/>
    <x v="2"/>
    <s v="NON"/>
    <n v="55"/>
    <s v="NO TAX"/>
    <n v="55"/>
    <m/>
    <m/>
    <m/>
    <m/>
    <n v="0"/>
    <n v="0"/>
    <m/>
    <m/>
    <m/>
    <m/>
    <m/>
  </r>
  <r>
    <d v="2026-04-23T00:00:00"/>
    <x v="0"/>
    <x v="0"/>
    <s v="NON"/>
    <n v="215"/>
    <n v="10.75"/>
    <n v="225.75"/>
    <m/>
    <m/>
    <m/>
    <m/>
    <n v="0"/>
    <n v="0"/>
    <m/>
    <m/>
    <m/>
    <m/>
    <m/>
  </r>
  <r>
    <d v="2026-04-23T00:00:00"/>
    <x v="0"/>
    <x v="0"/>
    <s v="NON"/>
    <n v="115.2"/>
    <n v="5.7600000000000007"/>
    <n v="120.96000000000001"/>
    <m/>
    <m/>
    <m/>
    <m/>
    <n v="0"/>
    <n v="0"/>
    <m/>
    <m/>
    <m/>
    <m/>
    <m/>
  </r>
  <r>
    <d v="2026-04-24T00:00:00"/>
    <x v="0"/>
    <x v="5"/>
    <s v="NON"/>
    <m/>
    <n v="0"/>
    <n v="0"/>
    <n v="5000"/>
    <m/>
    <m/>
    <m/>
    <n v="0"/>
    <n v="0"/>
    <m/>
    <m/>
    <m/>
    <m/>
    <m/>
  </r>
  <r>
    <d v="2026-04-24T00:00:00"/>
    <x v="7"/>
    <x v="26"/>
    <s v="NON"/>
    <n v="6000"/>
    <s v="NO TAX"/>
    <n v="6000"/>
    <m/>
    <m/>
    <m/>
    <m/>
    <n v="0"/>
    <n v="0"/>
    <m/>
    <m/>
    <m/>
    <m/>
    <m/>
  </r>
  <r>
    <d v="2026-04-24T00:00:00"/>
    <x v="0"/>
    <x v="3"/>
    <s v="NON"/>
    <n v="55"/>
    <s v="NO TAX"/>
    <n v="55"/>
    <m/>
    <m/>
    <m/>
    <m/>
    <n v="0"/>
    <n v="0"/>
    <m/>
    <m/>
    <m/>
    <m/>
    <m/>
  </r>
  <r>
    <d v="2026-04-24T00:00:00"/>
    <x v="0"/>
    <x v="5"/>
    <s v="NON"/>
    <n v="0"/>
    <n v="0"/>
    <n v="0"/>
    <n v="50"/>
    <m/>
    <m/>
    <m/>
    <n v="0"/>
    <n v="0"/>
    <m/>
    <m/>
    <m/>
    <m/>
    <m/>
  </r>
  <r>
    <d v="2026-04-24T00:00:00"/>
    <x v="0"/>
    <x v="2"/>
    <s v="NON"/>
    <n v="21"/>
    <s v="NO TAX"/>
    <n v="21"/>
    <m/>
    <m/>
    <m/>
    <m/>
    <n v="0"/>
    <n v="0"/>
    <m/>
    <m/>
    <m/>
    <m/>
    <m/>
  </r>
  <r>
    <d v="2026-04-24T00:00:00"/>
    <x v="3"/>
    <x v="5"/>
    <s v="NON"/>
    <m/>
    <n v="0"/>
    <n v="0"/>
    <n v="1510"/>
    <m/>
    <m/>
    <m/>
    <n v="0"/>
    <n v="0"/>
    <m/>
    <m/>
    <m/>
    <m/>
    <m/>
  </r>
  <r>
    <d v="2026-04-24T00:00:00"/>
    <x v="1"/>
    <x v="5"/>
    <s v="NON"/>
    <m/>
    <n v="0"/>
    <n v="0"/>
    <n v="5553"/>
    <m/>
    <m/>
    <m/>
    <n v="0"/>
    <n v="0"/>
    <m/>
    <m/>
    <m/>
    <m/>
    <m/>
  </r>
  <r>
    <d v="2026-04-24T00:00:00"/>
    <x v="1"/>
    <x v="5"/>
    <s v="NON"/>
    <m/>
    <n v="0"/>
    <n v="0"/>
    <n v="2300"/>
    <m/>
    <m/>
    <m/>
    <n v="0"/>
    <n v="0"/>
    <m/>
    <m/>
    <m/>
    <m/>
    <m/>
  </r>
  <r>
    <d v="2026-04-25T00:00:00"/>
    <x v="0"/>
    <x v="13"/>
    <s v="NON"/>
    <n v="1000"/>
    <s v="NO TAX"/>
    <n v="1000"/>
    <m/>
    <m/>
    <m/>
    <m/>
    <n v="0"/>
    <n v="0"/>
    <m/>
    <m/>
    <m/>
    <m/>
    <m/>
  </r>
  <r>
    <d v="2026-04-25T00:00:00"/>
    <x v="0"/>
    <x v="3"/>
    <s v="NON"/>
    <n v="37"/>
    <s v="NO TAX"/>
    <n v="37"/>
    <m/>
    <m/>
    <m/>
    <m/>
    <n v="0"/>
    <n v="0"/>
    <m/>
    <m/>
    <m/>
    <m/>
    <m/>
  </r>
  <r>
    <d v="2026-04-25T00:00:00"/>
    <x v="0"/>
    <x v="5"/>
    <s v="NON"/>
    <n v="0"/>
    <n v="0"/>
    <n v="0"/>
    <n v="1000"/>
    <m/>
    <m/>
    <m/>
    <n v="0"/>
    <n v="0"/>
    <m/>
    <m/>
    <m/>
    <m/>
    <m/>
  </r>
  <r>
    <d v="2026-04-25T00:00:00"/>
    <x v="0"/>
    <x v="5"/>
    <s v="NON"/>
    <n v="0"/>
    <n v="0"/>
    <n v="0"/>
    <n v="100"/>
    <m/>
    <m/>
    <m/>
    <n v="0"/>
    <n v="0"/>
    <m/>
    <m/>
    <m/>
    <m/>
    <m/>
  </r>
  <r>
    <d v="2026-04-25T00:00:00"/>
    <x v="0"/>
    <x v="5"/>
    <s v="NON"/>
    <n v="0"/>
    <n v="0"/>
    <n v="0"/>
    <n v="2000"/>
    <m/>
    <m/>
    <m/>
    <n v="0"/>
    <n v="0"/>
    <m/>
    <m/>
    <m/>
    <m/>
    <m/>
  </r>
  <r>
    <d v="2026-04-25T00:00:00"/>
    <x v="0"/>
    <x v="7"/>
    <s v="NON"/>
    <n v="3330"/>
    <s v="NO TAX"/>
    <n v="3330"/>
    <m/>
    <m/>
    <m/>
    <m/>
    <n v="0"/>
    <n v="0"/>
    <m/>
    <m/>
    <m/>
    <m/>
    <m/>
  </r>
  <r>
    <d v="2026-04-25T00:00:00"/>
    <x v="0"/>
    <x v="2"/>
    <s v="NON"/>
    <n v="53"/>
    <s v="NO TAX"/>
    <n v="53"/>
    <m/>
    <m/>
    <m/>
    <m/>
    <n v="0"/>
    <n v="0"/>
    <m/>
    <m/>
    <m/>
    <m/>
    <m/>
  </r>
  <r>
    <d v="2026-04-25T00:00:00"/>
    <x v="0"/>
    <x v="2"/>
    <s v="NON"/>
    <n v="50"/>
    <s v="NO TAX"/>
    <n v="50"/>
    <m/>
    <m/>
    <m/>
    <m/>
    <n v="0"/>
    <n v="0"/>
    <m/>
    <m/>
    <m/>
    <m/>
    <m/>
  </r>
  <r>
    <d v="2026-04-25T00:00:00"/>
    <x v="0"/>
    <x v="6"/>
    <s v="NON"/>
    <n v="140"/>
    <s v="NO TAX"/>
    <n v="140"/>
    <m/>
    <m/>
    <m/>
    <m/>
    <n v="0"/>
    <n v="0"/>
    <m/>
    <m/>
    <m/>
    <m/>
    <m/>
  </r>
  <r>
    <d v="2026-04-25T00:00:00"/>
    <x v="0"/>
    <x v="0"/>
    <s v="NON"/>
    <n v="8.25"/>
    <s v="NO TAX"/>
    <n v="8.25"/>
    <m/>
    <m/>
    <m/>
    <m/>
    <n v="0"/>
    <n v="0"/>
    <m/>
    <m/>
    <m/>
    <m/>
    <m/>
  </r>
  <r>
    <d v="2026-04-25T00:00:00"/>
    <x v="0"/>
    <x v="0"/>
    <s v="NON"/>
    <n v="57.2"/>
    <n v="2.8600000000000003"/>
    <n v="60.06"/>
    <m/>
    <m/>
    <m/>
    <m/>
    <n v="0"/>
    <n v="0"/>
    <m/>
    <m/>
    <m/>
    <m/>
    <m/>
  </r>
  <r>
    <d v="2026-04-25T00:00:00"/>
    <x v="0"/>
    <x v="0"/>
    <s v="NON"/>
    <n v="27"/>
    <n v="1.35"/>
    <n v="28.35"/>
    <m/>
    <m/>
    <m/>
    <m/>
    <n v="0"/>
    <n v="0"/>
    <m/>
    <m/>
    <m/>
    <m/>
    <m/>
  </r>
  <r>
    <d v="2026-04-25T00:00:00"/>
    <x v="0"/>
    <x v="5"/>
    <s v="NON"/>
    <n v="0"/>
    <n v="0"/>
    <n v="0"/>
    <n v="150"/>
    <m/>
    <m/>
    <m/>
    <n v="0"/>
    <n v="0"/>
    <m/>
    <m/>
    <m/>
    <m/>
    <m/>
  </r>
  <r>
    <d v="2026-04-27T00:00:00"/>
    <x v="0"/>
    <x v="0"/>
    <s v="NON"/>
    <n v="692.62"/>
    <n v="34.631"/>
    <n v="727.25099999999998"/>
    <m/>
    <m/>
    <m/>
    <m/>
    <n v="0"/>
    <n v="0"/>
    <m/>
    <m/>
    <m/>
    <m/>
    <m/>
  </r>
  <r>
    <d v="2026-04-27T00:00:00"/>
    <x v="0"/>
    <x v="4"/>
    <s v="NON"/>
    <n v="48"/>
    <s v="NO TAX"/>
    <n v="48"/>
    <m/>
    <m/>
    <m/>
    <m/>
    <n v="0"/>
    <n v="0"/>
    <m/>
    <m/>
    <m/>
    <m/>
    <m/>
  </r>
  <r>
    <d v="2026-04-27T00:00:00"/>
    <x v="0"/>
    <x v="12"/>
    <s v="NON"/>
    <n v="47.62"/>
    <n v="2.3809999999999998"/>
    <n v="50.000999999999998"/>
    <m/>
    <m/>
    <m/>
    <m/>
    <n v="0"/>
    <n v="0"/>
    <m/>
    <m/>
    <m/>
    <m/>
    <m/>
  </r>
  <r>
    <d v="2026-04-27T00:00:00"/>
    <x v="0"/>
    <x v="3"/>
    <s v="NON"/>
    <n v="65"/>
    <s v="NO TAX"/>
    <n v="65"/>
    <m/>
    <m/>
    <m/>
    <m/>
    <n v="0"/>
    <n v="0"/>
    <m/>
    <m/>
    <m/>
    <m/>
    <m/>
  </r>
  <r>
    <d v="2026-04-27T00:00:00"/>
    <x v="0"/>
    <x v="0"/>
    <s v="NON"/>
    <n v="276.19"/>
    <n v="13.8095"/>
    <n v="289.99950000000001"/>
    <m/>
    <m/>
    <m/>
    <m/>
    <n v="0"/>
    <n v="0"/>
    <m/>
    <m/>
    <m/>
    <m/>
    <m/>
  </r>
  <r>
    <d v="2026-04-27T00:00:00"/>
    <x v="0"/>
    <x v="11"/>
    <s v="NON"/>
    <m/>
    <n v="0"/>
    <n v="0"/>
    <m/>
    <m/>
    <n v="14000"/>
    <m/>
    <n v="0"/>
    <n v="0"/>
    <m/>
    <m/>
    <m/>
    <m/>
    <m/>
  </r>
  <r>
    <d v="2026-04-27T00:00:00"/>
    <x v="0"/>
    <x v="23"/>
    <s v="NON"/>
    <m/>
    <n v="0"/>
    <n v="0"/>
    <m/>
    <m/>
    <m/>
    <m/>
    <n v="0"/>
    <n v="0"/>
    <m/>
    <m/>
    <n v="4200"/>
    <m/>
    <m/>
  </r>
  <r>
    <d v="2026-04-28T00:00:00"/>
    <x v="0"/>
    <x v="27"/>
    <s v="NON"/>
    <n v="2355"/>
    <s v="NO TAX"/>
    <n v="2355"/>
    <m/>
    <m/>
    <m/>
    <m/>
    <n v="0"/>
    <n v="0"/>
    <m/>
    <m/>
    <m/>
    <m/>
    <m/>
  </r>
  <r>
    <d v="2026-04-28T00:00:00"/>
    <x v="0"/>
    <x v="6"/>
    <s v="NON"/>
    <n v="280"/>
    <s v="NO TAX"/>
    <n v="280"/>
    <m/>
    <m/>
    <m/>
    <m/>
    <n v="0"/>
    <n v="0"/>
    <m/>
    <m/>
    <m/>
    <m/>
    <m/>
  </r>
  <r>
    <d v="2026-04-28T00:00:00"/>
    <x v="0"/>
    <x v="28"/>
    <s v="NON"/>
    <n v="0"/>
    <n v="0"/>
    <n v="0"/>
    <m/>
    <m/>
    <n v="400"/>
    <m/>
    <n v="0"/>
    <n v="0"/>
    <m/>
    <m/>
    <m/>
    <m/>
    <m/>
  </r>
  <r>
    <d v="2026-04-28T00:00:00"/>
    <x v="0"/>
    <x v="14"/>
    <s v="NON"/>
    <n v="190"/>
    <n v="9.5"/>
    <n v="199.5"/>
    <m/>
    <m/>
    <m/>
    <m/>
    <n v="0"/>
    <n v="0"/>
    <m/>
    <m/>
    <m/>
    <m/>
    <m/>
  </r>
  <r>
    <d v="2026-04-28T00:00:00"/>
    <x v="0"/>
    <x v="5"/>
    <s v="NON"/>
    <m/>
    <n v="0"/>
    <n v="0"/>
    <n v="50"/>
    <m/>
    <m/>
    <m/>
    <n v="0"/>
    <n v="0"/>
    <m/>
    <m/>
    <m/>
    <m/>
    <m/>
  </r>
  <r>
    <d v="2026-04-28T00:00:00"/>
    <x v="0"/>
    <x v="2"/>
    <s v="NON"/>
    <n v="459"/>
    <s v="NO TAX"/>
    <n v="459"/>
    <m/>
    <m/>
    <m/>
    <m/>
    <n v="0"/>
    <n v="0"/>
    <m/>
    <m/>
    <m/>
    <m/>
    <m/>
  </r>
  <r>
    <d v="2026-04-28T00:00:00"/>
    <x v="0"/>
    <x v="3"/>
    <s v="NON"/>
    <n v="48"/>
    <s v="NO TAX"/>
    <n v="48"/>
    <m/>
    <m/>
    <m/>
    <m/>
    <n v="0"/>
    <n v="0"/>
    <m/>
    <m/>
    <m/>
    <m/>
    <m/>
  </r>
  <r>
    <d v="2026-04-28T00:00:00"/>
    <x v="3"/>
    <x v="0"/>
    <s v="NON"/>
    <n v="3777"/>
    <s v="NO TAX"/>
    <n v="3777"/>
    <m/>
    <m/>
    <m/>
    <m/>
    <n v="0"/>
    <n v="0"/>
    <m/>
    <m/>
    <m/>
    <m/>
    <m/>
  </r>
  <r>
    <d v="2026-04-28T00:00:00"/>
    <x v="3"/>
    <x v="24"/>
    <s v="NON"/>
    <n v="181.85"/>
    <s v="NO TAX"/>
    <n v="181.85"/>
    <m/>
    <m/>
    <m/>
    <m/>
    <n v="0"/>
    <n v="0"/>
    <m/>
    <m/>
    <m/>
    <m/>
    <m/>
  </r>
  <r>
    <d v="2026-04-29T00:00:00"/>
    <x v="0"/>
    <x v="6"/>
    <s v="NON"/>
    <n v="140"/>
    <s v="NO TAX"/>
    <n v="140"/>
    <m/>
    <m/>
    <m/>
    <m/>
    <n v="0"/>
    <n v="0"/>
    <m/>
    <m/>
    <m/>
    <m/>
    <m/>
  </r>
  <r>
    <d v="2026-04-29T00:00:00"/>
    <x v="0"/>
    <x v="1"/>
    <s v="NON"/>
    <n v="10"/>
    <s v="NO TAX"/>
    <n v="10"/>
    <m/>
    <m/>
    <m/>
    <m/>
    <n v="0"/>
    <n v="0"/>
    <m/>
    <m/>
    <m/>
    <m/>
    <m/>
  </r>
  <r>
    <d v="2026-04-29T00:00:00"/>
    <x v="0"/>
    <x v="5"/>
    <s v="NON"/>
    <m/>
    <n v="0"/>
    <n v="0"/>
    <n v="50"/>
    <m/>
    <m/>
    <m/>
    <n v="0"/>
    <n v="0"/>
    <m/>
    <m/>
    <m/>
    <m/>
    <m/>
  </r>
  <r>
    <d v="2026-04-29T00:00:00"/>
    <x v="0"/>
    <x v="5"/>
    <s v="NON"/>
    <m/>
    <n v="0"/>
    <n v="0"/>
    <n v="50"/>
    <m/>
    <m/>
    <m/>
    <n v="0"/>
    <n v="0"/>
    <m/>
    <m/>
    <m/>
    <m/>
    <m/>
  </r>
  <r>
    <d v="2026-04-29T00:00:00"/>
    <x v="0"/>
    <x v="11"/>
    <s v="NON"/>
    <m/>
    <n v="0"/>
    <n v="0"/>
    <m/>
    <m/>
    <n v="5000"/>
    <m/>
    <n v="0"/>
    <n v="0"/>
    <m/>
    <m/>
    <m/>
    <m/>
    <m/>
  </r>
  <r>
    <d v="2026-04-29T00:00:00"/>
    <x v="0"/>
    <x v="48"/>
    <s v="NON"/>
    <m/>
    <n v="0"/>
    <n v="0"/>
    <m/>
    <m/>
    <m/>
    <m/>
    <n v="0"/>
    <n v="0"/>
    <m/>
    <m/>
    <n v="1000"/>
    <m/>
    <m/>
  </r>
  <r>
    <d v="2026-04-30T00:00:00"/>
    <x v="0"/>
    <x v="48"/>
    <s v="NON"/>
    <m/>
    <n v="0"/>
    <n v="0"/>
    <m/>
    <m/>
    <m/>
    <m/>
    <n v="0"/>
    <n v="0"/>
    <m/>
    <m/>
    <n v="7000"/>
    <m/>
    <m/>
  </r>
  <r>
    <d v="2026-04-30T00:00:00"/>
    <x v="0"/>
    <x v="0"/>
    <s v="NON"/>
    <m/>
    <n v="0"/>
    <n v="0"/>
    <m/>
    <m/>
    <m/>
    <m/>
    <n v="0"/>
    <n v="0"/>
    <n v="1135"/>
    <m/>
    <m/>
    <m/>
    <m/>
  </r>
  <r>
    <d v="2026-04-30T00:00:00"/>
    <x v="0"/>
    <x v="7"/>
    <s v="NON"/>
    <n v="3900"/>
    <s v="NO TAX"/>
    <n v="3900"/>
    <m/>
    <m/>
    <m/>
    <m/>
    <n v="0"/>
    <n v="0"/>
    <m/>
    <m/>
    <m/>
    <m/>
    <m/>
  </r>
  <r>
    <d v="2026-04-30T00:00:00"/>
    <x v="0"/>
    <x v="2"/>
    <s v="NON"/>
    <n v="350"/>
    <s v="NO TAX"/>
    <n v="350"/>
    <m/>
    <m/>
    <m/>
    <m/>
    <n v="0"/>
    <n v="0"/>
    <m/>
    <m/>
    <m/>
    <m/>
    <m/>
  </r>
  <r>
    <d v="2026-04-30T00:00:00"/>
    <x v="3"/>
    <x v="8"/>
    <s v="NON"/>
    <n v="1556"/>
    <s v="NO TAX"/>
    <n v="1556"/>
    <m/>
    <m/>
    <m/>
    <m/>
    <n v="0"/>
    <n v="0"/>
    <m/>
    <m/>
    <m/>
    <m/>
    <m/>
  </r>
  <r>
    <d v="2026-04-30T00:00:00"/>
    <x v="11"/>
    <x v="10"/>
    <s v="NON"/>
    <n v="1010"/>
    <s v="NO TAX"/>
    <n v="1010"/>
    <m/>
    <m/>
    <m/>
    <m/>
    <n v="0"/>
    <n v="0"/>
    <m/>
    <m/>
    <m/>
    <m/>
    <m/>
  </r>
  <r>
    <d v="2026-04-30T00:00:00"/>
    <x v="11"/>
    <x v="10"/>
    <s v="NON"/>
    <n v="580"/>
    <s v="NO TAX"/>
    <n v="580"/>
    <m/>
    <m/>
    <m/>
    <m/>
    <n v="0"/>
    <n v="0"/>
    <m/>
    <m/>
    <m/>
    <m/>
    <m/>
  </r>
  <r>
    <d v="2026-04-30T00:00:00"/>
    <x v="11"/>
    <x v="10"/>
    <s v="NON"/>
    <n v="293"/>
    <s v="NO TAX"/>
    <n v="293"/>
    <m/>
    <m/>
    <m/>
    <m/>
    <n v="0"/>
    <n v="0"/>
    <m/>
    <m/>
    <m/>
    <m/>
    <m/>
  </r>
  <r>
    <d v="2026-04-30T00:00:00"/>
    <x v="3"/>
    <x v="5"/>
    <s v="NON"/>
    <m/>
    <n v="0"/>
    <n v="0"/>
    <n v="910.39"/>
    <m/>
    <m/>
    <m/>
    <n v="0"/>
    <n v="0"/>
    <m/>
    <m/>
    <m/>
    <m/>
    <m/>
  </r>
  <r>
    <d v="2026-04-30T00:00:00"/>
    <x v="9"/>
    <x v="49"/>
    <s v="NON"/>
    <n v="1000"/>
    <s v="NO TAX"/>
    <n v="1000"/>
    <m/>
    <m/>
    <m/>
    <m/>
    <n v="0"/>
    <n v="0"/>
    <m/>
    <m/>
    <m/>
    <m/>
    <m/>
  </r>
  <r>
    <d v="2026-04-30T00:00:00"/>
    <x v="11"/>
    <x v="10"/>
    <s v="NON"/>
    <n v="1232"/>
    <s v="NO TAX"/>
    <n v="1232"/>
    <m/>
    <m/>
    <m/>
    <m/>
    <n v="0"/>
    <n v="0"/>
    <m/>
    <m/>
    <m/>
    <m/>
    <m/>
  </r>
  <r>
    <d v="2026-04-30T00:00:00"/>
    <x v="10"/>
    <x v="2"/>
    <s v="NON"/>
    <n v="5800"/>
    <s v="NO TAX"/>
    <n v="5800"/>
    <m/>
    <m/>
    <m/>
    <m/>
    <n v="0"/>
    <n v="0"/>
    <m/>
    <m/>
    <m/>
    <m/>
    <m/>
  </r>
  <r>
    <d v="2026-03-02T00:00:00"/>
    <x v="0"/>
    <x v="5"/>
    <s v="NON"/>
    <n v="0"/>
    <n v="0"/>
    <n v="0"/>
    <n v="100"/>
    <m/>
    <m/>
    <m/>
    <n v="0"/>
    <n v="0"/>
    <m/>
    <m/>
    <m/>
    <m/>
    <m/>
  </r>
  <r>
    <d v="2026-03-02T00:00:00"/>
    <x v="0"/>
    <x v="0"/>
    <s v="NON"/>
    <n v="980"/>
    <n v="49"/>
    <n v="1029"/>
    <m/>
    <m/>
    <m/>
    <m/>
    <n v="0"/>
    <n v="0"/>
    <m/>
    <m/>
    <m/>
    <m/>
    <m/>
  </r>
  <r>
    <d v="2026-03-02T00:00:00"/>
    <x v="0"/>
    <x v="2"/>
    <s v="NON"/>
    <n v="18230"/>
    <s v="NO TAX"/>
    <n v="18230"/>
    <m/>
    <m/>
    <m/>
    <m/>
    <n v="0"/>
    <n v="0"/>
    <m/>
    <m/>
    <m/>
    <m/>
    <m/>
  </r>
  <r>
    <d v="2026-03-02T00:00:00"/>
    <x v="0"/>
    <x v="6"/>
    <s v="NON"/>
    <n v="260"/>
    <s v="NO TAX"/>
    <n v="260"/>
    <m/>
    <m/>
    <m/>
    <m/>
    <n v="0"/>
    <n v="0"/>
    <m/>
    <m/>
    <m/>
    <m/>
    <m/>
  </r>
  <r>
    <d v="2026-03-02T00:00:00"/>
    <x v="0"/>
    <x v="38"/>
    <s v="NON"/>
    <m/>
    <n v="0"/>
    <n v="0"/>
    <m/>
    <m/>
    <n v="7420"/>
    <m/>
    <n v="0"/>
    <n v="0"/>
    <m/>
    <m/>
    <m/>
    <m/>
    <m/>
  </r>
  <r>
    <d v="2026-03-02T00:00:00"/>
    <x v="0"/>
    <x v="5"/>
    <s v="NON"/>
    <m/>
    <n v="0"/>
    <n v="0"/>
    <n v="10020"/>
    <m/>
    <m/>
    <m/>
    <n v="0"/>
    <n v="0"/>
    <m/>
    <m/>
    <m/>
    <m/>
    <m/>
  </r>
  <r>
    <d v="2026-03-02T00:00:00"/>
    <x v="0"/>
    <x v="28"/>
    <s v="NON"/>
    <m/>
    <n v="0"/>
    <n v="0"/>
    <m/>
    <m/>
    <n v="900"/>
    <m/>
    <n v="0"/>
    <n v="0"/>
    <m/>
    <m/>
    <m/>
    <m/>
    <m/>
  </r>
  <r>
    <d v="2026-03-02T00:00:00"/>
    <x v="5"/>
    <x v="50"/>
    <s v="NON"/>
    <n v="790.13"/>
    <s v="NO TAX"/>
    <n v="790.13"/>
    <m/>
    <m/>
    <m/>
    <m/>
    <n v="0"/>
    <n v="0"/>
    <m/>
    <m/>
    <m/>
    <m/>
    <m/>
  </r>
  <r>
    <d v="2026-03-03T00:00:00"/>
    <x v="0"/>
    <x v="12"/>
    <s v="NON"/>
    <n v="47.62"/>
    <n v="2.3809999999999998"/>
    <n v="50.000999999999998"/>
    <m/>
    <m/>
    <m/>
    <m/>
    <n v="0"/>
    <n v="0"/>
    <m/>
    <m/>
    <m/>
    <m/>
    <m/>
  </r>
  <r>
    <d v="2026-03-03T00:00:00"/>
    <x v="0"/>
    <x v="26"/>
    <s v="NON"/>
    <n v="6000"/>
    <s v="NO TAX"/>
    <n v="6000"/>
    <m/>
    <m/>
    <m/>
    <m/>
    <n v="0"/>
    <n v="0"/>
    <m/>
    <m/>
    <m/>
    <m/>
    <m/>
  </r>
  <r>
    <d v="2026-03-03T00:00:00"/>
    <x v="0"/>
    <x v="2"/>
    <s v="NON"/>
    <n v="69.5"/>
    <s v="NO TAX"/>
    <n v="69.5"/>
    <m/>
    <m/>
    <m/>
    <m/>
    <n v="0"/>
    <n v="0"/>
    <m/>
    <m/>
    <m/>
    <m/>
    <m/>
  </r>
  <r>
    <d v="2026-03-04T00:00:00"/>
    <x v="0"/>
    <x v="12"/>
    <s v="NON"/>
    <n v="47.62"/>
    <n v="2.3809999999999998"/>
    <n v="50.000999999999998"/>
    <m/>
    <m/>
    <m/>
    <m/>
    <n v="0"/>
    <n v="0"/>
    <m/>
    <m/>
    <m/>
    <m/>
    <m/>
  </r>
  <r>
    <d v="2026-03-04T00:00:00"/>
    <x v="0"/>
    <x v="0"/>
    <s v="NON"/>
    <n v="1250"/>
    <n v="62.5"/>
    <n v="1312.5"/>
    <m/>
    <m/>
    <m/>
    <m/>
    <n v="0"/>
    <n v="0"/>
    <m/>
    <m/>
    <m/>
    <m/>
    <m/>
  </r>
  <r>
    <d v="2026-03-04T00:00:00"/>
    <x v="0"/>
    <x v="7"/>
    <s v="NON"/>
    <n v="176311"/>
    <s v="NO TAX"/>
    <n v="176311"/>
    <m/>
    <m/>
    <m/>
    <m/>
    <n v="0"/>
    <n v="0"/>
    <m/>
    <m/>
    <m/>
    <m/>
    <m/>
  </r>
  <r>
    <d v="2026-03-04T00:00:00"/>
    <x v="0"/>
    <x v="6"/>
    <s v="NON"/>
    <n v="100"/>
    <s v="NO TAX"/>
    <n v="100"/>
    <m/>
    <m/>
    <m/>
    <m/>
    <n v="0"/>
    <n v="0"/>
    <m/>
    <m/>
    <m/>
    <m/>
    <m/>
  </r>
  <r>
    <d v="2026-03-04T00:00:00"/>
    <x v="0"/>
    <x v="51"/>
    <s v="NON"/>
    <n v="498.75"/>
    <s v="NO TAX"/>
    <n v="498.75"/>
    <m/>
    <m/>
    <m/>
    <m/>
    <n v="0"/>
    <n v="0"/>
    <m/>
    <m/>
    <m/>
    <m/>
    <m/>
  </r>
  <r>
    <d v="2026-03-04T00:00:00"/>
    <x v="3"/>
    <x v="52"/>
    <s v="NON"/>
    <n v="885"/>
    <s v="NO TAX"/>
    <n v="885"/>
    <m/>
    <m/>
    <m/>
    <m/>
    <n v="0"/>
    <n v="0"/>
    <m/>
    <m/>
    <m/>
    <m/>
    <m/>
  </r>
  <r>
    <d v="2026-03-05T00:00:00"/>
    <x v="0"/>
    <x v="5"/>
    <s v="NON"/>
    <m/>
    <n v="0"/>
    <n v="0"/>
    <n v="500"/>
    <m/>
    <m/>
    <m/>
    <n v="0"/>
    <n v="0"/>
    <m/>
    <m/>
    <m/>
    <m/>
    <m/>
  </r>
  <r>
    <d v="2026-03-05T00:00:00"/>
    <x v="0"/>
    <x v="7"/>
    <s v="NON"/>
    <n v="270"/>
    <s v="NO TAX"/>
    <n v="270"/>
    <m/>
    <m/>
    <m/>
    <m/>
    <n v="0"/>
    <n v="0"/>
    <m/>
    <m/>
    <m/>
    <m/>
    <m/>
  </r>
  <r>
    <d v="2026-03-05T00:00:00"/>
    <x v="0"/>
    <x v="7"/>
    <s v="NON"/>
    <n v="285"/>
    <s v="NO TAX"/>
    <n v="285"/>
    <m/>
    <m/>
    <m/>
    <m/>
    <n v="0"/>
    <n v="0"/>
    <m/>
    <m/>
    <m/>
    <m/>
    <m/>
  </r>
  <r>
    <d v="2026-03-05T00:00:00"/>
    <x v="0"/>
    <x v="0"/>
    <s v="NON"/>
    <n v="11.5"/>
    <s v="NO TAX"/>
    <n v="11.5"/>
    <m/>
    <m/>
    <m/>
    <m/>
    <n v="0"/>
    <n v="0"/>
    <m/>
    <m/>
    <m/>
    <m/>
    <m/>
  </r>
  <r>
    <d v="2026-03-05T00:00:00"/>
    <x v="3"/>
    <x v="17"/>
    <s v="NON"/>
    <n v="500"/>
    <s v="NO TAX"/>
    <n v="500"/>
    <m/>
    <m/>
    <m/>
    <m/>
    <n v="0"/>
    <n v="0"/>
    <m/>
    <m/>
    <m/>
    <m/>
    <m/>
  </r>
  <r>
    <d v="2026-03-05T00:00:00"/>
    <x v="3"/>
    <x v="52"/>
    <s v="NON"/>
    <n v="485"/>
    <s v="NO TAX"/>
    <n v="485"/>
    <m/>
    <m/>
    <m/>
    <m/>
    <n v="0"/>
    <n v="0"/>
    <m/>
    <m/>
    <m/>
    <m/>
    <m/>
  </r>
  <r>
    <d v="2026-03-06T00:00:00"/>
    <x v="0"/>
    <x v="2"/>
    <s v="NON"/>
    <n v="240"/>
    <s v="NO TAX"/>
    <n v="240"/>
    <m/>
    <m/>
    <m/>
    <m/>
    <n v="0"/>
    <n v="0"/>
    <m/>
    <m/>
    <m/>
    <m/>
    <m/>
  </r>
  <r>
    <d v="2026-03-06T00:00:00"/>
    <x v="0"/>
    <x v="2"/>
    <s v="NON"/>
    <n v="55"/>
    <s v="NO TAX"/>
    <n v="55"/>
    <m/>
    <m/>
    <m/>
    <m/>
    <n v="0"/>
    <n v="0"/>
    <m/>
    <m/>
    <m/>
    <m/>
    <m/>
  </r>
  <r>
    <d v="2026-03-07T00:00:00"/>
    <x v="0"/>
    <x v="6"/>
    <s v="NON"/>
    <n v="100"/>
    <s v="NO TAX"/>
    <n v="100"/>
    <m/>
    <m/>
    <m/>
    <m/>
    <n v="0"/>
    <n v="0"/>
    <m/>
    <m/>
    <m/>
    <m/>
    <m/>
  </r>
  <r>
    <d v="2026-03-07T00:00:00"/>
    <x v="0"/>
    <x v="13"/>
    <s v="NON"/>
    <n v="10000"/>
    <s v="NO TAX"/>
    <n v="10000"/>
    <m/>
    <m/>
    <m/>
    <m/>
    <n v="0"/>
    <n v="0"/>
    <m/>
    <m/>
    <m/>
    <m/>
    <m/>
  </r>
  <r>
    <d v="2026-03-07T00:00:00"/>
    <x v="0"/>
    <x v="11"/>
    <s v="NON"/>
    <m/>
    <n v="0"/>
    <n v="0"/>
    <m/>
    <m/>
    <n v="500"/>
    <m/>
    <n v="0"/>
    <n v="0"/>
    <m/>
    <m/>
    <m/>
    <m/>
    <m/>
  </r>
  <r>
    <d v="2026-03-07T00:00:00"/>
    <x v="0"/>
    <x v="17"/>
    <s v="NON"/>
    <n v="500"/>
    <s v="NO TAX"/>
    <n v="500"/>
    <m/>
    <m/>
    <m/>
    <m/>
    <n v="0"/>
    <n v="0"/>
    <m/>
    <m/>
    <m/>
    <m/>
    <m/>
  </r>
  <r>
    <d v="2026-03-07T00:00:00"/>
    <x v="0"/>
    <x v="6"/>
    <s v="NON"/>
    <n v="250"/>
    <s v="NO TAX"/>
    <n v="250"/>
    <m/>
    <m/>
    <m/>
    <m/>
    <n v="0"/>
    <n v="0"/>
    <m/>
    <m/>
    <m/>
    <m/>
    <m/>
  </r>
  <r>
    <d v="2026-03-07T00:00:00"/>
    <x v="0"/>
    <x v="7"/>
    <s v="NON"/>
    <n v="2000"/>
    <s v="NO TAX"/>
    <n v="2000"/>
    <m/>
    <m/>
    <m/>
    <m/>
    <n v="0"/>
    <n v="0"/>
    <m/>
    <m/>
    <m/>
    <m/>
    <m/>
  </r>
  <r>
    <d v="2026-03-07T00:00:00"/>
    <x v="0"/>
    <x v="53"/>
    <s v="NON"/>
    <n v="4000"/>
    <n v="200"/>
    <n v="4200"/>
    <m/>
    <m/>
    <m/>
    <m/>
    <n v="0"/>
    <n v="0"/>
    <m/>
    <m/>
    <m/>
    <m/>
    <m/>
  </r>
  <r>
    <d v="2026-03-09T00:00:00"/>
    <x v="0"/>
    <x v="4"/>
    <s v="NON"/>
    <n v="26.75"/>
    <s v="NO TAX"/>
    <n v="26.75"/>
    <m/>
    <m/>
    <m/>
    <m/>
    <n v="0"/>
    <n v="0"/>
    <m/>
    <m/>
    <m/>
    <m/>
    <m/>
  </r>
  <r>
    <d v="2026-03-09T00:00:00"/>
    <x v="0"/>
    <x v="5"/>
    <s v="NON"/>
    <m/>
    <n v="0"/>
    <n v="0"/>
    <n v="5675"/>
    <m/>
    <m/>
    <m/>
    <n v="0"/>
    <n v="0"/>
    <m/>
    <m/>
    <m/>
    <m/>
    <m/>
  </r>
  <r>
    <d v="2026-03-09T00:00:00"/>
    <x v="0"/>
    <x v="0"/>
    <s v="NON"/>
    <n v="1100"/>
    <n v="55"/>
    <n v="1155"/>
    <m/>
    <m/>
    <m/>
    <m/>
    <n v="0"/>
    <n v="0"/>
    <m/>
    <m/>
    <m/>
    <m/>
    <m/>
  </r>
  <r>
    <d v="2026-03-09T00:00:00"/>
    <x v="0"/>
    <x v="0"/>
    <s v="NON"/>
    <n v="175"/>
    <n v="8.75"/>
    <n v="183.75"/>
    <m/>
    <m/>
    <m/>
    <m/>
    <n v="0"/>
    <n v="0"/>
    <m/>
    <m/>
    <m/>
    <m/>
    <m/>
  </r>
  <r>
    <d v="2026-03-09T00:00:00"/>
    <x v="0"/>
    <x v="0"/>
    <s v="NON"/>
    <n v="75"/>
    <n v="3.75"/>
    <n v="78.75"/>
    <m/>
    <m/>
    <m/>
    <m/>
    <n v="0"/>
    <n v="0"/>
    <m/>
    <m/>
    <m/>
    <m/>
    <m/>
  </r>
  <r>
    <d v="2026-03-09T00:00:00"/>
    <x v="0"/>
    <x v="12"/>
    <s v="NON"/>
    <n v="47.62"/>
    <n v="2.3809999999999998"/>
    <n v="50.000999999999998"/>
    <m/>
    <m/>
    <m/>
    <m/>
    <n v="0"/>
    <n v="0"/>
    <m/>
    <m/>
    <m/>
    <m/>
    <m/>
  </r>
  <r>
    <d v="2026-03-09T00:00:00"/>
    <x v="6"/>
    <x v="29"/>
    <s v="NON"/>
    <m/>
    <n v="0"/>
    <n v="0"/>
    <m/>
    <m/>
    <m/>
    <n v="5564.35"/>
    <s v="NO TAX"/>
    <n v="5564.35"/>
    <m/>
    <m/>
    <m/>
    <m/>
    <m/>
  </r>
  <r>
    <d v="2026-03-09T00:00:00"/>
    <x v="6"/>
    <x v="35"/>
    <s v="NON"/>
    <n v="64.94"/>
    <s v="NO TAX"/>
    <n v="64.94"/>
    <m/>
    <m/>
    <m/>
    <m/>
    <n v="0"/>
    <n v="0"/>
    <m/>
    <m/>
    <m/>
    <m/>
    <m/>
  </r>
  <r>
    <d v="2026-03-09T00:00:00"/>
    <x v="6"/>
    <x v="29"/>
    <s v="NON"/>
    <m/>
    <n v="0"/>
    <n v="0"/>
    <m/>
    <m/>
    <m/>
    <n v="5144.9399999999996"/>
    <s v="NO TAX"/>
    <n v="5144.9399999999996"/>
    <m/>
    <m/>
    <m/>
    <m/>
    <m/>
  </r>
  <r>
    <d v="2026-03-09T00:00:00"/>
    <x v="6"/>
    <x v="35"/>
    <s v="NON"/>
    <n v="96.71"/>
    <s v="NO TAX"/>
    <n v="96.71"/>
    <m/>
    <m/>
    <m/>
    <m/>
    <n v="0"/>
    <n v="0"/>
    <m/>
    <m/>
    <m/>
    <m/>
    <m/>
  </r>
  <r>
    <d v="2026-03-10T00:00:00"/>
    <x v="0"/>
    <x v="0"/>
    <s v="NON"/>
    <n v="23.81"/>
    <n v="1.1904999999999999"/>
    <n v="25.000499999999999"/>
    <m/>
    <m/>
    <m/>
    <m/>
    <n v="0"/>
    <n v="0"/>
    <m/>
    <m/>
    <m/>
    <m/>
    <m/>
  </r>
  <r>
    <d v="2026-03-11T00:00:00"/>
    <x v="0"/>
    <x v="0"/>
    <s v="NON"/>
    <n v="45"/>
    <n v="2.25"/>
    <n v="47.25"/>
    <m/>
    <m/>
    <m/>
    <m/>
    <n v="0"/>
    <n v="0"/>
    <m/>
    <m/>
    <m/>
    <m/>
    <m/>
  </r>
  <r>
    <d v="2026-03-11T00:00:00"/>
    <x v="0"/>
    <x v="2"/>
    <s v="NON"/>
    <n v="36"/>
    <s v="NO TAX"/>
    <n v="36"/>
    <m/>
    <m/>
    <m/>
    <m/>
    <n v="0"/>
    <n v="0"/>
    <m/>
    <m/>
    <m/>
    <m/>
    <m/>
  </r>
  <r>
    <d v="2026-03-11T00:00:00"/>
    <x v="0"/>
    <x v="0"/>
    <s v="NON"/>
    <n v="20"/>
    <s v="NO TAX"/>
    <n v="20"/>
    <m/>
    <m/>
    <m/>
    <m/>
    <n v="0"/>
    <n v="0"/>
    <m/>
    <m/>
    <m/>
    <m/>
    <m/>
  </r>
  <r>
    <d v="2026-03-12T00:00:00"/>
    <x v="0"/>
    <x v="20"/>
    <s v="NON"/>
    <n v="1100"/>
    <s v="NO TAX"/>
    <n v="1100"/>
    <m/>
    <m/>
    <m/>
    <m/>
    <n v="0"/>
    <n v="0"/>
    <m/>
    <m/>
    <m/>
    <m/>
    <m/>
  </r>
  <r>
    <d v="2026-03-12T00:00:00"/>
    <x v="0"/>
    <x v="6"/>
    <s v="NON"/>
    <n v="100"/>
    <s v="NO TAX"/>
    <n v="100"/>
    <m/>
    <m/>
    <m/>
    <m/>
    <n v="0"/>
    <n v="0"/>
    <m/>
    <m/>
    <m/>
    <m/>
    <m/>
  </r>
  <r>
    <d v="2026-03-12T00:00:00"/>
    <x v="0"/>
    <x v="0"/>
    <s v="NON"/>
    <n v="18"/>
    <s v="NO TAX"/>
    <n v="18"/>
    <m/>
    <m/>
    <m/>
    <m/>
    <n v="0"/>
    <n v="0"/>
    <m/>
    <m/>
    <m/>
    <m/>
    <m/>
  </r>
  <r>
    <d v="2026-03-13T00:00:00"/>
    <x v="0"/>
    <x v="2"/>
    <s v="NON"/>
    <n v="55"/>
    <s v="NO TAX"/>
    <n v="55"/>
    <m/>
    <m/>
    <m/>
    <m/>
    <n v="0"/>
    <n v="0"/>
    <m/>
    <m/>
    <m/>
    <m/>
    <m/>
  </r>
  <r>
    <d v="2026-03-13T00:00:00"/>
    <x v="0"/>
    <x v="4"/>
    <s v="NON"/>
    <n v="60"/>
    <s v="NO TAX"/>
    <n v="60"/>
    <m/>
    <m/>
    <m/>
    <m/>
    <n v="0"/>
    <n v="0"/>
    <m/>
    <m/>
    <m/>
    <m/>
    <m/>
  </r>
  <r>
    <d v="2026-03-13T00:00:00"/>
    <x v="0"/>
    <x v="16"/>
    <s v="NON"/>
    <n v="3900"/>
    <s v="NO TAX"/>
    <n v="3900"/>
    <m/>
    <m/>
    <m/>
    <m/>
    <n v="0"/>
    <n v="0"/>
    <m/>
    <m/>
    <m/>
    <m/>
    <m/>
  </r>
  <r>
    <d v="2026-03-13T00:00:00"/>
    <x v="0"/>
    <x v="7"/>
    <s v="NON"/>
    <n v="1300"/>
    <s v="NO TAX"/>
    <n v="1300"/>
    <m/>
    <m/>
    <m/>
    <m/>
    <n v="0"/>
    <n v="0"/>
    <m/>
    <m/>
    <m/>
    <m/>
    <m/>
  </r>
  <r>
    <d v="2026-03-13T00:00:00"/>
    <x v="0"/>
    <x v="5"/>
    <s v="NON"/>
    <m/>
    <n v="0"/>
    <n v="0"/>
    <n v="1800"/>
    <m/>
    <m/>
    <m/>
    <n v="0"/>
    <n v="0"/>
    <m/>
    <m/>
    <m/>
    <m/>
    <m/>
  </r>
  <r>
    <d v="2026-03-13T00:00:00"/>
    <x v="0"/>
    <x v="0"/>
    <s v="NON"/>
    <n v="15"/>
    <s v="NO TAX"/>
    <n v="15"/>
    <m/>
    <m/>
    <m/>
    <m/>
    <n v="0"/>
    <n v="0"/>
    <m/>
    <m/>
    <m/>
    <m/>
    <m/>
  </r>
  <r>
    <d v="2026-03-13T00:00:00"/>
    <x v="0"/>
    <x v="0"/>
    <s v="NON"/>
    <n v="132"/>
    <n v="6"/>
    <n v="138"/>
    <m/>
    <m/>
    <m/>
    <m/>
    <n v="0"/>
    <n v="0"/>
    <m/>
    <m/>
    <m/>
    <m/>
    <m/>
  </r>
  <r>
    <d v="2026-03-13T00:00:00"/>
    <x v="0"/>
    <x v="5"/>
    <s v="NON"/>
    <m/>
    <n v="0"/>
    <n v="0"/>
    <n v="50"/>
    <m/>
    <m/>
    <m/>
    <n v="0"/>
    <n v="0"/>
    <m/>
    <m/>
    <m/>
    <m/>
    <m/>
  </r>
  <r>
    <d v="2026-03-13T00:00:00"/>
    <x v="0"/>
    <x v="54"/>
    <s v="NON"/>
    <n v="1155"/>
    <s v="NO TAX"/>
    <n v="1155"/>
    <m/>
    <m/>
    <m/>
    <m/>
    <n v="0"/>
    <n v="0"/>
    <m/>
    <m/>
    <m/>
    <m/>
    <m/>
  </r>
  <r>
    <d v="2026-03-14T00:00:00"/>
    <x v="0"/>
    <x v="2"/>
    <s v="NON"/>
    <n v="16"/>
    <s v="NO TAX"/>
    <n v="16"/>
    <m/>
    <m/>
    <m/>
    <m/>
    <n v="0"/>
    <n v="0"/>
    <m/>
    <m/>
    <m/>
    <m/>
    <m/>
  </r>
  <r>
    <d v="2026-03-14T00:00:00"/>
    <x v="0"/>
    <x v="5"/>
    <s v="NON"/>
    <m/>
    <n v="0"/>
    <n v="0"/>
    <n v="50"/>
    <m/>
    <m/>
    <m/>
    <n v="0"/>
    <n v="0"/>
    <m/>
    <m/>
    <m/>
    <m/>
    <m/>
  </r>
  <r>
    <d v="2026-03-14T00:00:00"/>
    <x v="0"/>
    <x v="5"/>
    <s v="NON"/>
    <m/>
    <n v="0"/>
    <n v="0"/>
    <n v="50"/>
    <m/>
    <m/>
    <m/>
    <n v="0"/>
    <n v="0"/>
    <m/>
    <m/>
    <m/>
    <m/>
    <m/>
  </r>
  <r>
    <d v="2026-03-14T00:00:00"/>
    <x v="0"/>
    <x v="2"/>
    <s v="NON"/>
    <n v="55"/>
    <s v="NO TAX"/>
    <n v="55"/>
    <m/>
    <m/>
    <m/>
    <m/>
    <n v="0"/>
    <n v="0"/>
    <m/>
    <m/>
    <m/>
    <m/>
    <m/>
  </r>
  <r>
    <d v="2026-03-14T00:00:00"/>
    <x v="0"/>
    <x v="0"/>
    <s v="NON"/>
    <n v="4.5"/>
    <s v="NO TAX"/>
    <n v="4.5"/>
    <m/>
    <m/>
    <m/>
    <m/>
    <n v="0"/>
    <n v="0"/>
    <m/>
    <m/>
    <m/>
    <m/>
    <m/>
  </r>
  <r>
    <d v="2026-03-14T00:00:00"/>
    <x v="0"/>
    <x v="5"/>
    <s v="NON"/>
    <m/>
    <n v="0"/>
    <n v="0"/>
    <n v="50"/>
    <m/>
    <m/>
    <m/>
    <n v="0"/>
    <n v="0"/>
    <m/>
    <m/>
    <m/>
    <m/>
    <m/>
  </r>
  <r>
    <d v="2026-03-14T00:00:00"/>
    <x v="0"/>
    <x v="2"/>
    <s v="NON"/>
    <n v="110"/>
    <s v="NO TAX"/>
    <n v="110"/>
    <m/>
    <m/>
    <m/>
    <m/>
    <n v="0"/>
    <n v="0"/>
    <m/>
    <m/>
    <m/>
    <m/>
    <m/>
  </r>
  <r>
    <d v="2026-03-14T00:00:00"/>
    <x v="0"/>
    <x v="5"/>
    <s v="NON"/>
    <m/>
    <n v="0"/>
    <n v="0"/>
    <n v="50"/>
    <m/>
    <m/>
    <m/>
    <n v="0"/>
    <n v="0"/>
    <m/>
    <m/>
    <m/>
    <m/>
    <m/>
  </r>
  <r>
    <d v="2026-03-14T00:00:00"/>
    <x v="0"/>
    <x v="2"/>
    <s v="NON"/>
    <n v="55"/>
    <s v="NO TAX"/>
    <n v="55"/>
    <m/>
    <m/>
    <m/>
    <m/>
    <n v="0"/>
    <n v="0"/>
    <m/>
    <m/>
    <m/>
    <m/>
    <m/>
  </r>
  <r>
    <d v="2026-03-14T00:00:00"/>
    <x v="0"/>
    <x v="5"/>
    <s v="NON"/>
    <m/>
    <n v="0"/>
    <n v="0"/>
    <n v="50"/>
    <m/>
    <m/>
    <m/>
    <n v="0"/>
    <n v="0"/>
    <m/>
    <m/>
    <m/>
    <m/>
    <m/>
  </r>
  <r>
    <d v="2026-03-14T00:00:00"/>
    <x v="5"/>
    <x v="50"/>
    <s v="NON"/>
    <n v="208.95"/>
    <s v="NO TAX"/>
    <n v="208.95"/>
    <m/>
    <m/>
    <m/>
    <m/>
    <n v="0"/>
    <n v="0"/>
    <m/>
    <m/>
    <m/>
    <m/>
    <m/>
  </r>
  <r>
    <d v="2026-03-15T00:00:00"/>
    <x v="3"/>
    <x v="52"/>
    <s v="NON"/>
    <n v="-855"/>
    <s v="NO TAX"/>
    <n v="-855"/>
    <m/>
    <m/>
    <m/>
    <m/>
    <n v="0"/>
    <n v="0"/>
    <m/>
    <m/>
    <m/>
    <m/>
    <m/>
  </r>
  <r>
    <d v="2026-03-16T00:00:00"/>
    <x v="0"/>
    <x v="5"/>
    <s v="NON"/>
    <m/>
    <n v="0"/>
    <n v="0"/>
    <n v="50"/>
    <m/>
    <m/>
    <m/>
    <n v="0"/>
    <n v="0"/>
    <m/>
    <m/>
    <m/>
    <m/>
    <m/>
  </r>
  <r>
    <d v="2026-03-16T00:00:00"/>
    <x v="0"/>
    <x v="5"/>
    <s v="NON"/>
    <m/>
    <n v="0"/>
    <n v="0"/>
    <n v="50"/>
    <m/>
    <m/>
    <m/>
    <n v="0"/>
    <n v="0"/>
    <m/>
    <m/>
    <m/>
    <m/>
    <m/>
  </r>
  <r>
    <d v="2026-03-16T00:00:00"/>
    <x v="0"/>
    <x v="6"/>
    <s v="NON"/>
    <n v="100"/>
    <s v="NO TAX"/>
    <n v="100"/>
    <m/>
    <m/>
    <m/>
    <m/>
    <n v="0"/>
    <n v="0"/>
    <m/>
    <m/>
    <m/>
    <m/>
    <m/>
  </r>
  <r>
    <d v="2026-03-16T00:00:00"/>
    <x v="3"/>
    <x v="52"/>
    <s v="NON"/>
    <n v="2265"/>
    <s v="NO TAX"/>
    <n v="2265"/>
    <m/>
    <m/>
    <m/>
    <m/>
    <n v="0"/>
    <n v="0"/>
    <m/>
    <m/>
    <m/>
    <m/>
    <m/>
  </r>
  <r>
    <d v="2026-03-16T00:00:00"/>
    <x v="3"/>
    <x v="17"/>
    <s v="NON"/>
    <n v="500"/>
    <s v="NO TAX"/>
    <n v="500"/>
    <m/>
    <m/>
    <m/>
    <m/>
    <n v="0"/>
    <n v="0"/>
    <m/>
    <m/>
    <m/>
    <m/>
    <m/>
  </r>
  <r>
    <d v="2026-03-17T00:00:00"/>
    <x v="0"/>
    <x v="5"/>
    <s v="NON"/>
    <m/>
    <n v="0"/>
    <n v="0"/>
    <n v="500"/>
    <m/>
    <m/>
    <m/>
    <n v="0"/>
    <n v="0"/>
    <m/>
    <m/>
    <m/>
    <m/>
    <m/>
  </r>
  <r>
    <d v="2026-03-17T00:00:00"/>
    <x v="0"/>
    <x v="0"/>
    <s v="NON"/>
    <n v="38.5"/>
    <s v="NO TAX"/>
    <n v="38.5"/>
    <m/>
    <m/>
    <m/>
    <m/>
    <n v="0"/>
    <n v="0"/>
    <m/>
    <m/>
    <m/>
    <m/>
    <m/>
  </r>
  <r>
    <d v="2026-03-17T00:00:00"/>
    <x v="0"/>
    <x v="19"/>
    <s v="NON"/>
    <n v="16"/>
    <s v="NO TAX"/>
    <n v="16"/>
    <m/>
    <m/>
    <m/>
    <m/>
    <n v="0"/>
    <n v="0"/>
    <m/>
    <m/>
    <m/>
    <m/>
    <m/>
  </r>
  <r>
    <d v="2026-03-17T00:00:00"/>
    <x v="0"/>
    <x v="2"/>
    <s v="NON"/>
    <n v="55"/>
    <s v="NO TAX"/>
    <n v="55"/>
    <m/>
    <m/>
    <m/>
    <m/>
    <n v="0"/>
    <n v="0"/>
    <m/>
    <m/>
    <m/>
    <m/>
    <m/>
  </r>
  <r>
    <d v="2026-03-18T00:00:00"/>
    <x v="0"/>
    <x v="7"/>
    <s v="NON"/>
    <n v="1750"/>
    <s v="NO TAX"/>
    <n v="1750"/>
    <m/>
    <m/>
    <m/>
    <m/>
    <n v="0"/>
    <n v="0"/>
    <m/>
    <m/>
    <m/>
    <m/>
    <m/>
  </r>
  <r>
    <d v="2026-03-18T00:00:00"/>
    <x v="0"/>
    <x v="11"/>
    <s v="NON"/>
    <m/>
    <n v="0"/>
    <n v="0"/>
    <m/>
    <m/>
    <n v="2500"/>
    <m/>
    <n v="0"/>
    <n v="0"/>
    <m/>
    <m/>
    <m/>
    <m/>
    <m/>
  </r>
  <r>
    <d v="2026-03-18T00:00:00"/>
    <x v="0"/>
    <x v="2"/>
    <s v="NON"/>
    <n v="55"/>
    <s v="NO TAX"/>
    <n v="55"/>
    <m/>
    <m/>
    <m/>
    <m/>
    <n v="0"/>
    <n v="0"/>
    <m/>
    <m/>
    <m/>
    <m/>
    <m/>
  </r>
  <r>
    <d v="2026-03-18T00:00:00"/>
    <x v="0"/>
    <x v="2"/>
    <s v="NON"/>
    <n v="53"/>
    <s v="NO TAX"/>
    <n v="53"/>
    <m/>
    <m/>
    <m/>
    <m/>
    <n v="0"/>
    <n v="0"/>
    <m/>
    <m/>
    <m/>
    <m/>
    <m/>
  </r>
  <r>
    <d v="2026-03-18T00:00:00"/>
    <x v="0"/>
    <x v="13"/>
    <s v="NON"/>
    <n v="10300"/>
    <s v="NO TAX"/>
    <n v="10300"/>
    <m/>
    <m/>
    <m/>
    <m/>
    <n v="0"/>
    <n v="0"/>
    <m/>
    <m/>
    <m/>
    <m/>
    <m/>
  </r>
  <r>
    <d v="2026-03-18T00:00:00"/>
    <x v="0"/>
    <x v="6"/>
    <s v="NON"/>
    <n v="100"/>
    <s v="NO TAX"/>
    <n v="100"/>
    <m/>
    <m/>
    <m/>
    <m/>
    <n v="0"/>
    <n v="0"/>
    <m/>
    <m/>
    <m/>
    <m/>
    <m/>
  </r>
  <r>
    <d v="2026-03-18T00:00:00"/>
    <x v="0"/>
    <x v="2"/>
    <s v="NON"/>
    <n v="4200"/>
    <s v="NO TAX"/>
    <n v="4200"/>
    <m/>
    <m/>
    <m/>
    <m/>
    <n v="0"/>
    <n v="0"/>
    <m/>
    <m/>
    <m/>
    <m/>
    <m/>
  </r>
  <r>
    <d v="2026-03-23T00:00:00"/>
    <x v="0"/>
    <x v="4"/>
    <s v="NON"/>
    <n v="80"/>
    <s v="NO TAX"/>
    <n v="80"/>
    <m/>
    <m/>
    <m/>
    <m/>
    <n v="0"/>
    <n v="0"/>
    <m/>
    <m/>
    <m/>
    <m/>
    <m/>
  </r>
  <r>
    <d v="2026-03-23T00:00:00"/>
    <x v="0"/>
    <x v="2"/>
    <s v="NON"/>
    <n v="479.25"/>
    <s v="NO TAX"/>
    <n v="479.25"/>
    <m/>
    <m/>
    <m/>
    <m/>
    <n v="0"/>
    <n v="0"/>
    <m/>
    <m/>
    <m/>
    <m/>
    <m/>
  </r>
  <r>
    <d v="2026-03-23T00:00:00"/>
    <x v="0"/>
    <x v="2"/>
    <s v="NON"/>
    <n v="60.25"/>
    <s v="NO TAX"/>
    <n v="60.25"/>
    <m/>
    <m/>
    <m/>
    <m/>
    <n v="0"/>
    <n v="0"/>
    <m/>
    <m/>
    <m/>
    <m/>
    <m/>
  </r>
  <r>
    <d v="2026-03-23T00:00:00"/>
    <x v="0"/>
    <x v="2"/>
    <s v="NON"/>
    <n v="35"/>
    <s v="NO TAX"/>
    <n v="35"/>
    <m/>
    <m/>
    <m/>
    <m/>
    <n v="0"/>
    <n v="0"/>
    <m/>
    <m/>
    <m/>
    <m/>
    <m/>
  </r>
  <r>
    <d v="2026-03-23T00:00:00"/>
    <x v="0"/>
    <x v="27"/>
    <s v="NON"/>
    <n v="2297"/>
    <s v="NO TAX"/>
    <n v="2297"/>
    <m/>
    <m/>
    <m/>
    <m/>
    <n v="0"/>
    <n v="0"/>
    <m/>
    <m/>
    <m/>
    <m/>
    <m/>
  </r>
  <r>
    <d v="2026-03-23T00:00:00"/>
    <x v="0"/>
    <x v="5"/>
    <s v="NON"/>
    <m/>
    <n v="0"/>
    <n v="0"/>
    <n v="50"/>
    <m/>
    <m/>
    <m/>
    <n v="0"/>
    <n v="0"/>
    <m/>
    <m/>
    <m/>
    <m/>
    <m/>
  </r>
  <r>
    <d v="2026-03-23T00:00:00"/>
    <x v="3"/>
    <x v="52"/>
    <s v="NON"/>
    <n v="730"/>
    <s v="NO TAX"/>
    <n v="730"/>
    <m/>
    <m/>
    <m/>
    <m/>
    <n v="0"/>
    <n v="0"/>
    <m/>
    <m/>
    <m/>
    <m/>
    <m/>
  </r>
  <r>
    <d v="2026-03-24T00:00:00"/>
    <x v="0"/>
    <x v="14"/>
    <s v="NON"/>
    <n v="335"/>
    <s v="NO TAX"/>
    <n v="335"/>
    <m/>
    <m/>
    <m/>
    <m/>
    <n v="0"/>
    <n v="0"/>
    <m/>
    <m/>
    <m/>
    <m/>
    <m/>
  </r>
  <r>
    <d v="2026-03-24T00:00:00"/>
    <x v="0"/>
    <x v="2"/>
    <s v="NON"/>
    <n v="55"/>
    <s v="NO TAX"/>
    <n v="55"/>
    <m/>
    <m/>
    <m/>
    <m/>
    <n v="0"/>
    <n v="0"/>
    <m/>
    <m/>
    <m/>
    <m/>
    <m/>
  </r>
  <r>
    <d v="2026-03-24T00:00:00"/>
    <x v="0"/>
    <x v="6"/>
    <s v="NON"/>
    <n v="100"/>
    <s v="NO TAX"/>
    <n v="100"/>
    <m/>
    <m/>
    <m/>
    <m/>
    <n v="0"/>
    <n v="0"/>
    <m/>
    <m/>
    <m/>
    <m/>
    <m/>
  </r>
  <r>
    <d v="2026-03-24T00:00:00"/>
    <x v="0"/>
    <x v="0"/>
    <s v="NON"/>
    <n v="62"/>
    <n v="3"/>
    <n v="65"/>
    <m/>
    <m/>
    <m/>
    <m/>
    <n v="0"/>
    <n v="0"/>
    <m/>
    <m/>
    <m/>
    <m/>
    <m/>
  </r>
  <r>
    <d v="2026-03-25T00:00:00"/>
    <x v="0"/>
    <x v="3"/>
    <s v="NON"/>
    <n v="17"/>
    <s v="NO TAX"/>
    <n v="17"/>
    <m/>
    <m/>
    <m/>
    <m/>
    <n v="0"/>
    <n v="0"/>
    <m/>
    <m/>
    <m/>
    <m/>
    <m/>
  </r>
  <r>
    <d v="2026-03-25T00:00:00"/>
    <x v="0"/>
    <x v="19"/>
    <s v="NON"/>
    <n v="200"/>
    <s v="NO TAX"/>
    <n v="200"/>
    <m/>
    <m/>
    <m/>
    <m/>
    <n v="0"/>
    <n v="0"/>
    <m/>
    <m/>
    <m/>
    <m/>
    <m/>
  </r>
  <r>
    <d v="2026-03-25T00:00:00"/>
    <x v="0"/>
    <x v="12"/>
    <s v="NON"/>
    <n v="238.09100000000001"/>
    <n v="11.90455"/>
    <n v="249.99555000000001"/>
    <m/>
    <m/>
    <m/>
    <m/>
    <n v="0"/>
    <n v="0"/>
    <m/>
    <m/>
    <m/>
    <m/>
    <m/>
  </r>
  <r>
    <d v="2026-03-25T00:00:00"/>
    <x v="0"/>
    <x v="2"/>
    <s v="NON"/>
    <n v="110"/>
    <s v="NO TAX"/>
    <n v="110"/>
    <m/>
    <m/>
    <m/>
    <m/>
    <n v="0"/>
    <n v="0"/>
    <m/>
    <m/>
    <m/>
    <m/>
    <m/>
  </r>
  <r>
    <d v="2026-03-25T00:00:00"/>
    <x v="0"/>
    <x v="2"/>
    <s v="NON"/>
    <n v="52"/>
    <s v="NO TAX"/>
    <n v="52"/>
    <m/>
    <m/>
    <m/>
    <m/>
    <n v="0"/>
    <n v="0"/>
    <m/>
    <m/>
    <m/>
    <m/>
    <m/>
  </r>
  <r>
    <d v="2026-03-25T00:00:00"/>
    <x v="0"/>
    <x v="0"/>
    <s v="NON"/>
    <n v="25"/>
    <n v="1"/>
    <n v="26"/>
    <m/>
    <m/>
    <m/>
    <m/>
    <n v="0"/>
    <n v="0"/>
    <m/>
    <m/>
    <m/>
    <m/>
    <m/>
  </r>
  <r>
    <d v="2026-03-25T00:00:00"/>
    <x v="0"/>
    <x v="0"/>
    <s v="NON"/>
    <n v="35"/>
    <s v="NO TAX"/>
    <n v="35"/>
    <m/>
    <m/>
    <m/>
    <m/>
    <n v="0"/>
    <n v="0"/>
    <m/>
    <m/>
    <m/>
    <m/>
    <m/>
  </r>
  <r>
    <d v="2026-03-25T00:00:00"/>
    <x v="0"/>
    <x v="19"/>
    <s v="NON"/>
    <n v="15"/>
    <s v="NO TAX"/>
    <n v="15"/>
    <m/>
    <m/>
    <m/>
    <m/>
    <n v="0"/>
    <n v="0"/>
    <m/>
    <m/>
    <m/>
    <m/>
    <m/>
  </r>
  <r>
    <d v="2026-03-25T00:00:00"/>
    <x v="0"/>
    <x v="0"/>
    <s v="NON"/>
    <n v="0"/>
    <n v="187.857"/>
    <n v="187.857"/>
    <m/>
    <m/>
    <m/>
    <m/>
    <n v="0"/>
    <n v="0"/>
    <m/>
    <m/>
    <m/>
    <m/>
    <m/>
  </r>
  <r>
    <d v="2026-03-25T00:00:00"/>
    <x v="0"/>
    <x v="11"/>
    <s v="NON"/>
    <m/>
    <n v="0"/>
    <n v="0"/>
    <m/>
    <m/>
    <n v="3757.14"/>
    <m/>
    <n v="0"/>
    <n v="0"/>
    <m/>
    <m/>
    <m/>
    <m/>
    <m/>
  </r>
  <r>
    <d v="2026-03-26T00:00:00"/>
    <x v="0"/>
    <x v="2"/>
    <s v="NON"/>
    <n v="55"/>
    <s v="NO TAX"/>
    <n v="55"/>
    <m/>
    <m/>
    <m/>
    <m/>
    <n v="0"/>
    <n v="0"/>
    <m/>
    <m/>
    <m/>
    <m/>
    <m/>
  </r>
  <r>
    <d v="2026-03-26T00:00:00"/>
    <x v="0"/>
    <x v="5"/>
    <s v="NON"/>
    <m/>
    <n v="0"/>
    <n v="0"/>
    <n v="50"/>
    <m/>
    <m/>
    <m/>
    <n v="0"/>
    <n v="0"/>
    <m/>
    <m/>
    <m/>
    <m/>
    <m/>
  </r>
  <r>
    <d v="2026-03-27T00:00:00"/>
    <x v="0"/>
    <x v="7"/>
    <s v="NON"/>
    <n v="2700"/>
    <s v="NO TAX"/>
    <n v="2700"/>
    <m/>
    <m/>
    <m/>
    <m/>
    <n v="0"/>
    <n v="0"/>
    <m/>
    <m/>
    <m/>
    <m/>
    <m/>
  </r>
  <r>
    <d v="2026-03-28T00:00:00"/>
    <x v="0"/>
    <x v="3"/>
    <s v="NON"/>
    <n v="10.5"/>
    <s v="NO TAX"/>
    <n v="10.5"/>
    <m/>
    <m/>
    <m/>
    <m/>
    <n v="0"/>
    <n v="0"/>
    <m/>
    <m/>
    <m/>
    <m/>
    <m/>
  </r>
  <r>
    <d v="2026-03-28T00:00:00"/>
    <x v="0"/>
    <x v="2"/>
    <s v="NON"/>
    <n v="55"/>
    <s v="NO TAX"/>
    <n v="55"/>
    <m/>
    <m/>
    <m/>
    <m/>
    <n v="0"/>
    <n v="0"/>
    <m/>
    <m/>
    <m/>
    <m/>
    <m/>
  </r>
  <r>
    <d v="2026-03-28T00:00:00"/>
    <x v="0"/>
    <x v="5"/>
    <s v="NON"/>
    <m/>
    <n v="0"/>
    <n v="0"/>
    <n v="500"/>
    <m/>
    <m/>
    <m/>
    <n v="0"/>
    <n v="0"/>
    <m/>
    <m/>
    <m/>
    <m/>
    <m/>
  </r>
  <r>
    <d v="2026-03-28T00:00:00"/>
    <x v="0"/>
    <x v="5"/>
    <s v="NON"/>
    <m/>
    <n v="0"/>
    <n v="0"/>
    <n v="500"/>
    <m/>
    <m/>
    <m/>
    <n v="0"/>
    <n v="0"/>
    <m/>
    <m/>
    <m/>
    <m/>
    <m/>
  </r>
  <r>
    <d v="2026-03-28T00:00:00"/>
    <x v="0"/>
    <x v="5"/>
    <s v="NON"/>
    <m/>
    <n v="0"/>
    <n v="0"/>
    <n v="500"/>
    <m/>
    <m/>
    <m/>
    <n v="0"/>
    <n v="0"/>
    <m/>
    <m/>
    <m/>
    <m/>
    <m/>
  </r>
  <r>
    <d v="2026-03-28T00:00:00"/>
    <x v="0"/>
    <x v="5"/>
    <s v="NON"/>
    <m/>
    <n v="0"/>
    <n v="0"/>
    <n v="50"/>
    <m/>
    <m/>
    <m/>
    <n v="0"/>
    <n v="0"/>
    <m/>
    <m/>
    <m/>
    <m/>
    <m/>
  </r>
  <r>
    <d v="2026-03-28T00:00:00"/>
    <x v="0"/>
    <x v="6"/>
    <s v="NON"/>
    <n v="100"/>
    <s v="NO TAX"/>
    <n v="100"/>
    <m/>
    <m/>
    <m/>
    <m/>
    <n v="0"/>
    <n v="0"/>
    <m/>
    <m/>
    <m/>
    <m/>
    <m/>
  </r>
  <r>
    <d v="2026-03-28T00:00:00"/>
    <x v="0"/>
    <x v="0"/>
    <s v="NON"/>
    <n v="120"/>
    <s v="NO TAX"/>
    <n v="120"/>
    <m/>
    <m/>
    <m/>
    <m/>
    <n v="0"/>
    <n v="0"/>
    <m/>
    <m/>
    <m/>
    <m/>
    <m/>
  </r>
  <r>
    <d v="2026-03-28T00:00:00"/>
    <x v="0"/>
    <x v="0"/>
    <s v="NON"/>
    <n v="92"/>
    <n v="4.5"/>
    <n v="96.5"/>
    <m/>
    <m/>
    <m/>
    <m/>
    <n v="0"/>
    <n v="0"/>
    <m/>
    <m/>
    <m/>
    <m/>
    <m/>
  </r>
  <r>
    <d v="2026-03-30T00:00:00"/>
    <x v="0"/>
    <x v="2"/>
    <s v="NON"/>
    <n v="55"/>
    <s v="NO TAX"/>
    <n v="55"/>
    <m/>
    <m/>
    <m/>
    <m/>
    <n v="0"/>
    <n v="0"/>
    <m/>
    <m/>
    <m/>
    <m/>
    <m/>
  </r>
  <r>
    <d v="2026-03-30T00:00:00"/>
    <x v="0"/>
    <x v="19"/>
    <s v="NON"/>
    <n v="50"/>
    <s v="NO TAX"/>
    <n v="50"/>
    <m/>
    <m/>
    <m/>
    <m/>
    <n v="0"/>
    <n v="0"/>
    <m/>
    <m/>
    <m/>
    <m/>
    <m/>
  </r>
  <r>
    <d v="2026-03-31T00:00:00"/>
    <x v="4"/>
    <x v="7"/>
    <s v="NON"/>
    <m/>
    <n v="0"/>
    <n v="0"/>
    <n v="-855"/>
    <m/>
    <m/>
    <m/>
    <n v="0"/>
    <n v="0"/>
    <m/>
    <m/>
    <m/>
    <m/>
    <m/>
  </r>
  <r>
    <d v="2026-03-31T00:00:00"/>
    <x v="0"/>
    <x v="3"/>
    <s v="NON"/>
    <n v="16"/>
    <s v="NO TAX"/>
    <n v="16"/>
    <m/>
    <m/>
    <m/>
    <m/>
    <n v="0"/>
    <n v="0"/>
    <m/>
    <m/>
    <m/>
    <m/>
    <m/>
  </r>
  <r>
    <d v="2026-03-31T00:00:00"/>
    <x v="0"/>
    <x v="26"/>
    <s v="NON"/>
    <n v="5000"/>
    <s v="NO TAX"/>
    <n v="5000"/>
    <m/>
    <m/>
    <m/>
    <m/>
    <n v="0"/>
    <n v="0"/>
    <m/>
    <m/>
    <m/>
    <m/>
    <m/>
  </r>
  <r>
    <d v="2026-03-31T00:00:00"/>
    <x v="0"/>
    <x v="5"/>
    <s v="NON"/>
    <m/>
    <s v="NO TAX"/>
    <n v="0"/>
    <n v="1000"/>
    <m/>
    <m/>
    <m/>
    <n v="0"/>
    <n v="0"/>
    <m/>
    <m/>
    <m/>
    <m/>
    <m/>
  </r>
  <r>
    <d v="2026-03-31T00:00:00"/>
    <x v="0"/>
    <x v="7"/>
    <s v="NON"/>
    <n v="1800"/>
    <s v="NO TAX"/>
    <n v="1800"/>
    <m/>
    <m/>
    <m/>
    <m/>
    <n v="0"/>
    <n v="0"/>
    <m/>
    <m/>
    <m/>
    <m/>
    <m/>
  </r>
  <r>
    <d v="2026-03-31T00:00:00"/>
    <x v="0"/>
    <x v="5"/>
    <s v="NON"/>
    <m/>
    <s v="NO TAX"/>
    <n v="0"/>
    <n v="100"/>
    <m/>
    <m/>
    <m/>
    <n v="0"/>
    <n v="0"/>
    <m/>
    <m/>
    <m/>
    <m/>
    <m/>
  </r>
  <r>
    <d v="2026-03-31T00:00:00"/>
    <x v="0"/>
    <x v="7"/>
    <s v="NON"/>
    <n v="2000"/>
    <s v="NO TAX"/>
    <n v="2000"/>
    <m/>
    <m/>
    <m/>
    <m/>
    <n v="0"/>
    <n v="0"/>
    <m/>
    <m/>
    <m/>
    <m/>
    <m/>
  </r>
  <r>
    <d v="2026-03-31T00:00:00"/>
    <x v="0"/>
    <x v="7"/>
    <s v="NON"/>
    <n v="1850"/>
    <s v="NO TAX"/>
    <n v="1850"/>
    <m/>
    <m/>
    <m/>
    <m/>
    <n v="0"/>
    <n v="0"/>
    <m/>
    <m/>
    <m/>
    <m/>
    <m/>
  </r>
  <r>
    <d v="2026-03-31T00:00:00"/>
    <x v="0"/>
    <x v="7"/>
    <s v="NON"/>
    <n v="1200"/>
    <s v="NO TAX"/>
    <n v="1200"/>
    <m/>
    <m/>
    <m/>
    <m/>
    <n v="0"/>
    <n v="0"/>
    <m/>
    <m/>
    <m/>
    <m/>
    <m/>
  </r>
  <r>
    <d v="2026-03-31T00:00:00"/>
    <x v="0"/>
    <x v="7"/>
    <s v="NON"/>
    <n v="1000"/>
    <s v="NO TAX"/>
    <n v="1000"/>
    <m/>
    <m/>
    <m/>
    <m/>
    <n v="0"/>
    <n v="0"/>
    <m/>
    <m/>
    <m/>
    <m/>
    <m/>
  </r>
  <r>
    <d v="2026-03-31T00:00:00"/>
    <x v="7"/>
    <x v="26"/>
    <s v="NON"/>
    <n v="1000"/>
    <s v="NO TAX"/>
    <n v="1000"/>
    <m/>
    <m/>
    <m/>
    <m/>
    <n v="0"/>
    <n v="0"/>
    <m/>
    <m/>
    <m/>
    <m/>
    <m/>
  </r>
  <r>
    <d v="2026-03-31T00:00:00"/>
    <x v="0"/>
    <x v="11"/>
    <s v="NON"/>
    <m/>
    <n v="0"/>
    <n v="0"/>
    <m/>
    <m/>
    <n v="1000"/>
    <m/>
    <n v="0"/>
    <n v="0"/>
    <m/>
    <m/>
    <m/>
    <m/>
    <m/>
  </r>
  <r>
    <d v="2026-03-31T00:00:00"/>
    <x v="0"/>
    <x v="5"/>
    <s v="NON"/>
    <m/>
    <n v="0"/>
    <n v="0"/>
    <n v="100"/>
    <m/>
    <m/>
    <m/>
    <n v="0"/>
    <n v="0"/>
    <m/>
    <m/>
    <m/>
    <m/>
    <m/>
  </r>
  <r>
    <d v="2026-03-31T00:00:00"/>
    <x v="0"/>
    <x v="0"/>
    <s v="NON"/>
    <n v="13"/>
    <s v="NO TAX"/>
    <n v="13"/>
    <m/>
    <m/>
    <m/>
    <m/>
    <n v="0"/>
    <n v="0"/>
    <m/>
    <m/>
    <m/>
    <m/>
    <m/>
  </r>
  <r>
    <d v="2026-03-31T00:00:00"/>
    <x v="0"/>
    <x v="6"/>
    <s v="NON"/>
    <n v="100"/>
    <s v="NO TAX"/>
    <n v="100"/>
    <m/>
    <m/>
    <m/>
    <m/>
    <n v="0"/>
    <n v="0"/>
    <m/>
    <m/>
    <m/>
    <m/>
    <m/>
  </r>
  <r>
    <d v="2026-03-31T00:00:00"/>
    <x v="3"/>
    <x v="52"/>
    <s v="NON"/>
    <n v="1706"/>
    <s v="NO TAX"/>
    <n v="1706"/>
    <m/>
    <m/>
    <m/>
    <m/>
    <n v="0"/>
    <n v="0"/>
    <m/>
    <m/>
    <m/>
    <m/>
    <m/>
  </r>
  <r>
    <d v="2026-03-31T00:00:00"/>
    <x v="10"/>
    <x v="2"/>
    <s v="NON"/>
    <n v="20300"/>
    <s v="NO TAX"/>
    <n v="20300"/>
    <m/>
    <m/>
    <m/>
    <m/>
    <n v="0"/>
    <n v="0"/>
    <m/>
    <m/>
    <m/>
    <m/>
    <m/>
  </r>
  <r>
    <d v="2026-03-30T00:00:00"/>
    <x v="11"/>
    <x v="10"/>
    <s v="NON"/>
    <n v="646"/>
    <s v="NO TAX"/>
    <n v="646"/>
    <m/>
    <m/>
    <m/>
    <m/>
    <n v="0"/>
    <n v="0"/>
    <m/>
    <m/>
    <m/>
    <m/>
    <m/>
  </r>
  <r>
    <m/>
    <x v="13"/>
    <x v="55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d v="2026-06-01T00:00:00"/>
    <s v="SALES"/>
    <s v="RAJU GOLD STAR"/>
    <n v="2908.9"/>
    <n v="0.88"/>
    <n v="2559.8319999999999"/>
    <n v="3.7249819519405962"/>
    <n v="10835.6"/>
    <n v="2908.9"/>
    <s v="0"/>
    <n v="2559.8319999999999"/>
    <s v="0"/>
    <n v="11377.380000000001"/>
    <n v="0"/>
    <s v="0"/>
    <s v="0"/>
    <s v="0"/>
    <s v="0"/>
    <n v="0"/>
    <s v="0"/>
    <m/>
    <m/>
    <m/>
    <m/>
    <m/>
    <m/>
  </r>
  <r>
    <d v="2026-06-01T00:00:00"/>
    <s v="SALES"/>
    <s v="INDIA STAR JEWELLERY"/>
    <n v="1320.61"/>
    <n v="0.88"/>
    <n v="1162.1368"/>
    <n v="11.003172776217053"/>
    <n v="14530.9"/>
    <n v="1320.61"/>
    <s v="0"/>
    <n v="1162.1368"/>
    <s v="0"/>
    <n v="15257.445"/>
    <n v="0"/>
    <s v="0"/>
    <s v="0"/>
    <s v="0"/>
    <s v="0"/>
    <n v="0"/>
    <s v="0"/>
    <m/>
    <m/>
    <m/>
    <m/>
    <m/>
    <m/>
  </r>
  <r>
    <d v="2026-06-01T00:00:00"/>
    <s v="SALES"/>
    <s v="BHARAT JEWELLERY LLC"/>
    <n v="1509.127"/>
    <n v="0.88"/>
    <n v="1328.0317600000001"/>
    <n v="7.9999628924537163"/>
    <n v="12072.96"/>
    <n v="1509.127"/>
    <s v="0"/>
    <n v="1328.0317600000001"/>
    <s v="0"/>
    <n v="12676.607999999998"/>
    <n v="0"/>
    <s v="0"/>
    <s v="0"/>
    <s v="0"/>
    <s v="0"/>
    <n v="0"/>
    <s v="0"/>
    <m/>
    <m/>
    <m/>
    <m/>
    <m/>
    <m/>
  </r>
  <r>
    <d v="2026-06-01T00:00:00"/>
    <s v="SALES"/>
    <s v="INDIA STAR JEWELLERY"/>
    <n v="5646"/>
    <n v="0.88"/>
    <n v="4968.4800000000005"/>
    <n v="7.8492826780021261"/>
    <n v="44317.05"/>
    <n v="5646"/>
    <s v="0"/>
    <n v="4968.4800000000005"/>
    <s v="0"/>
    <n v="46532.902500000004"/>
    <n v="0"/>
    <s v="0"/>
    <s v="0"/>
    <s v="0"/>
    <s v="0"/>
    <n v="0"/>
    <s v="0"/>
    <m/>
    <m/>
    <m/>
    <m/>
    <m/>
    <m/>
  </r>
  <r>
    <d v="2026-06-01T00:00:00"/>
    <s v="PURCHASE"/>
    <s v="HINDUSTAN JEWELLERY LLC"/>
    <n v="5456"/>
    <n v="0.995"/>
    <n v="5428.72"/>
    <n v="0"/>
    <m/>
    <s v="0"/>
    <s v="0"/>
    <s v="0"/>
    <s v="0"/>
    <n v="0"/>
    <n v="0"/>
    <n v="5456"/>
    <s v="0"/>
    <n v="5428.72"/>
    <s v="0"/>
    <n v="0"/>
    <s v="0"/>
    <m/>
    <m/>
    <m/>
    <m/>
    <m/>
    <m/>
  </r>
  <r>
    <d v="2026-06-01T00:00:00"/>
    <s v="PURCHASE"/>
    <s v="RAJU GOLD STAR"/>
    <n v="1200"/>
    <n v="1"/>
    <n v="1200"/>
    <n v="0"/>
    <m/>
    <s v="0"/>
    <s v="0"/>
    <s v="0"/>
    <s v="0"/>
    <n v="0"/>
    <n v="0"/>
    <n v="1200"/>
    <s v="0"/>
    <n v="1200"/>
    <s v="0"/>
    <n v="0"/>
    <s v="0"/>
    <m/>
    <m/>
    <m/>
    <m/>
    <m/>
    <m/>
  </r>
  <r>
    <d v="2026-06-01T00:00:00"/>
    <s v="PURCHASE"/>
    <s v="BADSHAH JEWELLERY SHOP"/>
    <n v="500"/>
    <n v="0.995"/>
    <n v="497.5"/>
    <n v="0"/>
    <m/>
    <s v="0"/>
    <s v="0"/>
    <s v="0"/>
    <s v="0"/>
    <n v="0"/>
    <n v="0"/>
    <n v="500"/>
    <s v="0"/>
    <n v="497.5"/>
    <s v="0"/>
    <n v="0"/>
    <s v="0"/>
    <m/>
    <m/>
    <m/>
    <m/>
    <m/>
    <m/>
  </r>
  <r>
    <d v="2026-06-01T00:00:00"/>
    <s v="PURCHASE"/>
    <s v="INDIA STAR JEWELLERY"/>
    <n v="510"/>
    <n v="0.995"/>
    <n v="507.45"/>
    <n v="0"/>
    <m/>
    <s v="0"/>
    <s v="0"/>
    <s v="0"/>
    <s v="0"/>
    <n v="0"/>
    <n v="0"/>
    <n v="510"/>
    <s v="0"/>
    <n v="507.45"/>
    <s v="0"/>
    <n v="0"/>
    <s v="0"/>
    <m/>
    <m/>
    <m/>
    <m/>
    <m/>
    <m/>
  </r>
  <r>
    <d v="2026-06-02T00:00:00"/>
    <s v="SALES"/>
    <s v="VISHAL JEWELLERY LLC"/>
    <n v="5454"/>
    <n v="0.88"/>
    <n v="4799.5200000000004"/>
    <n v="0.35056839017235059"/>
    <n v="1912"/>
    <n v="5454"/>
    <s v="0"/>
    <n v="4799.5200000000004"/>
    <s v="0"/>
    <n v="2007.6"/>
    <n v="0"/>
    <s v="0"/>
    <s v="0"/>
    <s v="0"/>
    <s v="0"/>
    <n v="0"/>
    <s v="0"/>
    <m/>
    <m/>
    <m/>
    <m/>
    <m/>
    <m/>
  </r>
  <r>
    <d v="2026-06-02T00:00:00"/>
    <s v="SALES"/>
    <s v="BHARAT JEWELLERY LLC"/>
    <n v="952"/>
    <n v="0.88"/>
    <n v="837.76"/>
    <n v="7.2470588235294118"/>
    <n v="6899.2"/>
    <n v="952"/>
    <s v="0"/>
    <n v="837.76"/>
    <s v="0"/>
    <n v="7244.16"/>
    <n v="0"/>
    <s v="0"/>
    <s v="0"/>
    <s v="0"/>
    <s v="0"/>
    <n v="0"/>
    <s v="0"/>
    <m/>
    <m/>
    <m/>
    <m/>
    <m/>
    <m/>
  </r>
  <r>
    <d v="2026-06-02T00:00:00"/>
    <s v="SALES"/>
    <s v="DHANANJAY JEWELLERY L.L.C"/>
    <n v="745.3"/>
    <n v="0.88"/>
    <n v="655.86399999999992"/>
    <n v="7.3700523279216421"/>
    <n v="5492.9"/>
    <n v="745.3"/>
    <s v="0"/>
    <n v="655.86399999999992"/>
    <s v="0"/>
    <n v="5767.5450000000001"/>
    <n v="0"/>
    <s v="0"/>
    <s v="0"/>
    <s v="0"/>
    <s v="0"/>
    <n v="0"/>
    <s v="0"/>
    <m/>
    <m/>
    <m/>
    <m/>
    <m/>
    <m/>
  </r>
  <r>
    <d v="2026-06-02T00:00:00"/>
    <s v="SALES"/>
    <s v="UMAR GOLD SHOP"/>
    <n v="430.19"/>
    <n v="0.88"/>
    <n v="378.56720000000001"/>
    <n v="5.0001162277133364"/>
    <n v="2151"/>
    <n v="430.19"/>
    <s v="0"/>
    <n v="378.56720000000001"/>
    <s v="0"/>
    <n v="2258.5500000000002"/>
    <n v="0"/>
    <s v="0"/>
    <s v="0"/>
    <s v="0"/>
    <s v="0"/>
    <n v="0"/>
    <s v="0"/>
    <m/>
    <m/>
    <m/>
    <m/>
    <m/>
    <m/>
  </r>
  <r>
    <d v="2026-06-02T00:00:00"/>
    <s v="SALES"/>
    <s v="INDIA STAR JEWELLERY"/>
    <n v="784"/>
    <n v="0.88"/>
    <n v="689.92"/>
    <n v="11.177487244897959"/>
    <n v="8763.15"/>
    <n v="784"/>
    <s v="0"/>
    <n v="689.92"/>
    <s v="0"/>
    <n v="9201.307499999999"/>
    <n v="0"/>
    <s v="0"/>
    <s v="0"/>
    <s v="0"/>
    <s v="0"/>
    <n v="0"/>
    <s v="0"/>
    <m/>
    <m/>
    <m/>
    <m/>
    <m/>
    <m/>
  </r>
  <r>
    <d v="2026-06-02T00:00:00"/>
    <s v="SALES"/>
    <s v="VISHAL JEWELLERY LLC"/>
    <n v="800.5"/>
    <n v="0.88"/>
    <n v="704.44"/>
    <n v="8"/>
    <n v="6404"/>
    <n v="800.5"/>
    <s v="0"/>
    <n v="704.44"/>
    <s v="0"/>
    <n v="6724.2"/>
    <n v="0"/>
    <s v="0"/>
    <s v="0"/>
    <s v="0"/>
    <s v="0"/>
    <n v="0"/>
    <s v="0"/>
    <m/>
    <m/>
    <m/>
    <m/>
    <m/>
    <m/>
  </r>
  <r>
    <d v="2026-06-02T00:00:00"/>
    <s v="PURCHASE"/>
    <s v="BHARAT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02T00:00:00"/>
    <s v="PURCHASE"/>
    <s v="RAJU GOLD STAR"/>
    <n v="1156.81"/>
    <n v="0.995"/>
    <n v="1151.02595"/>
    <n v="0"/>
    <m/>
    <s v="0"/>
    <s v="0"/>
    <s v="0"/>
    <s v="0"/>
    <n v="0"/>
    <n v="0"/>
    <n v="1156.81"/>
    <s v="0"/>
    <n v="1151.02595"/>
    <s v="0"/>
    <n v="0"/>
    <s v="0"/>
    <m/>
    <m/>
    <m/>
    <m/>
    <m/>
    <m/>
  </r>
  <r>
    <d v="2026-06-02T00:00:00"/>
    <s v="PURCHASE"/>
    <s v="ABBAS GOLD CENTER LLC"/>
    <n v="521.84"/>
    <n v="0.995"/>
    <n v="519.23080000000004"/>
    <n v="0"/>
    <m/>
    <s v="0"/>
    <s v="0"/>
    <s v="0"/>
    <s v="0"/>
    <n v="0"/>
    <n v="0"/>
    <n v="521.84"/>
    <s v="0"/>
    <n v="519.23080000000004"/>
    <s v="0"/>
    <n v="0"/>
    <s v="0"/>
    <m/>
    <m/>
    <m/>
    <m/>
    <m/>
    <m/>
  </r>
  <r>
    <d v="2026-06-02T00:00:00"/>
    <s v="PURCHASE"/>
    <s v="UMAR GOLD SHOP"/>
    <n v="1732.55"/>
    <n v="0.995"/>
    <n v="1723.88725"/>
    <n v="0"/>
    <m/>
    <s v="0"/>
    <s v="0"/>
    <s v="0"/>
    <s v="0"/>
    <n v="0"/>
    <n v="0"/>
    <n v="1732.55"/>
    <s v="0"/>
    <n v="1723.88725"/>
    <s v="0"/>
    <n v="0"/>
    <s v="0"/>
    <m/>
    <m/>
    <m/>
    <m/>
    <m/>
    <m/>
  </r>
  <r>
    <d v="2026-06-02T00:00:00"/>
    <s v="PURCHASE"/>
    <s v="VISHAL JEWELLERY LLC"/>
    <n v="541"/>
    <n v="0.995"/>
    <n v="538.29499999999996"/>
    <n v="0"/>
    <m/>
    <s v="0"/>
    <s v="0"/>
    <s v="0"/>
    <s v="0"/>
    <n v="0"/>
    <n v="0"/>
    <n v="541"/>
    <s v="0"/>
    <n v="538.29499999999996"/>
    <s v="0"/>
    <n v="0"/>
    <s v="0"/>
    <m/>
    <m/>
    <m/>
    <m/>
    <m/>
    <m/>
  </r>
  <r>
    <d v="2026-06-02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03T00:00:00"/>
    <s v="SALES"/>
    <s v="HINDUSTAN JEWELLERY LLC"/>
    <n v="9546"/>
    <n v="0.88"/>
    <n v="8400.48"/>
    <n v="1.0581185836999789"/>
    <n v="10100.799999999999"/>
    <n v="9546"/>
    <s v="0"/>
    <n v="8400.48"/>
    <s v="0"/>
    <n v="10605.84"/>
    <n v="0"/>
    <s v="0"/>
    <s v="0"/>
    <s v="0"/>
    <s v="0"/>
    <n v="0"/>
    <s v="0"/>
    <m/>
    <m/>
    <m/>
    <m/>
    <m/>
    <m/>
  </r>
  <r>
    <d v="2026-06-03T00:00:00"/>
    <s v="SALES"/>
    <s v="ABBAS GOLD CENTER LLC"/>
    <n v="1511.15"/>
    <n v="0.88"/>
    <n v="1329.8120000000001"/>
    <n v="11.613684941931641"/>
    <n v="17550.02"/>
    <n v="1511.15"/>
    <s v="0"/>
    <n v="1329.8120000000001"/>
    <s v="0"/>
    <n v="18427.521000000001"/>
    <n v="0"/>
    <s v="0"/>
    <s v="0"/>
    <s v="0"/>
    <s v="0"/>
    <n v="0"/>
    <s v="0"/>
    <m/>
    <m/>
    <m/>
    <m/>
    <m/>
    <m/>
  </r>
  <r>
    <d v="2026-06-03T00:00:00"/>
    <s v="SALES"/>
    <s v="RAJU GOLD STAR"/>
    <n v="852"/>
    <n v="0.88"/>
    <n v="749.76"/>
    <n v="3.5647887323943661"/>
    <n v="3037.2"/>
    <n v="852"/>
    <s v="0"/>
    <n v="749.76"/>
    <s v="0"/>
    <n v="3189.06"/>
    <n v="0"/>
    <s v="0"/>
    <s v="0"/>
    <s v="0"/>
    <s v="0"/>
    <n v="0"/>
    <s v="0"/>
    <m/>
    <m/>
    <m/>
    <m/>
    <m/>
    <m/>
  </r>
  <r>
    <d v="2026-06-03T00:00:00"/>
    <s v="SALES"/>
    <s v="SUMIT GOLD HUB LLC"/>
    <n v="1341.7"/>
    <n v="0.92"/>
    <n v="1234.364"/>
    <n v="4"/>
    <n v="5366.8"/>
    <n v="1341.7"/>
    <s v="0"/>
    <n v="1234.364"/>
    <s v="0"/>
    <n v="5635.14"/>
    <n v="0"/>
    <s v="0"/>
    <s v="0"/>
    <s v="0"/>
    <s v="0"/>
    <n v="0"/>
    <s v="0"/>
    <m/>
    <m/>
    <m/>
    <m/>
    <m/>
    <m/>
  </r>
  <r>
    <d v="2026-06-03T00:00:00"/>
    <s v="SALES"/>
    <s v="GORAKHPUR GOLD SHOP"/>
    <n v="1323.9"/>
    <n v="0.88"/>
    <n v="1165.0320000000002"/>
    <n v="6.5791978246091096"/>
    <n v="8710.2000000000007"/>
    <n v="1323.9"/>
    <s v="0"/>
    <n v="1165.0320000000002"/>
    <s v="0"/>
    <n v="9145.7100000000009"/>
    <n v="0"/>
    <s v="0"/>
    <s v="0"/>
    <s v="0"/>
    <s v="0"/>
    <n v="0"/>
    <s v="0"/>
    <m/>
    <m/>
    <m/>
    <m/>
    <m/>
    <m/>
  </r>
  <r>
    <d v="2026-06-03T00:00:00"/>
    <s v="SALES"/>
    <s v="RAM RAHEEM GOLD SHOP"/>
    <n v="848.54"/>
    <n v="0.88"/>
    <n v="746.71519999999998"/>
    <n v="11.228191953237326"/>
    <n v="9527.57"/>
    <n v="848.54"/>
    <s v="0"/>
    <n v="746.71519999999998"/>
    <s v="0"/>
    <n v="10003.9485"/>
    <n v="0"/>
    <s v="0"/>
    <s v="0"/>
    <s v="0"/>
    <s v="0"/>
    <n v="0"/>
    <s v="0"/>
    <m/>
    <m/>
    <m/>
    <m/>
    <m/>
    <m/>
  </r>
  <r>
    <d v="2026-06-03T00:00:00"/>
    <s v="PURCHASE"/>
    <s v="HINDUSTAN JEWELLERY LLC"/>
    <n v="59"/>
    <n v="0.995"/>
    <n v="58.704999999999998"/>
    <n v="0"/>
    <m/>
    <s v="0"/>
    <s v="0"/>
    <s v="0"/>
    <s v="0"/>
    <n v="0"/>
    <n v="0"/>
    <n v="59"/>
    <s v="0"/>
    <n v="58.704999999999998"/>
    <s v="0"/>
    <n v="0"/>
    <s v="0"/>
    <m/>
    <m/>
    <m/>
    <m/>
    <m/>
    <m/>
  </r>
  <r>
    <d v="2026-06-03T00:00:00"/>
    <s v="PURCHASE"/>
    <s v="BHARAT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03T00:00:00"/>
    <s v="PURCHASE"/>
    <s v="RAM RAHEEM GOLD SHOP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03T00:00:00"/>
    <s v="PURCHASE"/>
    <s v="SUMIT GOLD HUB LLC"/>
    <n v="1000"/>
    <n v="1"/>
    <n v="1000"/>
    <n v="0"/>
    <m/>
    <s v="0"/>
    <s v="0"/>
    <s v="0"/>
    <s v="0"/>
    <n v="0"/>
    <n v="0"/>
    <n v="1000"/>
    <s v="0"/>
    <n v="1000"/>
    <s v="0"/>
    <n v="0"/>
    <s v="0"/>
    <m/>
    <m/>
    <m/>
    <m/>
    <m/>
    <m/>
  </r>
  <r>
    <d v="2026-06-03T00:00:00"/>
    <s v="PURCHASE"/>
    <s v="SUMIT GOLD HUB LLC"/>
    <n v="235.54"/>
    <n v="0.995"/>
    <n v="234.3623"/>
    <n v="0"/>
    <m/>
    <s v="0"/>
    <s v="0"/>
    <s v="0"/>
    <s v="0"/>
    <n v="0"/>
    <n v="0"/>
    <n v="235.54"/>
    <s v="0"/>
    <n v="234.3623"/>
    <s v="0"/>
    <n v="0"/>
    <s v="0"/>
    <m/>
    <m/>
    <m/>
    <m/>
    <m/>
    <m/>
  </r>
  <r>
    <d v="2026-06-03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03T00:00:00"/>
    <s v="PURCHASE"/>
    <s v="VISHAL JEWELLERY LLC"/>
    <n v="640.6"/>
    <n v="0.995"/>
    <n v="637.39700000000005"/>
    <n v="0"/>
    <m/>
    <s v="0"/>
    <s v="0"/>
    <s v="0"/>
    <s v="0"/>
    <n v="0"/>
    <n v="0"/>
    <n v="640.6"/>
    <s v="0"/>
    <n v="637.39700000000005"/>
    <s v="0"/>
    <n v="0"/>
    <s v="0"/>
    <m/>
    <m/>
    <m/>
    <m/>
    <m/>
    <m/>
  </r>
  <r>
    <d v="2026-06-03T00:00:00"/>
    <s v="PURCHASE"/>
    <s v="GORAKHPUR GOLD SHOP"/>
    <n v="1170.9000000000001"/>
    <n v="0.995"/>
    <n v="1165.0455000000002"/>
    <n v="0"/>
    <m/>
    <s v="0"/>
    <s v="0"/>
    <s v="0"/>
    <s v="0"/>
    <n v="0"/>
    <n v="0"/>
    <n v="1170.9000000000001"/>
    <s v="0"/>
    <n v="1165.0455000000002"/>
    <s v="0"/>
    <n v="0"/>
    <s v="0"/>
    <m/>
    <m/>
    <m/>
    <m/>
    <m/>
    <m/>
  </r>
  <r>
    <d v="2026-06-03T00:00:00"/>
    <s v="METAL PAYMENT"/>
    <s v="ASHA RAAM GOLD JEWELLERY SHOP"/>
    <n v="58"/>
    <n v="0.995"/>
    <n v="57.71"/>
    <n v="0"/>
    <m/>
    <s v="0"/>
    <s v="0"/>
    <s v="0"/>
    <s v="0"/>
    <n v="0"/>
    <n v="0"/>
    <s v="0"/>
    <n v="58"/>
    <s v="0"/>
    <n v="57.71"/>
    <n v="0"/>
    <n v="0"/>
    <m/>
    <m/>
    <m/>
    <m/>
    <m/>
    <m/>
  </r>
  <r>
    <d v="2026-06-03T00:00:00"/>
    <s v="RECEIPT "/>
    <s v="INDIA STAR JEWELLERY"/>
    <m/>
    <m/>
    <n v="0"/>
    <e v="#DIV/0!"/>
    <m/>
    <s v="0"/>
    <s v="0"/>
    <s v="0"/>
    <s v="0"/>
    <n v="0"/>
    <n v="0"/>
    <s v="0"/>
    <s v="0"/>
    <s v="0"/>
    <s v="0"/>
    <n v="0"/>
    <s v="0"/>
    <n v="150000"/>
    <m/>
    <m/>
    <m/>
    <m/>
    <m/>
  </r>
  <r>
    <d v="2026-06-03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5635"/>
    <m/>
    <m/>
    <m/>
    <m/>
    <m/>
  </r>
  <r>
    <d v="2026-06-04T00:00:00"/>
    <s v="SALES"/>
    <s v="HINDUSTAN JEWELLERY LLC"/>
    <n v="177.5"/>
    <n v="0.88"/>
    <n v="156.19999999999999"/>
    <n v="8.5"/>
    <n v="1508.75"/>
    <n v="177.5"/>
    <s v="0"/>
    <n v="156.19999999999999"/>
    <s v="0"/>
    <n v="1584.1875"/>
    <n v="0"/>
    <s v="0"/>
    <s v="0"/>
    <s v="0"/>
    <s v="0"/>
    <n v="0"/>
    <s v="0"/>
    <m/>
    <m/>
    <m/>
    <m/>
    <m/>
    <m/>
  </r>
  <r>
    <d v="2026-06-04T00:00:00"/>
    <s v="SALES"/>
    <s v="BABA RAMDEV AYURVEDIC GOLD"/>
    <n v="1417.9"/>
    <n v="0.88"/>
    <n v="1247.7520000000002"/>
    <n v="9"/>
    <n v="12761.1"/>
    <n v="1417.9"/>
    <s v="0"/>
    <n v="1247.7520000000002"/>
    <s v="0"/>
    <n v="13399.155000000001"/>
    <n v="0"/>
    <s v="0"/>
    <s v="0"/>
    <s v="0"/>
    <s v="0"/>
    <n v="0"/>
    <s v="0"/>
    <m/>
    <m/>
    <m/>
    <m/>
    <m/>
    <m/>
  </r>
  <r>
    <d v="2026-06-04T00:00:00"/>
    <s v="SALES"/>
    <s v="INDIA STAR JEWELLERY"/>
    <n v="775.3"/>
    <n v="0.88"/>
    <n v="682.26400000000001"/>
    <n v="7.7679607893718563"/>
    <n v="6022.5"/>
    <n v="775.3"/>
    <s v="0"/>
    <n v="682.26400000000001"/>
    <s v="0"/>
    <n v="6323.625"/>
    <n v="0"/>
    <s v="0"/>
    <s v="0"/>
    <s v="0"/>
    <s v="0"/>
    <n v="0"/>
    <s v="0"/>
    <m/>
    <m/>
    <m/>
    <m/>
    <m/>
    <m/>
  </r>
  <r>
    <d v="2026-06-04T00:00:00"/>
    <s v="SALES"/>
    <s v="BADSHAH JEWELLERY SHOP"/>
    <n v="648.70000000000005"/>
    <n v="0.88"/>
    <n v="570.85599999999999"/>
    <n v="7.7117311546169258"/>
    <n v="5002.6000000000004"/>
    <n v="648.70000000000005"/>
    <s v="0"/>
    <n v="570.85599999999999"/>
    <s v="0"/>
    <n v="5252.7300000000005"/>
    <n v="0"/>
    <s v="0"/>
    <s v="0"/>
    <s v="0"/>
    <s v="0"/>
    <n v="0"/>
    <s v="0"/>
    <m/>
    <m/>
    <m/>
    <m/>
    <m/>
    <m/>
  </r>
  <r>
    <d v="2026-06-04T00:00:00"/>
    <s v="SALES"/>
    <s v="BAGPAT GOLD HUB"/>
    <n v="8521"/>
    <n v="0.88"/>
    <n v="7498.4800000000005"/>
    <n v="0.55171928177443963"/>
    <n v="4701.2"/>
    <n v="8521"/>
    <s v="0"/>
    <n v="7498.4800000000005"/>
    <s v="0"/>
    <n v="4936.26"/>
    <n v="0"/>
    <s v="0"/>
    <s v="0"/>
    <s v="0"/>
    <s v="0"/>
    <n v="0"/>
    <s v="0"/>
    <m/>
    <m/>
    <m/>
    <m/>
    <m/>
    <m/>
  </r>
  <r>
    <d v="2026-06-04T00:00:00"/>
    <s v="PURCHASE"/>
    <s v="BABA RAMDEV AYURVEDIC GOLD"/>
    <n v="1254.03"/>
    <n v="0.995"/>
    <n v="1247.7598499999999"/>
    <n v="0"/>
    <m/>
    <s v="0"/>
    <s v="0"/>
    <s v="0"/>
    <s v="0"/>
    <n v="0"/>
    <n v="0"/>
    <n v="1254.03"/>
    <s v="0"/>
    <n v="1247.7598499999999"/>
    <s v="0"/>
    <n v="0"/>
    <s v="0"/>
    <m/>
    <m/>
    <m/>
    <m/>
    <m/>
    <m/>
  </r>
  <r>
    <d v="2026-06-04T00:00:00"/>
    <s v="PURCHASE"/>
    <s v="RAJU GOLD STAR"/>
    <n v="792.95"/>
    <n v="0.995"/>
    <n v="788.98525000000006"/>
    <n v="0"/>
    <m/>
    <s v="0"/>
    <s v="0"/>
    <s v="0"/>
    <s v="0"/>
    <n v="0"/>
    <n v="0"/>
    <n v="792.95"/>
    <s v="0"/>
    <n v="788.98525000000006"/>
    <s v="0"/>
    <n v="0"/>
    <s v="0"/>
    <m/>
    <m/>
    <m/>
    <m/>
    <m/>
    <m/>
  </r>
  <r>
    <d v="2026-06-04T00:00:00"/>
    <s v="PURCHASE"/>
    <s v="DHANANJAY JEWELLERY L.L.C"/>
    <n v="553.79999999999995"/>
    <n v="0.995"/>
    <n v="551.03099999999995"/>
    <n v="0"/>
    <m/>
    <s v="0"/>
    <s v="0"/>
    <s v="0"/>
    <s v="0"/>
    <n v="0"/>
    <n v="0"/>
    <n v="553.79999999999995"/>
    <s v="0"/>
    <n v="551.03099999999995"/>
    <s v="0"/>
    <n v="0"/>
    <s v="0"/>
    <m/>
    <m/>
    <m/>
    <m/>
    <m/>
    <m/>
  </r>
  <r>
    <d v="2026-06-04T00:00:00"/>
    <s v="PURCHASE"/>
    <s v="ABBAS GOLD CENTER LLC"/>
    <n v="537.82000000000005"/>
    <n v="0.995"/>
    <n v="535.1309"/>
    <n v="0"/>
    <m/>
    <s v="0"/>
    <s v="0"/>
    <s v="0"/>
    <s v="0"/>
    <n v="0"/>
    <n v="0"/>
    <n v="537.82000000000005"/>
    <s v="0"/>
    <n v="535.1309"/>
    <s v="0"/>
    <n v="0"/>
    <s v="0"/>
    <m/>
    <m/>
    <m/>
    <m/>
    <m/>
    <m/>
  </r>
  <r>
    <d v="2026-06-04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04T00:00:00"/>
    <s v="RECEIPT "/>
    <s v="BABA RAMDEV AYURVEDIC GOLD"/>
    <m/>
    <m/>
    <n v="0"/>
    <e v="#DIV/0!"/>
    <m/>
    <s v="0"/>
    <s v="0"/>
    <s v="0"/>
    <s v="0"/>
    <n v="0"/>
    <n v="0"/>
    <s v="0"/>
    <s v="0"/>
    <s v="0"/>
    <s v="0"/>
    <n v="0"/>
    <s v="0"/>
    <m/>
    <n v="13400"/>
    <m/>
    <m/>
    <m/>
    <m/>
  </r>
  <r>
    <d v="2026-06-05T00:00:00"/>
    <s v="SALES"/>
    <s v="SANT RAM PAL GOLD"/>
    <n v="900.6"/>
    <n v="0.88"/>
    <n v="792.52800000000002"/>
    <n v="5"/>
    <n v="4503"/>
    <n v="900.6"/>
    <s v="0"/>
    <n v="792.52800000000002"/>
    <s v="0"/>
    <n v="4728.1499999999996"/>
    <n v="0"/>
    <s v="0"/>
    <s v="0"/>
    <s v="0"/>
    <s v="0"/>
    <n v="0"/>
    <s v="0"/>
    <m/>
    <m/>
    <m/>
    <m/>
    <m/>
    <m/>
  </r>
  <r>
    <d v="2026-06-05T00:00:00"/>
    <s v="SALES"/>
    <s v="INDIA STAR JEWELLERY"/>
    <n v="909.2"/>
    <n v="0.88"/>
    <n v="800.096"/>
    <n v="11.220908490981081"/>
    <n v="10202.049999999999"/>
    <n v="909.2"/>
    <s v="0"/>
    <n v="800.096"/>
    <s v="0"/>
    <n v="10712.1525"/>
    <n v="0"/>
    <s v="0"/>
    <s v="0"/>
    <s v="0"/>
    <s v="0"/>
    <n v="0"/>
    <s v="0"/>
    <m/>
    <m/>
    <m/>
    <m/>
    <m/>
    <m/>
  </r>
  <r>
    <d v="2026-06-05T00:00:00"/>
    <s v="SALES"/>
    <s v="MODI JI GOLD WALE"/>
    <n v="670.7"/>
    <n v="0.88"/>
    <n v="590.21600000000001"/>
    <n v="5"/>
    <n v="3353.5"/>
    <n v="670.7"/>
    <s v="0"/>
    <n v="590.21600000000001"/>
    <s v="0"/>
    <n v="3521.1750000000002"/>
    <n v="0"/>
    <s v="0"/>
    <s v="0"/>
    <s v="0"/>
    <s v="0"/>
    <n v="0"/>
    <s v="0"/>
    <m/>
    <m/>
    <m/>
    <m/>
    <m/>
    <m/>
  </r>
  <r>
    <d v="2026-06-05T00:00:00"/>
    <s v="PURCHASE"/>
    <s v="HINDUSTAN JEWELLERY LLC"/>
    <n v="407.4"/>
    <n v="0.995"/>
    <n v="405.363"/>
    <n v="0"/>
    <m/>
    <s v="0"/>
    <s v="0"/>
    <s v="0"/>
    <s v="0"/>
    <n v="0"/>
    <n v="0"/>
    <n v="407.4"/>
    <s v="0"/>
    <n v="405.363"/>
    <s v="0"/>
    <n v="0"/>
    <s v="0"/>
    <m/>
    <m/>
    <m/>
    <m/>
    <m/>
    <m/>
  </r>
  <r>
    <d v="2026-06-05T00:00:00"/>
    <s v="PURCHASE"/>
    <s v="SANT RAM PAL GOLD"/>
    <n v="800.8"/>
    <n v="0.995"/>
    <n v="796.79599999999994"/>
    <n v="0"/>
    <m/>
    <s v="0"/>
    <s v="0"/>
    <s v="0"/>
    <s v="0"/>
    <n v="0"/>
    <n v="0"/>
    <n v="800.8"/>
    <s v="0"/>
    <n v="796.79599999999994"/>
    <s v="0"/>
    <n v="0"/>
    <s v="0"/>
    <m/>
    <m/>
    <m/>
    <m/>
    <m/>
    <m/>
  </r>
  <r>
    <d v="2026-06-05T00:00:00"/>
    <s v="PURCHASE"/>
    <s v="MODI JI GOLD WALE"/>
    <n v="377.8"/>
    <n v="0.995"/>
    <n v="375.911"/>
    <n v="0"/>
    <m/>
    <s v="0"/>
    <s v="0"/>
    <s v="0"/>
    <s v="0"/>
    <n v="0"/>
    <n v="0"/>
    <n v="377.8"/>
    <s v="0"/>
    <n v="375.911"/>
    <s v="0"/>
    <n v="0"/>
    <s v="0"/>
    <m/>
    <m/>
    <m/>
    <m/>
    <m/>
    <m/>
  </r>
  <r>
    <d v="2026-06-06T00:00:00"/>
    <s v="SALES"/>
    <s v="UMAR GOLD SHOP"/>
    <n v="5974"/>
    <n v="0.88"/>
    <n v="5257.12"/>
    <n v="0.43006360897221291"/>
    <n v="2569.1999999999998"/>
    <n v="5974"/>
    <s v="0"/>
    <n v="5257.12"/>
    <s v="0"/>
    <n v="2697.66"/>
    <n v="0"/>
    <s v="0"/>
    <s v="0"/>
    <s v="0"/>
    <s v="0"/>
    <n v="0"/>
    <s v="0"/>
    <m/>
    <m/>
    <m/>
    <m/>
    <m/>
    <m/>
  </r>
  <r>
    <d v="2026-06-06T00:00:00"/>
    <s v="SALES"/>
    <s v="MODI JI GOLD WALE"/>
    <n v="722.1"/>
    <n v="0.88"/>
    <n v="635.44799999999998"/>
    <n v="5"/>
    <n v="3610.5"/>
    <n v="722.1"/>
    <s v="0"/>
    <n v="635.44799999999998"/>
    <s v="0"/>
    <n v="3791.0250000000001"/>
    <n v="0"/>
    <s v="0"/>
    <s v="0"/>
    <s v="0"/>
    <s v="0"/>
    <n v="0"/>
    <s v="0"/>
    <m/>
    <m/>
    <m/>
    <m/>
    <m/>
    <m/>
  </r>
  <r>
    <d v="2026-06-06T00:00:00"/>
    <s v="SALES"/>
    <s v="INDIA STAR JEWELLERY"/>
    <n v="1918.5"/>
    <n v="0.88"/>
    <n v="1688.28"/>
    <n v="9.519937451133698"/>
    <n v="18264"/>
    <n v="1918.5"/>
    <s v="0"/>
    <n v="1688.28"/>
    <s v="0"/>
    <n v="19177.2"/>
    <n v="0"/>
    <s v="0"/>
    <s v="0"/>
    <s v="0"/>
    <s v="0"/>
    <n v="0"/>
    <s v="0"/>
    <m/>
    <m/>
    <m/>
    <m/>
    <m/>
    <m/>
  </r>
  <r>
    <d v="2026-06-06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06T00:00:00"/>
    <s v="SALES RETURN"/>
    <s v="BAGPAT GOLD HUB"/>
    <n v="203"/>
    <n v="0.88"/>
    <n v="178.64000000000001"/>
    <n v="5"/>
    <n v="1015"/>
    <s v="0"/>
    <n v="203"/>
    <s v="0"/>
    <n v="178.64000000000001"/>
    <n v="0"/>
    <n v="1065.75"/>
    <s v="0"/>
    <s v="0"/>
    <s v="0"/>
    <s v="0"/>
    <n v="0"/>
    <s v="0"/>
    <m/>
    <m/>
    <m/>
    <m/>
    <m/>
    <m/>
  </r>
  <r>
    <d v="2026-06-08T00:00:00"/>
    <s v="SALES"/>
    <s v="BHARAT JEWELLERY LLC"/>
    <n v="1295.54"/>
    <n v="0.88"/>
    <n v="1140.0752"/>
    <n v="8"/>
    <n v="10364.32"/>
    <n v="1295.54"/>
    <s v="0"/>
    <n v="1140.0752"/>
    <s v="0"/>
    <n v="10882.536"/>
    <n v="0"/>
    <s v="0"/>
    <s v="0"/>
    <s v="0"/>
    <s v="0"/>
    <n v="0"/>
    <s v="0"/>
    <m/>
    <m/>
    <m/>
    <m/>
    <m/>
    <m/>
  </r>
  <r>
    <d v="2026-06-08T00:00:00"/>
    <s v="SALES"/>
    <s v="UMAR GOLD SHOP"/>
    <n v="1635.5"/>
    <n v="0.88"/>
    <n v="1439.24"/>
    <n v="5.0003057169061451"/>
    <n v="8178"/>
    <n v="1635.5"/>
    <s v="0"/>
    <n v="1439.24"/>
    <s v="0"/>
    <n v="8586.9"/>
    <n v="0"/>
    <s v="0"/>
    <s v="0"/>
    <s v="0"/>
    <s v="0"/>
    <n v="0"/>
    <s v="0"/>
    <m/>
    <m/>
    <m/>
    <m/>
    <m/>
    <m/>
  </r>
  <r>
    <d v="2026-06-08T00:00:00"/>
    <s v="SALES"/>
    <s v="INDIA STAR JEWELLERY"/>
    <n v="1266.3"/>
    <n v="0.88"/>
    <n v="1114.3440000000001"/>
    <n v="11.344705046197584"/>
    <n v="14365.8"/>
    <n v="1266.3"/>
    <s v="0"/>
    <n v="1114.3440000000001"/>
    <s v="0"/>
    <n v="15084.09"/>
    <n v="0"/>
    <s v="0"/>
    <s v="0"/>
    <s v="0"/>
    <s v="0"/>
    <n v="0"/>
    <s v="0"/>
    <m/>
    <m/>
    <m/>
    <m/>
    <m/>
    <m/>
  </r>
  <r>
    <d v="2026-06-08T00:00:00"/>
    <s v="PURCHASE"/>
    <s v="ABBAS GOLD CENTER LLC"/>
    <n v="531.76"/>
    <n v="0.995"/>
    <n v="529.10119999999995"/>
    <m/>
    <m/>
    <s v="0"/>
    <s v="0"/>
    <s v="0"/>
    <s v="0"/>
    <n v="0"/>
    <n v="0"/>
    <n v="531.76"/>
    <s v="0"/>
    <n v="529.10119999999995"/>
    <s v="0"/>
    <n v="0"/>
    <s v="0"/>
    <m/>
    <m/>
    <m/>
    <m/>
    <m/>
    <m/>
  </r>
  <r>
    <d v="2026-06-08T00:00:00"/>
    <s v="PURCHASE"/>
    <s v="BHARAT JEWELLERY LLC"/>
    <n v="1593.7"/>
    <n v="0.995"/>
    <n v="1585.7315000000001"/>
    <m/>
    <m/>
    <s v="0"/>
    <s v="0"/>
    <s v="0"/>
    <s v="0"/>
    <n v="0"/>
    <n v="0"/>
    <n v="1593.7"/>
    <s v="0"/>
    <n v="1585.7315000000001"/>
    <s v="0"/>
    <n v="0"/>
    <s v="0"/>
    <m/>
    <m/>
    <m/>
    <m/>
    <m/>
    <m/>
  </r>
  <r>
    <d v="2026-06-08T00:00:00"/>
    <s v="PURCHASE"/>
    <s v="INDIA STAR JEWELLERY"/>
    <n v="1000"/>
    <n v="0.995"/>
    <n v="995"/>
    <m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08T00:00:00"/>
    <s v="PURCHASE"/>
    <s v="HINDUSTAN JEWELLERY LLC"/>
    <n v="1954"/>
    <n v="0.88"/>
    <n v="1719.52"/>
    <n v="0.63971340839303992"/>
    <n v="1250"/>
    <s v="0"/>
    <s v="0"/>
    <s v="0"/>
    <s v="0"/>
    <n v="0"/>
    <n v="0"/>
    <n v="1954"/>
    <s v="0"/>
    <n v="1719.52"/>
    <s v="0"/>
    <n v="1312.5"/>
    <s v="0"/>
    <m/>
    <m/>
    <m/>
    <m/>
    <m/>
    <m/>
  </r>
  <r>
    <d v="2026-06-09T00:00:00"/>
    <s v="SALES"/>
    <s v="SANT RAM PAL GOLD"/>
    <n v="943.2"/>
    <n v="0.88"/>
    <n v="830.01600000000008"/>
    <n v="6.9999999999999991"/>
    <n v="6602.4"/>
    <n v="943.2"/>
    <s v="0"/>
    <n v="830.01600000000008"/>
    <s v="0"/>
    <n v="6932.5199999999995"/>
    <n v="0"/>
    <s v="0"/>
    <s v="0"/>
    <s v="0"/>
    <s v="0"/>
    <n v="0"/>
    <s v="0"/>
    <m/>
    <m/>
    <m/>
    <m/>
    <m/>
    <m/>
  </r>
  <r>
    <d v="2026-06-09T00:00:00"/>
    <s v="SALES"/>
    <s v="UMAR GOLD SHOP"/>
    <n v="704.06"/>
    <n v="0.88"/>
    <n v="619.57279999999992"/>
    <n v="4.9995738999517094"/>
    <n v="3520"/>
    <n v="704.06"/>
    <s v="0"/>
    <n v="619.57279999999992"/>
    <s v="0"/>
    <n v="3696"/>
    <n v="0"/>
    <s v="0"/>
    <s v="0"/>
    <s v="0"/>
    <s v="0"/>
    <n v="0"/>
    <s v="0"/>
    <m/>
    <m/>
    <m/>
    <m/>
    <m/>
    <m/>
  </r>
  <r>
    <d v="2026-06-09T00:00:00"/>
    <s v="SALES"/>
    <s v="BULDOZER GOLD SHOP"/>
    <n v="56.45"/>
    <n v="0.88"/>
    <n v="49.676000000000002"/>
    <n v="6.9999999999999991"/>
    <n v="395.15"/>
    <n v="56.45"/>
    <s v="0"/>
    <n v="49.676000000000002"/>
    <s v="0"/>
    <n v="414.90749999999997"/>
    <n v="0"/>
    <s v="0"/>
    <s v="0"/>
    <s v="0"/>
    <s v="0"/>
    <n v="0"/>
    <s v="0"/>
    <m/>
    <m/>
    <m/>
    <m/>
    <m/>
    <m/>
  </r>
  <r>
    <d v="2026-06-09T00:00:00"/>
    <s v="SALES"/>
    <s v="BADSHAH JEWELLERY SHOP"/>
    <n v="233.6"/>
    <n v="0.88"/>
    <n v="205.56799999999998"/>
    <n v="12"/>
    <n v="2803.2"/>
    <n v="233.6"/>
    <s v="0"/>
    <n v="205.56799999999998"/>
    <s v="0"/>
    <n v="2943.3599999999997"/>
    <n v="0"/>
    <s v="0"/>
    <s v="0"/>
    <s v="0"/>
    <s v="0"/>
    <n v="0"/>
    <s v="0"/>
    <m/>
    <m/>
    <m/>
    <m/>
    <m/>
    <m/>
  </r>
  <r>
    <d v="2026-06-09T00:00:00"/>
    <s v="PURCHASE"/>
    <s v="SANT RAM PAL GOLD"/>
    <n v="804.6"/>
    <n v="0.995"/>
    <n v="800.577"/>
    <n v="0"/>
    <m/>
    <s v="0"/>
    <s v="0"/>
    <s v="0"/>
    <s v="0"/>
    <n v="0"/>
    <n v="0"/>
    <n v="804.6"/>
    <s v="0"/>
    <n v="800.577"/>
    <s v="0"/>
    <n v="0"/>
    <s v="0"/>
    <m/>
    <m/>
    <m/>
    <m/>
    <m/>
    <m/>
  </r>
  <r>
    <d v="2026-06-09T00:00:00"/>
    <s v="PURCHASE"/>
    <s v="UMAR GOLD SHOP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09T00:00:00"/>
    <s v="PURCHASE"/>
    <s v="BULDOZER GOLD SHOP"/>
    <n v="149.05000000000001"/>
    <n v="0.995"/>
    <n v="148.30475000000001"/>
    <n v="0"/>
    <m/>
    <s v="0"/>
    <s v="0"/>
    <s v="0"/>
    <s v="0"/>
    <n v="0"/>
    <n v="0"/>
    <n v="149.05000000000001"/>
    <s v="0"/>
    <n v="148.30475000000001"/>
    <s v="0"/>
    <n v="0"/>
    <s v="0"/>
    <m/>
    <m/>
    <m/>
    <m/>
    <m/>
    <m/>
  </r>
  <r>
    <d v="2026-06-09T00:00:00"/>
    <s v="RECEIPT "/>
    <s v="BULDOZER GOLD SHOP"/>
    <m/>
    <m/>
    <n v="0"/>
    <e v="#DIV/0!"/>
    <m/>
    <s v="0"/>
    <s v="0"/>
    <s v="0"/>
    <s v="0"/>
    <n v="0"/>
    <n v="0"/>
    <s v="0"/>
    <s v="0"/>
    <s v="0"/>
    <s v="0"/>
    <n v="0"/>
    <s v="0"/>
    <n v="415"/>
    <m/>
    <m/>
    <m/>
    <m/>
    <m/>
  </r>
  <r>
    <d v="2026-06-10T00:00:00"/>
    <s v="SALES"/>
    <s v="INDIA STAR JEWELLERY"/>
    <n v="2106"/>
    <n v="0.88"/>
    <n v="1853.28"/>
    <n v="11.395631528964863"/>
    <n v="23999.200000000001"/>
    <n v="2106"/>
    <s v="0"/>
    <n v="1853.28"/>
    <s v="0"/>
    <n v="25199.16"/>
    <n v="0"/>
    <s v="0"/>
    <s v="0"/>
    <s v="0"/>
    <s v="0"/>
    <n v="0"/>
    <s v="0"/>
    <m/>
    <m/>
    <m/>
    <m/>
    <m/>
    <m/>
  </r>
  <r>
    <d v="2026-06-10T00:00:00"/>
    <s v="SALES"/>
    <s v="BHARAT JEWELLERY LLC"/>
    <n v="1200"/>
    <n v="0.88"/>
    <n v="1056"/>
    <n v="16.757000000000001"/>
    <n v="20108.400000000001"/>
    <n v="1200"/>
    <s v="0"/>
    <n v="1056"/>
    <s v="0"/>
    <n v="21113.82"/>
    <n v="0"/>
    <s v="0"/>
    <s v="0"/>
    <s v="0"/>
    <s v="0"/>
    <n v="0"/>
    <s v="0"/>
    <m/>
    <m/>
    <m/>
    <m/>
    <m/>
    <m/>
  </r>
  <r>
    <d v="2026-06-10T00:00:00"/>
    <s v="SALES"/>
    <s v="SUMIT GOLD HUB LLC"/>
    <n v="1892.1"/>
    <n v="0.92"/>
    <n v="1740.732"/>
    <n v="4"/>
    <n v="7568.4"/>
    <n v="1892.1"/>
    <s v="0"/>
    <n v="1740.732"/>
    <s v="0"/>
    <n v="7946.82"/>
    <n v="0"/>
    <s v="0"/>
    <s v="0"/>
    <s v="0"/>
    <s v="0"/>
    <n v="0"/>
    <s v="0"/>
    <m/>
    <m/>
    <m/>
    <m/>
    <m/>
    <m/>
  </r>
  <r>
    <d v="2026-06-10T00:00:00"/>
    <s v="PURCHASE"/>
    <s v="BHARAT JEWELLERY LLC"/>
    <n v="1554.1"/>
    <n v="0.995"/>
    <n v="1546.3294999999998"/>
    <n v="0"/>
    <m/>
    <s v="0"/>
    <s v="0"/>
    <s v="0"/>
    <s v="0"/>
    <n v="0"/>
    <n v="0"/>
    <n v="1554.1"/>
    <s v="0"/>
    <n v="1546.3294999999998"/>
    <s v="0"/>
    <n v="0"/>
    <s v="0"/>
    <m/>
    <m/>
    <m/>
    <m/>
    <m/>
    <m/>
  </r>
  <r>
    <d v="2026-06-10T00:00:00"/>
    <s v="PURCHASE"/>
    <s v="SUMIT GOLD HUB LLC"/>
    <n v="1749.47"/>
    <n v="0.995"/>
    <n v="1740.7226499999999"/>
    <n v="0"/>
    <m/>
    <s v="0"/>
    <s v="0"/>
    <s v="0"/>
    <s v="0"/>
    <n v="0"/>
    <n v="0"/>
    <n v="1749.47"/>
    <s v="0"/>
    <n v="1740.7226499999999"/>
    <s v="0"/>
    <n v="0"/>
    <s v="0"/>
    <m/>
    <m/>
    <m/>
    <m/>
    <m/>
    <m/>
  </r>
  <r>
    <d v="2026-06-10T00:00:00"/>
    <s v="PURCHASE"/>
    <s v="HINDUSTAN JEWELLERY LLC"/>
    <n v="394.3"/>
    <n v="0.995"/>
    <n v="392.32850000000002"/>
    <n v="0"/>
    <m/>
    <s v="0"/>
    <s v="0"/>
    <s v="0"/>
    <s v="0"/>
    <n v="0"/>
    <n v="0"/>
    <n v="394.3"/>
    <s v="0"/>
    <n v="392.32850000000002"/>
    <s v="0"/>
    <n v="0"/>
    <s v="0"/>
    <m/>
    <m/>
    <m/>
    <m/>
    <m/>
    <m/>
  </r>
  <r>
    <d v="2026-06-10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10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7946"/>
    <m/>
    <m/>
    <m/>
    <m/>
    <m/>
  </r>
  <r>
    <d v="2026-06-10T00:00:00"/>
    <s v="RECEIPT "/>
    <s v="ABBAS GOLD CENTER LLC"/>
    <m/>
    <m/>
    <n v="0"/>
    <e v="#DIV/0!"/>
    <m/>
    <s v="0"/>
    <s v="0"/>
    <s v="0"/>
    <s v="0"/>
    <n v="0"/>
    <n v="0"/>
    <s v="0"/>
    <s v="0"/>
    <s v="0"/>
    <s v="0"/>
    <n v="0"/>
    <s v="0"/>
    <m/>
    <n v="50000"/>
    <m/>
    <m/>
    <m/>
    <m/>
  </r>
  <r>
    <d v="2026-06-11T00:00:00"/>
    <s v="SALES"/>
    <s v="BABA RAMDEV AYURVEDIC GOLD"/>
    <n v="1235.3"/>
    <n v="0.88"/>
    <n v="1087.0640000000001"/>
    <n v="9.0000000000000018"/>
    <n v="11117.7"/>
    <n v="1235.3"/>
    <s v="0"/>
    <n v="1087.0640000000001"/>
    <s v="0"/>
    <n v="11673.585000000001"/>
    <n v="0"/>
    <s v="0"/>
    <s v="0"/>
    <s v="0"/>
    <s v="0"/>
    <n v="0"/>
    <s v="0"/>
    <m/>
    <m/>
    <m/>
    <m/>
    <m/>
    <m/>
  </r>
  <r>
    <d v="2026-06-11T00:00:00"/>
    <s v="SALES"/>
    <s v="SUMIT GOLD HUB LLC"/>
    <n v="360"/>
    <n v="0.92"/>
    <n v="331.2"/>
    <n v="14.375555555555556"/>
    <n v="5175.2"/>
    <n v="360"/>
    <s v="0"/>
    <n v="331.2"/>
    <s v="0"/>
    <n v="5433.96"/>
    <n v="0"/>
    <s v="0"/>
    <s v="0"/>
    <s v="0"/>
    <s v="0"/>
    <n v="0"/>
    <s v="0"/>
    <m/>
    <m/>
    <m/>
    <m/>
    <m/>
    <m/>
  </r>
  <r>
    <d v="2026-06-11T00:00:00"/>
    <s v="SALES"/>
    <s v="INDIA STAR JEWELLERY"/>
    <n v="2428.3000000000002"/>
    <n v="0.88"/>
    <n v="2136.904"/>
    <n v="10.833875550796854"/>
    <n v="26307.9"/>
    <n v="2428.3000000000002"/>
    <s v="0"/>
    <n v="2136.904"/>
    <s v="0"/>
    <n v="27623.295000000002"/>
    <n v="0"/>
    <s v="0"/>
    <s v="0"/>
    <s v="0"/>
    <s v="0"/>
    <n v="0"/>
    <s v="0"/>
    <m/>
    <m/>
    <m/>
    <m/>
    <m/>
    <m/>
  </r>
  <r>
    <d v="2026-06-11T00:00:00"/>
    <s v="PURCHASE"/>
    <s v="BABA RAMDEV AYURVEDIC GOLD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11T00:00:00"/>
    <s v="PURCHASE"/>
    <s v="ABBAS GOLD CENTER LLC"/>
    <n v="500"/>
    <n v="1"/>
    <n v="500"/>
    <n v="0"/>
    <m/>
    <s v="0"/>
    <s v="0"/>
    <s v="0"/>
    <s v="0"/>
    <n v="0"/>
    <n v="0"/>
    <n v="500"/>
    <s v="0"/>
    <n v="500"/>
    <s v="0"/>
    <n v="0"/>
    <s v="0"/>
    <m/>
    <m/>
    <m/>
    <m/>
    <m/>
    <m/>
  </r>
  <r>
    <d v="2026-06-11T00:00:00"/>
    <s v="PURCHASE"/>
    <s v="MODI JI GOLD WALE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11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11T00:00:00"/>
    <s v="PURCHASE"/>
    <s v="SUMIT GOLD HUB LLC"/>
    <n v="1196.27"/>
    <n v="0.995"/>
    <n v="1190.28865"/>
    <n v="0"/>
    <m/>
    <s v="0"/>
    <s v="0"/>
    <s v="0"/>
    <s v="0"/>
    <n v="0"/>
    <n v="0"/>
    <n v="1196.27"/>
    <s v="0"/>
    <n v="1190.28865"/>
    <s v="0"/>
    <n v="0"/>
    <s v="0"/>
    <m/>
    <m/>
    <m/>
    <m/>
    <m/>
    <m/>
  </r>
  <r>
    <d v="2026-06-11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5435"/>
    <m/>
    <m/>
    <m/>
    <m/>
    <m/>
  </r>
  <r>
    <d v="2026-06-11T00:00:00"/>
    <s v="RECEIPT "/>
    <s v="MODI JI GOLD WALE"/>
    <m/>
    <m/>
    <n v="0"/>
    <e v="#DIV/0!"/>
    <m/>
    <s v="0"/>
    <s v="0"/>
    <s v="0"/>
    <s v="0"/>
    <n v="0"/>
    <n v="0"/>
    <s v="0"/>
    <s v="0"/>
    <s v="0"/>
    <s v="0"/>
    <n v="0"/>
    <s v="0"/>
    <m/>
    <n v="17000"/>
    <m/>
    <m/>
    <m/>
    <m/>
  </r>
  <r>
    <d v="2026-06-12T00:00:00"/>
    <s v="SALES"/>
    <s v="INDIA STAR JEWELLERY"/>
    <n v="2124.5"/>
    <n v="0.88"/>
    <n v="1869.56"/>
    <n v="10.99333960931984"/>
    <n v="23355.35"/>
    <n v="2124.5"/>
    <s v="0"/>
    <n v="1869.56"/>
    <s v="0"/>
    <n v="24523.1175"/>
    <n v="0"/>
    <s v="0"/>
    <s v="0"/>
    <s v="0"/>
    <s v="0"/>
    <n v="0"/>
    <s v="0"/>
    <m/>
    <m/>
    <m/>
    <m/>
    <m/>
    <m/>
  </r>
  <r>
    <d v="2026-06-12T00:00:00"/>
    <s v="SALES"/>
    <s v="BAGPAT GOLD HUB"/>
    <n v="921"/>
    <n v="0.88"/>
    <n v="810.48"/>
    <n v="8"/>
    <n v="7368"/>
    <n v="921"/>
    <s v="0"/>
    <n v="810.48"/>
    <s v="0"/>
    <n v="7736.4"/>
    <n v="0"/>
    <s v="0"/>
    <s v="0"/>
    <s v="0"/>
    <s v="0"/>
    <n v="0"/>
    <s v="0"/>
    <m/>
    <m/>
    <m/>
    <m/>
    <m/>
    <m/>
  </r>
  <r>
    <d v="2026-06-12T00:00:00"/>
    <s v="SALES"/>
    <s v="ABBAS GOLD CENTER LLC"/>
    <n v="495.43"/>
    <n v="0.88"/>
    <n v="435.97840000000002"/>
    <n v="8.0798296429364385"/>
    <n v="4002.99"/>
    <n v="495.43"/>
    <s v="0"/>
    <n v="435.97840000000002"/>
    <s v="0"/>
    <n v="4203.1394999999993"/>
    <n v="0"/>
    <s v="0"/>
    <s v="0"/>
    <s v="0"/>
    <s v="0"/>
    <n v="0"/>
    <s v="0"/>
    <m/>
    <m/>
    <m/>
    <m/>
    <m/>
    <m/>
  </r>
  <r>
    <d v="2026-06-12T00:00:00"/>
    <s v="SALES"/>
    <s v="HINDUSTAN JEWELLERY LLC"/>
    <n v="361"/>
    <n v="0.88"/>
    <n v="317.68"/>
    <n v="4.5984764542936283"/>
    <n v="1660.05"/>
    <n v="361"/>
    <s v="0"/>
    <n v="317.68"/>
    <s v="0"/>
    <n v="1743.0525"/>
    <n v="0"/>
    <s v="0"/>
    <s v="0"/>
    <s v="0"/>
    <s v="0"/>
    <n v="0"/>
    <s v="0"/>
    <m/>
    <m/>
    <m/>
    <m/>
    <m/>
    <m/>
  </r>
  <r>
    <d v="2026-06-12T00:00:00"/>
    <s v="SALES"/>
    <s v="SUMIT GOLD HUB LLC"/>
    <n v="1283.0999999999999"/>
    <n v="0.92"/>
    <n v="1180.452"/>
    <n v="4"/>
    <n v="5132.3999999999996"/>
    <n v="1283.0999999999999"/>
    <s v="0"/>
    <n v="1180.452"/>
    <s v="0"/>
    <n v="5389.0199999999995"/>
    <n v="0"/>
    <s v="0"/>
    <s v="0"/>
    <s v="0"/>
    <s v="0"/>
    <n v="0"/>
    <s v="0"/>
    <m/>
    <m/>
    <m/>
    <m/>
    <m/>
    <m/>
  </r>
  <r>
    <d v="2026-06-12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12T00:00:00"/>
    <s v="PURCHASE"/>
    <s v="BAGPAT GOLD HUB"/>
    <n v="301.5"/>
    <n v="0.995"/>
    <n v="299.99250000000001"/>
    <n v="0"/>
    <m/>
    <s v="0"/>
    <s v="0"/>
    <s v="0"/>
    <s v="0"/>
    <n v="0"/>
    <n v="0"/>
    <n v="301.5"/>
    <s v="0"/>
    <n v="299.99250000000001"/>
    <s v="0"/>
    <n v="0"/>
    <s v="0"/>
    <m/>
    <m/>
    <m/>
    <m/>
    <m/>
    <m/>
  </r>
  <r>
    <d v="2026-06-12T00:00:00"/>
    <s v="PURCHASE"/>
    <s v="SUMIT GOLD HUB LLC"/>
    <n v="1186.3800000000001"/>
    <n v="0.995"/>
    <n v="1180.4481000000001"/>
    <n v="0"/>
    <m/>
    <s v="0"/>
    <s v="0"/>
    <s v="0"/>
    <s v="0"/>
    <n v="0"/>
    <n v="0"/>
    <n v="1186.3800000000001"/>
    <s v="0"/>
    <n v="1180.4481000000001"/>
    <s v="0"/>
    <n v="0"/>
    <s v="0"/>
    <m/>
    <m/>
    <m/>
    <m/>
    <m/>
    <m/>
  </r>
  <r>
    <d v="2026-06-12T00:00:00"/>
    <s v="SALES RETURN"/>
    <s v="BAGPAT GOLD HUB"/>
    <n v="45.2"/>
    <n v="0.88"/>
    <n v="39.776000000000003"/>
    <n v="8"/>
    <n v="361.6"/>
    <s v="0"/>
    <n v="45.2"/>
    <s v="0"/>
    <n v="39.776000000000003"/>
    <n v="0"/>
    <n v="379.68"/>
    <s v="0"/>
    <s v="0"/>
    <s v="0"/>
    <s v="0"/>
    <n v="0"/>
    <s v="0"/>
    <m/>
    <m/>
    <m/>
    <m/>
    <m/>
    <m/>
  </r>
  <r>
    <d v="2026-06-12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5390"/>
    <m/>
    <m/>
    <m/>
    <m/>
    <m/>
  </r>
  <r>
    <d v="2026-06-12T00:00:00"/>
    <s v="RECEIPT "/>
    <s v="VISHAL JEWELLERY LLC"/>
    <m/>
    <m/>
    <n v="0"/>
    <e v="#DIV/0!"/>
    <m/>
    <s v="0"/>
    <s v="0"/>
    <s v="0"/>
    <s v="0"/>
    <n v="0"/>
    <n v="0"/>
    <s v="0"/>
    <s v="0"/>
    <s v="0"/>
    <s v="0"/>
    <n v="0"/>
    <s v="0"/>
    <m/>
    <n v="25000"/>
    <m/>
    <m/>
    <m/>
    <m/>
  </r>
  <r>
    <d v="2026-06-13T00:00:00"/>
    <s v="SALES"/>
    <s v="INDIA STAR JEWELLERY"/>
    <n v="2274.1999999999998"/>
    <n v="0.88"/>
    <n v="2001.2959999999998"/>
    <n v="11.075037375780495"/>
    <n v="25186.85"/>
    <n v="2274.1999999999998"/>
    <s v="0"/>
    <n v="2001.2959999999998"/>
    <s v="0"/>
    <n v="26446.192499999997"/>
    <n v="0"/>
    <s v="0"/>
    <s v="0"/>
    <s v="0"/>
    <s v="0"/>
    <n v="0"/>
    <s v="0"/>
    <m/>
    <m/>
    <m/>
    <m/>
    <m/>
    <m/>
  </r>
  <r>
    <d v="2026-06-13T00:00:00"/>
    <s v="SALES"/>
    <s v="UMAR GOLD SHOP"/>
    <n v="891.38"/>
    <n v="0.88"/>
    <n v="784.4144"/>
    <n v="5.000112185599856"/>
    <n v="4457"/>
    <n v="891.38"/>
    <s v="0"/>
    <n v="784.4144"/>
    <s v="0"/>
    <n v="4679.8500000000004"/>
    <n v="0"/>
    <s v="0"/>
    <s v="0"/>
    <s v="0"/>
    <s v="0"/>
    <n v="0"/>
    <s v="0"/>
    <m/>
    <m/>
    <m/>
    <m/>
    <m/>
    <m/>
  </r>
  <r>
    <d v="2026-06-13T00:00:00"/>
    <s v="SALES"/>
    <s v="SANT RAM PAL GOLD"/>
    <n v="897.4"/>
    <n v="0.88"/>
    <n v="789.71199999999999"/>
    <n v="5"/>
    <n v="4487"/>
    <n v="897.4"/>
    <s v="0"/>
    <n v="789.71199999999999"/>
    <s v="0"/>
    <n v="4711.3500000000004"/>
    <n v="0"/>
    <s v="0"/>
    <s v="0"/>
    <s v="0"/>
    <s v="0"/>
    <n v="0"/>
    <s v="0"/>
    <m/>
    <m/>
    <m/>
    <m/>
    <m/>
    <m/>
  </r>
  <r>
    <d v="2026-06-13T00:00:00"/>
    <s v="SALES"/>
    <s v="HINDUSTAN JEWELLERY LLC"/>
    <n v="717.3"/>
    <n v="0.88"/>
    <n v="631.22399999999993"/>
    <n v="8.5"/>
    <n v="6097.05"/>
    <n v="717.3"/>
    <s v="0"/>
    <n v="631.22399999999993"/>
    <s v="0"/>
    <n v="6401.9025000000001"/>
    <n v="0"/>
    <s v="0"/>
    <s v="0"/>
    <s v="0"/>
    <s v="0"/>
    <n v="0"/>
    <s v="0"/>
    <m/>
    <m/>
    <m/>
    <m/>
    <m/>
    <m/>
  </r>
  <r>
    <d v="2026-06-13T00:00:00"/>
    <s v="PURCHASE"/>
    <s v="INDIA STAR JEWELLERY"/>
    <n v="3000"/>
    <n v="0.995"/>
    <n v="2985"/>
    <n v="0"/>
    <m/>
    <s v="0"/>
    <s v="0"/>
    <s v="0"/>
    <s v="0"/>
    <n v="0"/>
    <n v="0"/>
    <n v="3000"/>
    <s v="0"/>
    <n v="2985"/>
    <s v="0"/>
    <n v="0"/>
    <s v="0"/>
    <m/>
    <m/>
    <m/>
    <m/>
    <m/>
    <m/>
  </r>
  <r>
    <d v="2026-06-13T00:00:00"/>
    <s v="PURCHASE"/>
    <s v="DHANANJAY JEWELLERY L.L.C"/>
    <n v="438.5"/>
    <n v="0.995"/>
    <n v="436.3075"/>
    <n v="0"/>
    <m/>
    <s v="0"/>
    <s v="0"/>
    <s v="0"/>
    <s v="0"/>
    <n v="0"/>
    <n v="0"/>
    <n v="438.5"/>
    <s v="0"/>
    <n v="436.3075"/>
    <s v="0"/>
    <n v="0"/>
    <s v="0"/>
    <m/>
    <m/>
    <m/>
    <m/>
    <m/>
    <m/>
  </r>
  <r>
    <d v="2026-06-13T00:00:00"/>
    <s v="PURCHASE"/>
    <s v="HINDUSTAN JEWELLERY LLC"/>
    <n v="382.9"/>
    <n v="0.995"/>
    <n v="380.9855"/>
    <n v="0"/>
    <m/>
    <s v="0"/>
    <s v="0"/>
    <s v="0"/>
    <s v="0"/>
    <n v="0"/>
    <n v="0"/>
    <n v="382.9"/>
    <s v="0"/>
    <n v="380.9855"/>
    <s v="0"/>
    <n v="0"/>
    <s v="0"/>
    <m/>
    <m/>
    <m/>
    <m/>
    <m/>
    <m/>
  </r>
  <r>
    <d v="2026-06-13T00:00:00"/>
    <s v="PURCHASE"/>
    <s v="UMAR GOLD SHOP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13T00:00:00"/>
    <s v="PURCHASE"/>
    <s v="SANT RAM PAL GOLD"/>
    <n v="596"/>
    <n v="0.995"/>
    <n v="593.02"/>
    <n v="0"/>
    <m/>
    <s v="0"/>
    <s v="0"/>
    <s v="0"/>
    <s v="0"/>
    <n v="0"/>
    <n v="0"/>
    <n v="596"/>
    <s v="0"/>
    <n v="593.02"/>
    <s v="0"/>
    <n v="0"/>
    <s v="0"/>
    <m/>
    <m/>
    <m/>
    <m/>
    <m/>
    <m/>
  </r>
  <r>
    <d v="2026-06-15T00:00:00"/>
    <s v="SALES"/>
    <s v="ABBAS GOLD CENTER LLC"/>
    <n v="456.8"/>
    <n v="0.88"/>
    <n v="401.98400000000004"/>
    <n v="5"/>
    <n v="2284"/>
    <n v="456.8"/>
    <s v="0"/>
    <n v="401.98400000000004"/>
    <s v="0"/>
    <n v="2398.1999999999998"/>
    <n v="0"/>
    <s v="0"/>
    <s v="0"/>
    <s v="0"/>
    <s v="0"/>
    <n v="0"/>
    <s v="0"/>
    <m/>
    <m/>
    <m/>
    <m/>
    <m/>
    <m/>
  </r>
  <r>
    <d v="2026-06-15T00:00:00"/>
    <s v="SALES"/>
    <s v="MODI JI GOLD WALE"/>
    <n v="956.9"/>
    <n v="0.88"/>
    <n v="842.072"/>
    <n v="5"/>
    <n v="4784.5"/>
    <n v="956.9"/>
    <s v="0"/>
    <n v="842.072"/>
    <s v="0"/>
    <n v="5023.7250000000004"/>
    <n v="0"/>
    <s v="0"/>
    <s v="0"/>
    <s v="0"/>
    <s v="0"/>
    <n v="0"/>
    <s v="0"/>
    <m/>
    <m/>
    <m/>
    <m/>
    <m/>
    <m/>
  </r>
  <r>
    <d v="2026-06-15T00:00:00"/>
    <s v="SALES"/>
    <s v="UMAR GOLD SHOP"/>
    <n v="1741.3"/>
    <n v="0.88"/>
    <n v="1532.3440000000001"/>
    <n v="5.0002871417906167"/>
    <n v="8707"/>
    <n v="1741.3"/>
    <s v="0"/>
    <n v="1532.3440000000001"/>
    <s v="0"/>
    <n v="9142.35"/>
    <n v="0"/>
    <s v="0"/>
    <s v="0"/>
    <s v="0"/>
    <s v="0"/>
    <n v="0"/>
    <s v="0"/>
    <m/>
    <m/>
    <m/>
    <m/>
    <m/>
    <m/>
  </r>
  <r>
    <d v="2026-06-15T00:00:00"/>
    <s v="PURCHASE"/>
    <s v="UMAR GOLD SHOP"/>
    <n v="1473.78"/>
    <n v="0.995"/>
    <n v="1466.4111"/>
    <m/>
    <m/>
    <s v="0"/>
    <s v="0"/>
    <s v="0"/>
    <s v="0"/>
    <n v="0"/>
    <n v="0"/>
    <n v="1473.78"/>
    <s v="0"/>
    <n v="1466.4111"/>
    <s v="0"/>
    <n v="0"/>
    <s v="0"/>
    <m/>
    <m/>
    <m/>
    <m/>
    <m/>
    <m/>
  </r>
  <r>
    <d v="2026-06-15T00:00:00"/>
    <s v="PURCHASE"/>
    <s v="ABBAS GOLD CENTER LLC"/>
    <n v="411"/>
    <n v="1"/>
    <n v="411"/>
    <m/>
    <m/>
    <s v="0"/>
    <s v="0"/>
    <s v="0"/>
    <s v="0"/>
    <n v="0"/>
    <n v="0"/>
    <n v="411"/>
    <s v="0"/>
    <n v="411"/>
    <s v="0"/>
    <n v="0"/>
    <s v="0"/>
    <m/>
    <m/>
    <m/>
    <m/>
    <m/>
    <m/>
  </r>
  <r>
    <d v="2026-06-15T00:00:00"/>
    <s v="PURCHASE"/>
    <s v="HINDUSTAN JEWELLERY LLC"/>
    <n v="600"/>
    <n v="0.88"/>
    <n v="528"/>
    <n v="5"/>
    <n v="3000"/>
    <s v="0"/>
    <s v="0"/>
    <s v="0"/>
    <s v="0"/>
    <n v="0"/>
    <n v="0"/>
    <n v="600"/>
    <s v="0"/>
    <n v="528"/>
    <s v="0"/>
    <n v="3150"/>
    <s v="0"/>
    <m/>
    <m/>
    <m/>
    <m/>
    <m/>
    <m/>
  </r>
  <r>
    <d v="2026-06-16T00:00:00"/>
    <s v="SALES"/>
    <s v="INDIA STAR JEWELLERY"/>
    <n v="2874.8"/>
    <n v="0.88"/>
    <n v="2529.8240000000001"/>
    <n v="10.176829692500347"/>
    <n v="29256.35"/>
    <n v="2874.8"/>
    <s v="0"/>
    <n v="2529.8240000000001"/>
    <s v="0"/>
    <n v="30719.1675"/>
    <n v="0"/>
    <s v="0"/>
    <s v="0"/>
    <s v="0"/>
    <s v="0"/>
    <n v="0"/>
    <s v="0"/>
    <m/>
    <m/>
    <m/>
    <m/>
    <m/>
    <m/>
  </r>
  <r>
    <d v="2026-06-16T00:00:00"/>
    <s v="SALES"/>
    <s v="RAJU GOLD STAR"/>
    <n v="1143.25"/>
    <n v="0.88"/>
    <n v="1006.0600000000001"/>
    <n v="4"/>
    <n v="4573"/>
    <n v="1143.25"/>
    <s v="0"/>
    <n v="1006.0600000000001"/>
    <s v="0"/>
    <n v="4801.6499999999996"/>
    <n v="0"/>
    <s v="0"/>
    <s v="0"/>
    <s v="0"/>
    <s v="0"/>
    <n v="0"/>
    <s v="0"/>
    <m/>
    <m/>
    <m/>
    <m/>
    <m/>
    <m/>
  </r>
  <r>
    <d v="2026-06-16T00:00:00"/>
    <s v="SALES"/>
    <s v="DHAMI GOLD SHOP"/>
    <n v="1109"/>
    <n v="0.88"/>
    <n v="975.92"/>
    <n v="5.5"/>
    <n v="6099.5"/>
    <n v="1109"/>
    <s v="0"/>
    <n v="975.92"/>
    <s v="0"/>
    <n v="6404.4750000000004"/>
    <n v="0"/>
    <s v="0"/>
    <s v="0"/>
    <s v="0"/>
    <s v="0"/>
    <n v="0"/>
    <s v="0"/>
    <m/>
    <m/>
    <m/>
    <m/>
    <m/>
    <m/>
  </r>
  <r>
    <d v="2026-06-16T00:00:00"/>
    <s v="SALES"/>
    <s v="BHARAT JEWELLERY LLC"/>
    <n v="871"/>
    <n v="0.88"/>
    <n v="766.48"/>
    <n v="7.2816877152698041"/>
    <n v="6342.3499999999995"/>
    <n v="871"/>
    <s v="0"/>
    <n v="766.48"/>
    <s v="0"/>
    <n v="6659.4674999999997"/>
    <n v="0"/>
    <s v="0"/>
    <s v="0"/>
    <s v="0"/>
    <s v="0"/>
    <n v="0"/>
    <s v="0"/>
    <m/>
    <m/>
    <m/>
    <m/>
    <m/>
    <m/>
  </r>
  <r>
    <d v="2026-06-16T00:00:00"/>
    <s v="PURCHASE"/>
    <s v="BHARAT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16T00:00:00"/>
    <s v="PURCHASE"/>
    <s v="UMAR GOLD SHOP"/>
    <n v="497.89"/>
    <n v="0.995"/>
    <n v="495.40055000000001"/>
    <n v="0"/>
    <m/>
    <s v="0"/>
    <s v="0"/>
    <s v="0"/>
    <s v="0"/>
    <n v="0"/>
    <n v="0"/>
    <n v="497.89"/>
    <s v="0"/>
    <n v="495.40055000000001"/>
    <s v="0"/>
    <n v="0"/>
    <s v="0"/>
    <m/>
    <m/>
    <m/>
    <m/>
    <m/>
    <m/>
  </r>
  <r>
    <d v="2026-06-16T00:00:00"/>
    <s v="PURCHASE"/>
    <s v="HINDUSTAN JEWELLERY LLC"/>
    <n v="406.8"/>
    <n v="0.995"/>
    <n v="404.76600000000002"/>
    <n v="0"/>
    <m/>
    <s v="0"/>
    <s v="0"/>
    <s v="0"/>
    <s v="0"/>
    <n v="0"/>
    <n v="0"/>
    <n v="406.8"/>
    <s v="0"/>
    <n v="404.76600000000002"/>
    <s v="0"/>
    <n v="0"/>
    <s v="0"/>
    <m/>
    <m/>
    <m/>
    <m/>
    <m/>
    <m/>
  </r>
  <r>
    <d v="2026-06-16T00:00:00"/>
    <s v="PURCHASE"/>
    <s v="RAJU GOLD STAR"/>
    <n v="975.28"/>
    <n v="0.995"/>
    <n v="970.40359999999998"/>
    <n v="0"/>
    <m/>
    <s v="0"/>
    <s v="0"/>
    <s v="0"/>
    <s v="0"/>
    <n v="0"/>
    <n v="0"/>
    <n v="975.28"/>
    <s v="0"/>
    <n v="970.40359999999998"/>
    <s v="0"/>
    <n v="0"/>
    <s v="0"/>
    <m/>
    <m/>
    <m/>
    <m/>
    <m/>
    <m/>
  </r>
  <r>
    <d v="2026-06-16T00:00:00"/>
    <s v="PURCHASE"/>
    <s v="DHAMI GOLD SHOP"/>
    <n v="980.3"/>
    <n v="0.995"/>
    <n v="975.3984999999999"/>
    <n v="0"/>
    <m/>
    <s v="0"/>
    <s v="0"/>
    <s v="0"/>
    <s v="0"/>
    <n v="0"/>
    <n v="0"/>
    <n v="980.3"/>
    <s v="0"/>
    <n v="975.3984999999999"/>
    <s v="0"/>
    <n v="0"/>
    <s v="0"/>
    <m/>
    <m/>
    <m/>
    <m/>
    <m/>
    <m/>
  </r>
  <r>
    <d v="2026-06-16T00:00:00"/>
    <s v="RECEIPT "/>
    <s v="UMAR GOLD SHOP"/>
    <m/>
    <m/>
    <n v="0"/>
    <e v="#DIV/0!"/>
    <m/>
    <s v="0"/>
    <s v="0"/>
    <s v="0"/>
    <s v="0"/>
    <n v="0"/>
    <n v="0"/>
    <s v="0"/>
    <s v="0"/>
    <s v="0"/>
    <s v="0"/>
    <n v="0"/>
    <s v="0"/>
    <m/>
    <n v="67700"/>
    <m/>
    <m/>
    <m/>
    <m/>
  </r>
  <r>
    <d v="2026-06-16T00:00:00"/>
    <s v="RECEIPT "/>
    <s v="BHARAT JEWELLERY LLC"/>
    <m/>
    <m/>
    <n v="0"/>
    <e v="#DIV/0!"/>
    <m/>
    <s v="0"/>
    <s v="0"/>
    <s v="0"/>
    <s v="0"/>
    <n v="0"/>
    <n v="0"/>
    <s v="0"/>
    <s v="0"/>
    <s v="0"/>
    <s v="0"/>
    <n v="0"/>
    <s v="0"/>
    <m/>
    <n v="75000"/>
    <m/>
    <m/>
    <m/>
    <m/>
  </r>
  <r>
    <d v="2026-06-17T00:00:00"/>
    <s v="SALES"/>
    <s v="RAHUL BABA GOLD HUB"/>
    <n v="320.99"/>
    <n v="0.88"/>
    <n v="282.47120000000001"/>
    <n v="7.3323468020810623"/>
    <n v="2353.61"/>
    <n v="320.99"/>
    <s v="0"/>
    <n v="282.47120000000001"/>
    <s v="0"/>
    <n v="2471.2905000000001"/>
    <n v="0"/>
    <s v="0"/>
    <s v="0"/>
    <s v="0"/>
    <s v="0"/>
    <n v="0"/>
    <s v="0"/>
    <m/>
    <m/>
    <m/>
    <m/>
    <m/>
    <m/>
  </r>
  <r>
    <d v="2026-06-17T00:00:00"/>
    <s v="SALES"/>
    <s v="SANT RAM PAL GOLD"/>
    <n v="1171.9000000000001"/>
    <n v="0.88"/>
    <n v="1031.2720000000002"/>
    <n v="5"/>
    <n v="5859.5"/>
    <n v="1171.9000000000001"/>
    <s v="0"/>
    <n v="1031.2720000000002"/>
    <s v="0"/>
    <n v="6152.4750000000004"/>
    <n v="0"/>
    <s v="0"/>
    <s v="0"/>
    <s v="0"/>
    <s v="0"/>
    <n v="0"/>
    <s v="0"/>
    <m/>
    <m/>
    <m/>
    <m/>
    <m/>
    <m/>
  </r>
  <r>
    <d v="2026-06-17T00:00:00"/>
    <s v="SALES"/>
    <s v="INDIA STAR JEWELLERY"/>
    <n v="745.1"/>
    <n v="0.88"/>
    <n v="655.68799999999999"/>
    <n v="12.581465575090592"/>
    <n v="9374.4500000000007"/>
    <n v="745.1"/>
    <s v="0"/>
    <n v="655.68799999999999"/>
    <s v="0"/>
    <n v="9843.1725000000006"/>
    <n v="0"/>
    <s v="0"/>
    <s v="0"/>
    <s v="0"/>
    <s v="0"/>
    <n v="0"/>
    <s v="0"/>
    <m/>
    <m/>
    <m/>
    <m/>
    <m/>
    <m/>
  </r>
  <r>
    <d v="2026-06-17T00:00:00"/>
    <s v="SALES"/>
    <s v="UMAR GOLD SHOP"/>
    <n v="2007.7"/>
    <n v="0.88"/>
    <n v="1766.7760000000001"/>
    <n v="5.0002490411914131"/>
    <n v="10039"/>
    <n v="2007.7"/>
    <s v="0"/>
    <n v="1766.7760000000001"/>
    <s v="0"/>
    <n v="10540.95"/>
    <n v="0"/>
    <s v="0"/>
    <s v="0"/>
    <s v="0"/>
    <s v="0"/>
    <n v="0"/>
    <s v="0"/>
    <m/>
    <m/>
    <m/>
    <m/>
    <m/>
    <m/>
  </r>
  <r>
    <d v="2026-06-17T00:00:00"/>
    <s v="SALES"/>
    <s v="HINDUSTAN JEWELLERY LLC"/>
    <n v="964"/>
    <n v="0.88"/>
    <n v="848.32"/>
    <n v="6.6121887966804973"/>
    <n v="6374.15"/>
    <n v="964"/>
    <s v="0"/>
    <n v="848.32"/>
    <s v="0"/>
    <n v="6692.8575000000001"/>
    <n v="0"/>
    <s v="0"/>
    <s v="0"/>
    <s v="0"/>
    <s v="0"/>
    <n v="0"/>
    <s v="0"/>
    <m/>
    <m/>
    <m/>
    <m/>
    <m/>
    <m/>
  </r>
  <r>
    <d v="2026-06-17T00:00:00"/>
    <s v="PURCHASE"/>
    <s v="RAHUL BABA GOLD HUB"/>
    <n v="283.89"/>
    <n v="0.995"/>
    <n v="282.47055"/>
    <n v="0"/>
    <m/>
    <s v="0"/>
    <s v="0"/>
    <s v="0"/>
    <s v="0"/>
    <n v="0"/>
    <n v="0"/>
    <n v="283.89"/>
    <s v="0"/>
    <n v="282.47055"/>
    <s v="0"/>
    <n v="0"/>
    <s v="0"/>
    <m/>
    <m/>
    <m/>
    <m/>
    <m/>
    <m/>
  </r>
  <r>
    <d v="2026-06-17T00:00:00"/>
    <s v="PURCHASE"/>
    <s v="BADSHAH JEWELLERY SHOP"/>
    <n v="800"/>
    <n v="0.995"/>
    <n v="796"/>
    <n v="0"/>
    <m/>
    <s v="0"/>
    <s v="0"/>
    <s v="0"/>
    <s v="0"/>
    <n v="0"/>
    <n v="0"/>
    <n v="800"/>
    <s v="0"/>
    <n v="796"/>
    <s v="0"/>
    <n v="0"/>
    <s v="0"/>
    <m/>
    <m/>
    <m/>
    <m/>
    <m/>
    <m/>
  </r>
  <r>
    <d v="2026-06-17T00:00:00"/>
    <s v="PURCHASE"/>
    <s v="SANT RAM PAL GOLD"/>
    <n v="974.4"/>
    <n v="0.995"/>
    <n v="969.52800000000002"/>
    <n v="0"/>
    <m/>
    <s v="0"/>
    <s v="0"/>
    <s v="0"/>
    <s v="0"/>
    <n v="0"/>
    <n v="0"/>
    <n v="974.4"/>
    <s v="0"/>
    <n v="969.52800000000002"/>
    <s v="0"/>
    <n v="0"/>
    <s v="0"/>
    <m/>
    <m/>
    <m/>
    <m/>
    <m/>
    <m/>
  </r>
  <r>
    <d v="2026-06-17T00:00:00"/>
    <s v="PURCHASE"/>
    <s v="INDIA STAR JEWELLERY"/>
    <n v="3000"/>
    <n v="0.995"/>
    <n v="2985"/>
    <n v="0"/>
    <m/>
    <s v="0"/>
    <s v="0"/>
    <s v="0"/>
    <s v="0"/>
    <n v="0"/>
    <n v="0"/>
    <n v="3000"/>
    <s v="0"/>
    <n v="2985"/>
    <s v="0"/>
    <n v="0"/>
    <s v="0"/>
    <m/>
    <m/>
    <m/>
    <m/>
    <m/>
    <m/>
  </r>
  <r>
    <d v="2026-06-17T00:00:00"/>
    <s v="PURCHASE"/>
    <s v="UMAR GOLD SHOP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17T00:00:00"/>
    <s v="PURCHASE"/>
    <s v="BAGPAT GOLD HUB"/>
    <n v="500.2"/>
    <n v="0.995"/>
    <n v="497.69900000000001"/>
    <n v="0"/>
    <m/>
    <s v="0"/>
    <s v="0"/>
    <s v="0"/>
    <s v="0"/>
    <n v="0"/>
    <n v="0"/>
    <n v="500.2"/>
    <s v="0"/>
    <n v="497.69900000000001"/>
    <s v="0"/>
    <n v="0"/>
    <s v="0"/>
    <m/>
    <m/>
    <m/>
    <m/>
    <m/>
    <m/>
  </r>
  <r>
    <d v="2026-06-18T00:00:00"/>
    <s v="SALES"/>
    <s v="INDIA STAR JEWELLERY"/>
    <n v="1474.7"/>
    <n v="0.88"/>
    <n v="1297.7360000000001"/>
    <n v="9.9446667118736016"/>
    <n v="14665.4"/>
    <n v="1474.7"/>
    <s v="0"/>
    <n v="1297.7360000000001"/>
    <s v="0"/>
    <n v="15398.67"/>
    <n v="0"/>
    <s v="0"/>
    <s v="0"/>
    <s v="0"/>
    <s v="0"/>
    <n v="0"/>
    <s v="0"/>
    <m/>
    <m/>
    <m/>
    <m/>
    <m/>
    <m/>
  </r>
  <r>
    <d v="2026-06-18T00:00:00"/>
    <s v="SALES"/>
    <s v="SUMIT GOLD HUB LLC"/>
    <n v="1641.37"/>
    <n v="0.92"/>
    <n v="1510.0604000000001"/>
    <n v="4"/>
    <n v="6565.48"/>
    <n v="1641.37"/>
    <s v="0"/>
    <n v="1510.0604000000001"/>
    <s v="0"/>
    <n v="6893.7539999999999"/>
    <n v="0"/>
    <s v="0"/>
    <s v="0"/>
    <s v="0"/>
    <s v="0"/>
    <n v="0"/>
    <s v="0"/>
    <m/>
    <m/>
    <m/>
    <m/>
    <m/>
    <m/>
  </r>
  <r>
    <d v="2026-06-18T00:00:00"/>
    <s v="SALES"/>
    <s v="VISHAL JEWELLERY LLC"/>
    <n v="1568.5"/>
    <n v="0.88"/>
    <n v="1380.28"/>
    <n v="9"/>
    <n v="14116.5"/>
    <n v="1568.5"/>
    <s v="0"/>
    <n v="1380.28"/>
    <s v="0"/>
    <n v="14822.325000000001"/>
    <n v="0"/>
    <s v="0"/>
    <s v="0"/>
    <s v="0"/>
    <s v="0"/>
    <n v="0"/>
    <s v="0"/>
    <m/>
    <m/>
    <m/>
    <m/>
    <m/>
    <m/>
  </r>
  <r>
    <d v="2026-06-18T00:00:00"/>
    <s v="PURCHASE"/>
    <s v="INDIA STAR JEWELLERY"/>
    <n v="586"/>
    <n v="0.995"/>
    <n v="583.07000000000005"/>
    <n v="0"/>
    <m/>
    <s v="0"/>
    <s v="0"/>
    <s v="0"/>
    <s v="0"/>
    <n v="0"/>
    <n v="0"/>
    <n v="586"/>
    <s v="0"/>
    <n v="583.07000000000005"/>
    <s v="0"/>
    <n v="0"/>
    <s v="0"/>
    <m/>
    <m/>
    <m/>
    <m/>
    <m/>
    <m/>
  </r>
  <r>
    <d v="2026-06-18T00:00:00"/>
    <s v="PURCHASE"/>
    <s v="SUMIT GOLD HUB LLC"/>
    <n v="1517.64"/>
    <n v="0.995"/>
    <n v="1510.0518000000002"/>
    <n v="0"/>
    <m/>
    <s v="0"/>
    <s v="0"/>
    <s v="0"/>
    <s v="0"/>
    <n v="0"/>
    <n v="0"/>
    <n v="1517.64"/>
    <s v="0"/>
    <n v="1510.0518000000002"/>
    <s v="0"/>
    <n v="0"/>
    <s v="0"/>
    <m/>
    <m/>
    <m/>
    <m/>
    <m/>
    <m/>
  </r>
  <r>
    <d v="2026-06-18T00:00:00"/>
    <s v="PURCHASE"/>
    <s v="UMAR GOLD SHOP"/>
    <n v="698.08"/>
    <n v="0.995"/>
    <n v="694.58960000000002"/>
    <n v="0"/>
    <m/>
    <s v="0"/>
    <s v="0"/>
    <s v="0"/>
    <s v="0"/>
    <n v="0"/>
    <n v="0"/>
    <n v="698.08"/>
    <s v="0"/>
    <n v="694.58960000000002"/>
    <s v="0"/>
    <n v="0"/>
    <s v="0"/>
    <m/>
    <m/>
    <m/>
    <m/>
    <m/>
    <m/>
  </r>
  <r>
    <d v="2026-06-18T00:00:00"/>
    <s v="PURCHASE"/>
    <s v="VISHAL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18T00:00:00"/>
    <s v="PURCHASE"/>
    <s v="ABBAS GOLD CENTER LLC"/>
    <n v="400.71"/>
    <n v="0.995"/>
    <n v="398.70644999999996"/>
    <n v="0"/>
    <m/>
    <s v="0"/>
    <s v="0"/>
    <s v="0"/>
    <s v="0"/>
    <n v="0"/>
    <n v="0"/>
    <n v="400.71"/>
    <s v="0"/>
    <n v="398.70644999999996"/>
    <s v="0"/>
    <n v="0"/>
    <s v="0"/>
    <m/>
    <m/>
    <m/>
    <m/>
    <m/>
    <m/>
  </r>
  <r>
    <d v="2026-06-18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6894"/>
    <m/>
    <m/>
    <m/>
    <m/>
    <m/>
  </r>
  <r>
    <d v="2026-06-19T00:00:00"/>
    <s v="SALES"/>
    <s v="INDIA STAR JEWELLERY"/>
    <n v="1946"/>
    <n v="0.88"/>
    <n v="1712.48"/>
    <n v="10.100462487153134"/>
    <n v="19655.5"/>
    <n v="1946"/>
    <s v="0"/>
    <n v="1712.48"/>
    <s v="0"/>
    <n v="20638.275000000001"/>
    <n v="0"/>
    <s v="0"/>
    <s v="0"/>
    <s v="0"/>
    <s v="0"/>
    <n v="0"/>
    <s v="0"/>
    <m/>
    <m/>
    <m/>
    <m/>
    <m/>
    <m/>
  </r>
  <r>
    <d v="2026-06-19T00:00:00"/>
    <s v="SALES"/>
    <s v="UMAR GOLD SHOP"/>
    <n v="36.24"/>
    <n v="0.88"/>
    <n v="31.891200000000001"/>
    <n v="4.0011037527593816"/>
    <n v="145"/>
    <n v="36.24"/>
    <s v="0"/>
    <n v="31.891200000000001"/>
    <s v="0"/>
    <n v="152.25"/>
    <n v="0"/>
    <s v="0"/>
    <s v="0"/>
    <s v="0"/>
    <s v="0"/>
    <n v="0"/>
    <s v="0"/>
    <m/>
    <m/>
    <m/>
    <m/>
    <m/>
    <m/>
  </r>
  <r>
    <d v="2026-06-19T00:00:00"/>
    <s v="SALES"/>
    <s v="SUMIT GOLD HUB LLC"/>
    <n v="2304.5"/>
    <n v="0.92"/>
    <n v="2120.14"/>
    <n v="4"/>
    <n v="9218"/>
    <n v="2304.5"/>
    <s v="0"/>
    <n v="2120.14"/>
    <s v="0"/>
    <n v="9678.9"/>
    <n v="0"/>
    <s v="0"/>
    <s v="0"/>
    <s v="0"/>
    <s v="0"/>
    <n v="0"/>
    <s v="0"/>
    <m/>
    <m/>
    <m/>
    <m/>
    <m/>
    <m/>
  </r>
  <r>
    <d v="2026-06-19T00:00:00"/>
    <s v="SALES"/>
    <s v="BHARAT JEWELLERY LLC"/>
    <n v="706.7"/>
    <n v="0.88"/>
    <n v="621.89600000000007"/>
    <n v="11.999999999999998"/>
    <n v="8480.4"/>
    <n v="706.7"/>
    <s v="0"/>
    <n v="621.89600000000007"/>
    <s v="0"/>
    <n v="8904.42"/>
    <n v="0"/>
    <s v="0"/>
    <s v="0"/>
    <s v="0"/>
    <s v="0"/>
    <n v="0"/>
    <s v="0"/>
    <m/>
    <m/>
    <m/>
    <m/>
    <m/>
    <m/>
  </r>
  <r>
    <d v="2026-06-19T00:00:00"/>
    <s v="SALES"/>
    <s v="HINDUSTAN JEWELLERY LLC"/>
    <n v="571.1"/>
    <n v="0.88"/>
    <n v="502.56800000000004"/>
    <n v="6.9999999999999991"/>
    <n v="3997.7"/>
    <n v="571.1"/>
    <s v="0"/>
    <n v="502.56800000000004"/>
    <s v="0"/>
    <n v="4197.585"/>
    <n v="0"/>
    <s v="0"/>
    <s v="0"/>
    <s v="0"/>
    <s v="0"/>
    <n v="0"/>
    <s v="0"/>
    <m/>
    <m/>
    <m/>
    <m/>
    <m/>
    <m/>
  </r>
  <r>
    <d v="2026-06-19T00:00:00"/>
    <s v="SALES"/>
    <s v="ABBAS GOLD CENTER LLC"/>
    <n v="397.4"/>
    <n v="0.88"/>
    <n v="349.71199999999999"/>
    <n v="5"/>
    <n v="1987"/>
    <n v="397.4"/>
    <s v="0"/>
    <n v="349.71199999999999"/>
    <s v="0"/>
    <n v="2086.35"/>
    <n v="0"/>
    <s v="0"/>
    <s v="0"/>
    <s v="0"/>
    <s v="0"/>
    <n v="0"/>
    <s v="0"/>
    <m/>
    <m/>
    <m/>
    <m/>
    <m/>
    <m/>
  </r>
  <r>
    <d v="2026-06-19T00:00:00"/>
    <s v="SALES"/>
    <s v="SONIYA JI GOLD HOUSE"/>
    <n v="108"/>
    <n v="0.88"/>
    <n v="95.04"/>
    <n v="7"/>
    <n v="756"/>
    <n v="108"/>
    <s v="0"/>
    <n v="95.04"/>
    <s v="0"/>
    <n v="793.8"/>
    <n v="0"/>
    <s v="0"/>
    <s v="0"/>
    <s v="0"/>
    <s v="0"/>
    <n v="0"/>
    <s v="0"/>
    <m/>
    <m/>
    <m/>
    <m/>
    <m/>
    <m/>
  </r>
  <r>
    <d v="2026-06-19T00:00:00"/>
    <s v="PURCHASE"/>
    <s v="SUMIT GOLD HUB LLC"/>
    <n v="2130.79"/>
    <n v="0.995"/>
    <n v="2120.1360500000001"/>
    <n v="0"/>
    <m/>
    <s v="0"/>
    <s v="0"/>
    <s v="0"/>
    <s v="0"/>
    <n v="0"/>
    <n v="0"/>
    <n v="2130.79"/>
    <s v="0"/>
    <n v="2120.1360500000001"/>
    <s v="0"/>
    <n v="0"/>
    <s v="0"/>
    <m/>
    <m/>
    <m/>
    <m/>
    <m/>
    <m/>
  </r>
  <r>
    <d v="2026-06-19T00:00:00"/>
    <s v="PURCHASE"/>
    <s v="HINDUSTAN JEWELLERY LLC"/>
    <n v="57"/>
    <n v="0.995"/>
    <n v="56.714999999999996"/>
    <n v="0"/>
    <m/>
    <s v="0"/>
    <s v="0"/>
    <s v="0"/>
    <s v="0"/>
    <n v="0"/>
    <n v="0"/>
    <n v="57"/>
    <s v="0"/>
    <n v="56.714999999999996"/>
    <s v="0"/>
    <n v="0"/>
    <s v="0"/>
    <m/>
    <m/>
    <m/>
    <m/>
    <m/>
    <m/>
  </r>
  <r>
    <d v="2026-06-19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9679"/>
    <m/>
    <m/>
    <m/>
    <m/>
    <m/>
  </r>
  <r>
    <d v="2026-06-20T00:00:00"/>
    <s v="SALES"/>
    <s v="SUMIT GOLD HUB LLC"/>
    <n v="1851.98"/>
    <n v="0.92"/>
    <n v="1703.8216"/>
    <n v="4"/>
    <n v="7407.92"/>
    <n v="1851.98"/>
    <s v="0"/>
    <n v="1703.8216"/>
    <s v="0"/>
    <n v="7778.3159999999998"/>
    <n v="0"/>
    <s v="0"/>
    <s v="0"/>
    <s v="0"/>
    <s v="0"/>
    <n v="0"/>
    <s v="0"/>
    <m/>
    <m/>
    <m/>
    <m/>
    <m/>
    <m/>
  </r>
  <r>
    <d v="2026-06-20T00:00:00"/>
    <s v="SALES"/>
    <s v="INDIA STAR JEWELLERY"/>
    <n v="1125.3"/>
    <n v="0.88"/>
    <n v="990.26400000000001"/>
    <n v="10.968408424420154"/>
    <n v="12342.75"/>
    <n v="1125.3"/>
    <s v="0"/>
    <n v="990.26400000000001"/>
    <s v="0"/>
    <n v="12959.887500000001"/>
    <n v="0"/>
    <s v="0"/>
    <s v="0"/>
    <s v="0"/>
    <s v="0"/>
    <n v="0"/>
    <s v="0"/>
    <m/>
    <m/>
    <m/>
    <m/>
    <m/>
    <m/>
  </r>
  <r>
    <d v="2026-06-20T00:00:00"/>
    <s v="SALES"/>
    <s v="HINDUSTAN JEWELLERY LLC"/>
    <n v="1024.2"/>
    <n v="0.88"/>
    <n v="901.29600000000005"/>
    <n v="8.9999999999999982"/>
    <n v="9217.7999999999993"/>
    <n v="1024.2"/>
    <s v="0"/>
    <n v="901.29600000000005"/>
    <s v="0"/>
    <n v="9678.6899999999987"/>
    <n v="0"/>
    <s v="0"/>
    <s v="0"/>
    <s v="0"/>
    <s v="0"/>
    <n v="0"/>
    <s v="0"/>
    <m/>
    <m/>
    <m/>
    <m/>
    <m/>
    <m/>
  </r>
  <r>
    <d v="2026-06-20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20T00:00:00"/>
    <s v="PURCHASE"/>
    <s v="INDIA STAR JEWELLERY"/>
    <n v="1000"/>
    <n v="1"/>
    <n v="1000"/>
    <n v="0"/>
    <m/>
    <s v="0"/>
    <s v="0"/>
    <s v="0"/>
    <s v="0"/>
    <n v="0"/>
    <n v="0"/>
    <n v="1000"/>
    <s v="0"/>
    <n v="1000"/>
    <s v="0"/>
    <n v="0"/>
    <s v="0"/>
    <m/>
    <m/>
    <m/>
    <m/>
    <m/>
    <m/>
  </r>
  <r>
    <d v="2026-06-20T00:00:00"/>
    <s v="PURCHASE"/>
    <s v="SUMIT GOLD HUB LLC"/>
    <n v="1712.38"/>
    <n v="0.995"/>
    <n v="1703.8181000000002"/>
    <n v="0"/>
    <m/>
    <s v="0"/>
    <s v="0"/>
    <s v="0"/>
    <s v="0"/>
    <n v="0"/>
    <n v="0"/>
    <n v="1712.38"/>
    <s v="0"/>
    <n v="1703.8181000000002"/>
    <s v="0"/>
    <n v="0"/>
    <s v="0"/>
    <m/>
    <m/>
    <m/>
    <m/>
    <m/>
    <m/>
  </r>
  <r>
    <d v="2026-06-20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7778"/>
    <m/>
    <m/>
    <m/>
    <m/>
    <m/>
  </r>
  <r>
    <d v="2026-06-22T00:00:00"/>
    <s v="SALES"/>
    <s v="SONIYA JI GOLD HOUSE"/>
    <n v="75.7"/>
    <n v="0.88"/>
    <n v="66.616"/>
    <n v="8"/>
    <n v="605.6"/>
    <n v="75.7"/>
    <s v="0"/>
    <n v="66.616"/>
    <s v="0"/>
    <n v="635.88"/>
    <n v="0"/>
    <s v="0"/>
    <s v="0"/>
    <s v="0"/>
    <s v="0"/>
    <n v="0"/>
    <s v="0"/>
    <m/>
    <m/>
    <m/>
    <m/>
    <m/>
    <m/>
  </r>
  <r>
    <d v="2026-06-22T00:00:00"/>
    <s v="SALES"/>
    <s v="SUMIT GOLD HUB LLC"/>
    <n v="2131.1999999999998"/>
    <n v="0.92"/>
    <n v="1960.704"/>
    <n v="4"/>
    <n v="8524.7999999999993"/>
    <n v="2131.1999999999998"/>
    <s v="0"/>
    <n v="1960.704"/>
    <s v="0"/>
    <n v="8951.0399999999991"/>
    <n v="0"/>
    <s v="0"/>
    <s v="0"/>
    <s v="0"/>
    <s v="0"/>
    <n v="0"/>
    <s v="0"/>
    <m/>
    <m/>
    <m/>
    <m/>
    <m/>
    <m/>
  </r>
  <r>
    <d v="2026-06-22T00:00:00"/>
    <s v="SALES"/>
    <s v="INDIA STAR JEWELLERY"/>
    <n v="1644.9"/>
    <n v="0.88"/>
    <n v="1447.5120000000002"/>
    <n v="10.792115022189799"/>
    <n v="17751.95"/>
    <n v="1644.9"/>
    <s v="0"/>
    <n v="1447.5120000000002"/>
    <s v="0"/>
    <n v="18639.547500000001"/>
    <n v="0"/>
    <s v="0"/>
    <s v="0"/>
    <s v="0"/>
    <s v="0"/>
    <n v="0"/>
    <s v="0"/>
    <m/>
    <m/>
    <m/>
    <m/>
    <m/>
    <m/>
  </r>
  <r>
    <d v="2026-06-22T00:00:00"/>
    <s v="SALES"/>
    <s v="SONIYA JI GOLD HOUSE"/>
    <n v="50.3"/>
    <n v="0.88"/>
    <n v="44.263999999999996"/>
    <n v="6.0000000000000009"/>
    <n v="301.8"/>
    <n v="50.3"/>
    <s v="0"/>
    <n v="44.263999999999996"/>
    <s v="0"/>
    <n v="316.89"/>
    <n v="0"/>
    <s v="0"/>
    <s v="0"/>
    <s v="0"/>
    <s v="0"/>
    <n v="0"/>
    <s v="0"/>
    <m/>
    <m/>
    <m/>
    <m/>
    <m/>
    <m/>
  </r>
  <r>
    <d v="2026-06-22T00:00:00"/>
    <s v="SALES"/>
    <s v="BHARAT JEWELLERY LLC"/>
    <n v="812"/>
    <n v="0.88"/>
    <n v="714.56000000000006"/>
    <n v="8"/>
    <n v="6496"/>
    <n v="812"/>
    <s v="0"/>
    <n v="714.56000000000006"/>
    <s v="0"/>
    <n v="6820.8"/>
    <n v="0"/>
    <s v="0"/>
    <s v="0"/>
    <s v="0"/>
    <s v="0"/>
    <n v="0"/>
    <s v="0"/>
    <m/>
    <m/>
    <m/>
    <m/>
    <m/>
    <m/>
  </r>
  <r>
    <d v="2026-06-22T00:00:00"/>
    <s v="PURCHASE"/>
    <s v="BADSHAH JEWELLERY SHOP"/>
    <n v="600"/>
    <n v="0.995"/>
    <n v="597"/>
    <m/>
    <m/>
    <s v="0"/>
    <s v="0"/>
    <s v="0"/>
    <s v="0"/>
    <n v="0"/>
    <n v="0"/>
    <n v="600"/>
    <s v="0"/>
    <n v="597"/>
    <s v="0"/>
    <n v="0"/>
    <s v="0"/>
    <m/>
    <m/>
    <m/>
    <m/>
    <m/>
    <m/>
  </r>
  <r>
    <d v="2026-06-22T00:00:00"/>
    <s v="PURCHASE"/>
    <s v="PANNE  LAL GOLD SHOP"/>
    <n v="112.73"/>
    <n v="0.995"/>
    <n v="112.16635000000001"/>
    <m/>
    <m/>
    <s v="0"/>
    <s v="0"/>
    <s v="0"/>
    <s v="0"/>
    <n v="0"/>
    <n v="0"/>
    <n v="112.73"/>
    <s v="0"/>
    <n v="112.16635000000001"/>
    <s v="0"/>
    <n v="0"/>
    <s v="0"/>
    <m/>
    <m/>
    <m/>
    <m/>
    <m/>
    <m/>
  </r>
  <r>
    <d v="2026-06-22T00:00:00"/>
    <s v="PURCHASE"/>
    <s v="BAGPAT GOLD HUB"/>
    <n v="303.2"/>
    <n v="0.995"/>
    <n v="301.68399999999997"/>
    <m/>
    <m/>
    <s v="0"/>
    <s v="0"/>
    <s v="0"/>
    <s v="0"/>
    <n v="0"/>
    <n v="0"/>
    <n v="303.2"/>
    <s v="0"/>
    <n v="301.68399999999997"/>
    <s v="0"/>
    <n v="0"/>
    <s v="0"/>
    <m/>
    <m/>
    <m/>
    <m/>
    <m/>
    <m/>
  </r>
  <r>
    <d v="2026-06-22T00:00:00"/>
    <s v="PURCHASE"/>
    <s v="SUMIT GOLD HUB LLC"/>
    <n v="1960.7"/>
    <n v="1"/>
    <n v="1960.7"/>
    <m/>
    <m/>
    <s v="0"/>
    <s v="0"/>
    <s v="0"/>
    <s v="0"/>
    <n v="0"/>
    <n v="0"/>
    <n v="1960.7"/>
    <s v="0"/>
    <n v="1960.7"/>
    <s v="0"/>
    <n v="0"/>
    <s v="0"/>
    <m/>
    <m/>
    <m/>
    <m/>
    <m/>
    <m/>
  </r>
  <r>
    <d v="2026-06-22T00:00:00"/>
    <s v="PURCHASE"/>
    <s v="HINDUSTAN JEWELLERY LLC"/>
    <n v="423.6"/>
    <n v="0.995"/>
    <n v="421.48200000000003"/>
    <m/>
    <m/>
    <s v="0"/>
    <s v="0"/>
    <s v="0"/>
    <s v="0"/>
    <n v="0"/>
    <n v="0"/>
    <n v="423.6"/>
    <s v="0"/>
    <n v="421.48200000000003"/>
    <s v="0"/>
    <n v="0"/>
    <s v="0"/>
    <m/>
    <m/>
    <m/>
    <m/>
    <m/>
    <m/>
  </r>
  <r>
    <d v="2026-06-22T00:00:00"/>
    <s v="PURCHASE"/>
    <s v="MODI JI GOLD WALE"/>
    <n v="867.4"/>
    <n v="0.995"/>
    <n v="863.06299999999999"/>
    <m/>
    <m/>
    <s v="0"/>
    <s v="0"/>
    <s v="0"/>
    <s v="0"/>
    <n v="0"/>
    <n v="0"/>
    <n v="867.4"/>
    <s v="0"/>
    <n v="863.06299999999999"/>
    <s v="0"/>
    <n v="0"/>
    <s v="0"/>
    <m/>
    <m/>
    <m/>
    <m/>
    <m/>
    <m/>
  </r>
  <r>
    <d v="2026-06-22T00:00:00"/>
    <s v="PURCHASE"/>
    <s v="BHARAT JEWELLERY LLC"/>
    <n v="537.29999999999995"/>
    <n v="0.995"/>
    <n v="534.61349999999993"/>
    <m/>
    <m/>
    <s v="0"/>
    <s v="0"/>
    <s v="0"/>
    <s v="0"/>
    <n v="0"/>
    <n v="0"/>
    <n v="537.29999999999995"/>
    <s v="0"/>
    <n v="534.61349999999993"/>
    <s v="0"/>
    <n v="0"/>
    <s v="0"/>
    <m/>
    <m/>
    <m/>
    <m/>
    <m/>
    <m/>
  </r>
  <r>
    <d v="2026-06-22T00:00:00"/>
    <s v="PURCHASE"/>
    <s v="ABBAS GOLD CENTER LLC"/>
    <n v="552.07000000000005"/>
    <n v="0.995"/>
    <n v="549.30965000000003"/>
    <m/>
    <m/>
    <s v="0"/>
    <s v="0"/>
    <s v="0"/>
    <s v="0"/>
    <n v="0"/>
    <n v="0"/>
    <n v="552.07000000000005"/>
    <s v="0"/>
    <n v="549.30965000000003"/>
    <s v="0"/>
    <n v="0"/>
    <s v="0"/>
    <m/>
    <m/>
    <m/>
    <m/>
    <m/>
    <m/>
  </r>
  <r>
    <d v="2026-06-22T00:00:00"/>
    <s v="PURCHASE"/>
    <s v="ASHA RAAM GOLD JEWELLERY SHOP"/>
    <n v="981.6"/>
    <n v="0.88"/>
    <n v="863.80799999999999"/>
    <n v="2.6282599837000817"/>
    <n v="2579.9"/>
    <s v="0"/>
    <s v="0"/>
    <s v="0"/>
    <s v="0"/>
    <n v="0"/>
    <n v="0"/>
    <n v="981.6"/>
    <s v="0"/>
    <n v="863.80799999999999"/>
    <s v="0"/>
    <n v="2708.895"/>
    <s v="0"/>
    <m/>
    <m/>
    <m/>
    <m/>
    <m/>
    <m/>
  </r>
  <r>
    <d v="2026-06-22T00:00:00"/>
    <s v="METAL PAYMENT"/>
    <s v="ASHA RAAM GOLD JEWELLERY SHOP"/>
    <n v="726.8"/>
    <n v="0.995"/>
    <n v="723.16599999999994"/>
    <n v="0"/>
    <m/>
    <s v="0"/>
    <s v="0"/>
    <s v="0"/>
    <s v="0"/>
    <n v="0"/>
    <n v="0"/>
    <s v="0"/>
    <n v="726.8"/>
    <s v="0"/>
    <n v="723.16599999999994"/>
    <n v="0"/>
    <n v="0"/>
    <m/>
    <m/>
    <m/>
    <m/>
    <m/>
    <m/>
  </r>
  <r>
    <d v="2026-06-22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8951"/>
    <m/>
    <m/>
    <m/>
    <m/>
    <m/>
  </r>
  <r>
    <d v="2026-06-22T00:00:00"/>
    <s v="PURCHASE"/>
    <s v="VISHAL JEWELLERY LLC"/>
    <n v="394.9"/>
    <n v="0.995"/>
    <n v="392.9255"/>
    <n v="0"/>
    <m/>
    <s v="0"/>
    <s v="0"/>
    <s v="0"/>
    <s v="0"/>
    <n v="0"/>
    <n v="0"/>
    <n v="394.9"/>
    <s v="0"/>
    <n v="392.9255"/>
    <s v="0"/>
    <n v="0"/>
    <s v="0"/>
    <m/>
    <m/>
    <m/>
    <m/>
    <m/>
    <m/>
  </r>
  <r>
    <d v="2026-06-22T00:00:00"/>
    <s v="PURCHASE"/>
    <s v="HINDUSTAN JEWELLERY LLC"/>
    <n v="600"/>
    <n v="0.88"/>
    <n v="528"/>
    <n v="5"/>
    <n v="3000"/>
    <s v="0"/>
    <s v="0"/>
    <s v="0"/>
    <s v="0"/>
    <n v="0"/>
    <n v="0"/>
    <n v="600"/>
    <s v="0"/>
    <n v="528"/>
    <s v="0"/>
    <n v="3150"/>
    <s v="0"/>
    <m/>
    <m/>
    <m/>
    <m/>
    <m/>
    <m/>
  </r>
  <r>
    <d v="2026-06-23T00:00:00"/>
    <s v="SALES"/>
    <s v="SUMIT GOLD HUB LLC"/>
    <n v="368.92"/>
    <n v="0.92"/>
    <n v="339.40640000000002"/>
    <n v="4"/>
    <n v="1475.68"/>
    <n v="368.92"/>
    <s v="0"/>
    <n v="339.40640000000002"/>
    <s v="0"/>
    <n v="1549.4640000000002"/>
    <n v="0"/>
    <s v="0"/>
    <s v="0"/>
    <s v="0"/>
    <s v="0"/>
    <n v="0"/>
    <s v="0"/>
    <m/>
    <m/>
    <m/>
    <m/>
    <m/>
    <m/>
  </r>
  <r>
    <d v="2026-06-23T00:00:00"/>
    <s v="SALES"/>
    <s v="DHAMI GOLD SHOP"/>
    <n v="1199.5999999999999"/>
    <n v="0.88"/>
    <n v="1055.6479999999999"/>
    <n v="9"/>
    <n v="10796.4"/>
    <n v="1199.5999999999999"/>
    <s v="0"/>
    <n v="1055.6479999999999"/>
    <s v="0"/>
    <n v="11336.22"/>
    <n v="0"/>
    <s v="0"/>
    <s v="0"/>
    <s v="0"/>
    <s v="0"/>
    <n v="0"/>
    <s v="0"/>
    <m/>
    <m/>
    <m/>
    <m/>
    <m/>
    <m/>
  </r>
  <r>
    <d v="2026-06-23T00:00:00"/>
    <s v="SALES"/>
    <s v="ABBAS GOLD CENTER LLC"/>
    <n v="653"/>
    <n v="0.88"/>
    <n v="574.64"/>
    <n v="9.4135987748851448"/>
    <n v="6147.08"/>
    <n v="653"/>
    <s v="0"/>
    <n v="574.64"/>
    <s v="0"/>
    <n v="6454.4340000000002"/>
    <n v="0"/>
    <s v="0"/>
    <s v="0"/>
    <s v="0"/>
    <s v="0"/>
    <n v="0"/>
    <s v="0"/>
    <m/>
    <m/>
    <m/>
    <m/>
    <m/>
    <m/>
  </r>
  <r>
    <d v="2026-06-23T00:00:00"/>
    <s v="SALES"/>
    <s v="INDIA STAR JEWELLERY"/>
    <n v="252.2"/>
    <n v="0.88"/>
    <n v="221.93599999999998"/>
    <n v="13"/>
    <n v="3278.6"/>
    <n v="252.2"/>
    <s v="0"/>
    <n v="221.93599999999998"/>
    <s v="0"/>
    <n v="3442.5299999999997"/>
    <n v="0"/>
    <s v="0"/>
    <s v="0"/>
    <s v="0"/>
    <s v="0"/>
    <n v="0"/>
    <s v="0"/>
    <m/>
    <m/>
    <m/>
    <m/>
    <m/>
    <m/>
  </r>
  <r>
    <d v="2026-06-23T00:00:00"/>
    <s v="SALES"/>
    <s v="INDIA STAR JEWELLERY"/>
    <n v="970.6"/>
    <n v="0.88"/>
    <n v="854.12800000000004"/>
    <n v="11.943230991139501"/>
    <n v="11592.1"/>
    <n v="970.6"/>
    <s v="0"/>
    <n v="854.12800000000004"/>
    <s v="0"/>
    <n v="12171.705"/>
    <n v="0"/>
    <s v="0"/>
    <s v="0"/>
    <s v="0"/>
    <s v="0"/>
    <n v="0"/>
    <s v="0"/>
    <m/>
    <m/>
    <m/>
    <m/>
    <m/>
    <m/>
  </r>
  <r>
    <d v="2026-06-23T00:00:00"/>
    <s v="PURCHASE"/>
    <s v="SUMIT GOLD HUB LLC"/>
    <n v="339.4"/>
    <n v="1"/>
    <n v="339.4"/>
    <n v="0"/>
    <m/>
    <s v="0"/>
    <s v="0"/>
    <s v="0"/>
    <s v="0"/>
    <n v="0"/>
    <n v="0"/>
    <n v="339.4"/>
    <s v="0"/>
    <n v="339.4"/>
    <s v="0"/>
    <n v="0"/>
    <s v="0"/>
    <m/>
    <m/>
    <m/>
    <m/>
    <m/>
    <m/>
  </r>
  <r>
    <d v="2026-06-23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23T00:00:00"/>
    <s v="PURCHASE"/>
    <s v="DHAMI GOLD SHOP"/>
    <n v="1005.025"/>
    <n v="0.995"/>
    <n v="999.99987499999997"/>
    <n v="0"/>
    <m/>
    <s v="0"/>
    <s v="0"/>
    <s v="0"/>
    <s v="0"/>
    <n v="0"/>
    <n v="0"/>
    <n v="1005.025"/>
    <s v="0"/>
    <n v="999.99987499999997"/>
    <s v="0"/>
    <n v="0"/>
    <s v="0"/>
    <m/>
    <m/>
    <m/>
    <m/>
    <m/>
    <m/>
  </r>
  <r>
    <d v="2026-06-23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1550"/>
    <m/>
    <m/>
    <m/>
    <m/>
    <m/>
  </r>
  <r>
    <d v="2026-06-24T00:00:00"/>
    <s v="SALES"/>
    <s v="INDIA STAR JEWELLERY"/>
    <n v="1147.5999999999999"/>
    <n v="0.88"/>
    <n v="1009.8879999999999"/>
    <n v="10.68678110840014"/>
    <n v="12264.15"/>
    <n v="1147.5999999999999"/>
    <s v="0"/>
    <n v="1009.8879999999999"/>
    <s v="0"/>
    <n v="12877.3575"/>
    <n v="0"/>
    <s v="0"/>
    <s v="0"/>
    <s v="0"/>
    <s v="0"/>
    <n v="0"/>
    <s v="0"/>
    <m/>
    <m/>
    <m/>
    <m/>
    <m/>
    <m/>
  </r>
  <r>
    <d v="2026-06-24T00:00:00"/>
    <s v="SALES"/>
    <s v="SONIYA JI GOLD HOUSE"/>
    <n v="303.39999999999998"/>
    <n v="0.88"/>
    <n v="266.99199999999996"/>
    <n v="7.0000000000000009"/>
    <n v="2123.8000000000002"/>
    <n v="303.39999999999998"/>
    <s v="0"/>
    <n v="266.99199999999996"/>
    <s v="0"/>
    <n v="2229.9900000000002"/>
    <n v="0"/>
    <s v="0"/>
    <s v="0"/>
    <s v="0"/>
    <s v="0"/>
    <n v="0"/>
    <s v="0"/>
    <m/>
    <m/>
    <m/>
    <m/>
    <m/>
    <m/>
  </r>
  <r>
    <d v="2026-06-24T00:00:00"/>
    <s v="SALES"/>
    <s v="VISHAL JEWELLERY LLC"/>
    <n v="1067.5999999999999"/>
    <n v="0.88"/>
    <n v="939.48799999999994"/>
    <n v="5"/>
    <n v="5338"/>
    <n v="1067.5999999999999"/>
    <s v="0"/>
    <n v="939.48799999999994"/>
    <s v="0"/>
    <n v="5604.9"/>
    <n v="0"/>
    <s v="0"/>
    <s v="0"/>
    <s v="0"/>
    <s v="0"/>
    <n v="0"/>
    <s v="0"/>
    <m/>
    <m/>
    <m/>
    <m/>
    <m/>
    <m/>
  </r>
  <r>
    <d v="2026-06-24T00:00:00"/>
    <s v="PURCHASE"/>
    <s v="VISHAL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24T00:00:00"/>
    <s v="PURCHASE"/>
    <s v="RAJU GOLD STAR"/>
    <n v="151.58000000000001"/>
    <n v="0.995"/>
    <n v="150.82210000000001"/>
    <n v="0"/>
    <m/>
    <s v="0"/>
    <s v="0"/>
    <s v="0"/>
    <s v="0"/>
    <n v="0"/>
    <n v="0"/>
    <n v="151.58000000000001"/>
    <s v="0"/>
    <n v="150.82210000000001"/>
    <s v="0"/>
    <n v="0"/>
    <s v="0"/>
    <m/>
    <m/>
    <m/>
    <m/>
    <m/>
    <m/>
  </r>
  <r>
    <d v="2026-06-24T00:00:00"/>
    <s v="PURCHASE"/>
    <s v="HINDUSTAN JEWELLERY LLC"/>
    <n v="438.5"/>
    <n v="0.995"/>
    <n v="436.3075"/>
    <n v="0"/>
    <m/>
    <s v="0"/>
    <s v="0"/>
    <s v="0"/>
    <s v="0"/>
    <n v="0"/>
    <n v="0"/>
    <n v="438.5"/>
    <s v="0"/>
    <n v="436.3075"/>
    <s v="0"/>
    <n v="0"/>
    <s v="0"/>
    <m/>
    <m/>
    <m/>
    <m/>
    <m/>
    <m/>
  </r>
  <r>
    <d v="2026-06-24T00:00:00"/>
    <s v="PURCHASE"/>
    <s v="INDIA STAR JEWELLERY"/>
    <n v="3000"/>
    <n v="0.995"/>
    <n v="2985"/>
    <n v="0"/>
    <m/>
    <s v="0"/>
    <s v="0"/>
    <s v="0"/>
    <s v="0"/>
    <n v="0"/>
    <n v="0"/>
    <n v="3000"/>
    <s v="0"/>
    <n v="2985"/>
    <s v="0"/>
    <n v="0"/>
    <s v="0"/>
    <m/>
    <m/>
    <m/>
    <m/>
    <m/>
    <m/>
  </r>
  <r>
    <d v="2026-06-24T00:00:00"/>
    <s v="PURCHASE"/>
    <s v="INDIA STAR JEWELLERY"/>
    <n v="354"/>
    <n v="0.995"/>
    <n v="352.23"/>
    <n v="0"/>
    <m/>
    <s v="0"/>
    <s v="0"/>
    <s v="0"/>
    <s v="0"/>
    <n v="0"/>
    <n v="0"/>
    <n v="354"/>
    <s v="0"/>
    <n v="352.23"/>
    <s v="0"/>
    <n v="0"/>
    <s v="0"/>
    <m/>
    <m/>
    <m/>
    <m/>
    <m/>
    <m/>
  </r>
  <r>
    <d v="2026-06-24T00:00:00"/>
    <s v="RECEIPT "/>
    <s v="RAJU GOLD STAR"/>
    <m/>
    <m/>
    <n v="0"/>
    <e v="#DIV/0!"/>
    <m/>
    <s v="0"/>
    <s v="0"/>
    <s v="0"/>
    <s v="0"/>
    <n v="0"/>
    <n v="0"/>
    <s v="0"/>
    <s v="0"/>
    <s v="0"/>
    <s v="0"/>
    <n v="0"/>
    <s v="0"/>
    <n v="20000"/>
    <m/>
    <m/>
    <m/>
    <m/>
    <m/>
  </r>
  <r>
    <d v="2026-06-24T00:00:00"/>
    <s v="RECEIPT "/>
    <s v="BHARAT JEWELLERY LLC"/>
    <m/>
    <m/>
    <n v="0"/>
    <e v="#DIV/0!"/>
    <m/>
    <s v="0"/>
    <s v="0"/>
    <s v="0"/>
    <s v="0"/>
    <n v="0"/>
    <n v="0"/>
    <s v="0"/>
    <s v="0"/>
    <s v="0"/>
    <s v="0"/>
    <n v="0"/>
    <s v="0"/>
    <m/>
    <n v="40000"/>
    <m/>
    <m/>
    <m/>
    <m/>
  </r>
  <r>
    <d v="2026-06-25T00:00:00"/>
    <s v="SALES"/>
    <s v="INDIA STAR JEWELLERY"/>
    <n v="2021.7"/>
    <n v="0.88"/>
    <n v="1779.096"/>
    <n v="10.450314092100708"/>
    <n v="21127.4"/>
    <n v="2021.7"/>
    <s v="0"/>
    <n v="1779.096"/>
    <s v="0"/>
    <n v="22183.77"/>
    <n v="0"/>
    <s v="0"/>
    <s v="0"/>
    <s v="0"/>
    <s v="0"/>
    <n v="0"/>
    <s v="0"/>
    <m/>
    <m/>
    <m/>
    <m/>
    <m/>
    <m/>
  </r>
  <r>
    <d v="2026-06-25T00:00:00"/>
    <s v="SALES"/>
    <s v="VISHAL JEWELLERY LLC"/>
    <n v="422.9"/>
    <n v="0.88"/>
    <n v="372.15199999999999"/>
    <n v="9"/>
    <n v="3806.1"/>
    <n v="422.9"/>
    <s v="0"/>
    <n v="372.15199999999999"/>
    <s v="0"/>
    <n v="3996.4049999999997"/>
    <n v="0"/>
    <s v="0"/>
    <s v="0"/>
    <s v="0"/>
    <s v="0"/>
    <n v="0"/>
    <s v="0"/>
    <m/>
    <m/>
    <m/>
    <m/>
    <m/>
    <m/>
  </r>
  <r>
    <d v="2026-06-25T00:00:00"/>
    <s v="SALES"/>
    <s v="RAM RAHEEM GOLD SHOP"/>
    <n v="153.25"/>
    <n v="0.88"/>
    <n v="134.86000000000001"/>
    <n v="10.864600326264274"/>
    <n v="1665"/>
    <n v="153.25"/>
    <s v="0"/>
    <n v="134.86000000000001"/>
    <s v="0"/>
    <n v="1748.25"/>
    <n v="0"/>
    <s v="0"/>
    <s v="0"/>
    <s v="0"/>
    <s v="0"/>
    <n v="0"/>
    <s v="0"/>
    <m/>
    <m/>
    <m/>
    <m/>
    <m/>
    <m/>
  </r>
  <r>
    <d v="2026-06-25T00:00:00"/>
    <s v="SALES"/>
    <s v="BHARAT JEWELLERY LLC"/>
    <n v="1589.1"/>
    <n v="0.88"/>
    <n v="1398.4079999999999"/>
    <n v="10.136303568057391"/>
    <n v="16107.6"/>
    <n v="1589.1"/>
    <s v="0"/>
    <n v="1398.4079999999999"/>
    <s v="0"/>
    <n v="16912.98"/>
    <n v="0"/>
    <s v="0"/>
    <s v="0"/>
    <s v="0"/>
    <s v="0"/>
    <n v="0"/>
    <s v="0"/>
    <m/>
    <m/>
    <m/>
    <m/>
    <m/>
    <m/>
  </r>
  <r>
    <d v="2026-06-25T00:00:00"/>
    <s v="SALES"/>
    <s v="RAJU GOLD STAR"/>
    <n v="1230.5999999999999"/>
    <n v="0.88"/>
    <n v="1082.9279999999999"/>
    <n v="4"/>
    <n v="4922.3999999999996"/>
    <n v="1230.5999999999999"/>
    <s v="0"/>
    <n v="1082.9279999999999"/>
    <s v="0"/>
    <n v="5168.5199999999995"/>
    <n v="0"/>
    <s v="0"/>
    <s v="0"/>
    <s v="0"/>
    <s v="0"/>
    <n v="0"/>
    <s v="0"/>
    <m/>
    <m/>
    <m/>
    <m/>
    <m/>
    <m/>
  </r>
  <r>
    <d v="2026-06-25T00:00:00"/>
    <s v="SALES"/>
    <s v="HINDUSTAN JEWELLERY LLC"/>
    <n v="362.3"/>
    <n v="0.88"/>
    <n v="318.82400000000001"/>
    <n v="4.5"/>
    <n v="1630.35"/>
    <n v="362.3"/>
    <s v="0"/>
    <n v="318.82400000000001"/>
    <s v="0"/>
    <n v="1711.8674999999998"/>
    <n v="0"/>
    <s v="0"/>
    <s v="0"/>
    <s v="0"/>
    <s v="0"/>
    <n v="0"/>
    <s v="0"/>
    <m/>
    <m/>
    <m/>
    <m/>
    <m/>
    <m/>
  </r>
  <r>
    <d v="2026-06-25T00:00:00"/>
    <s v="PURCHASE"/>
    <s v="RAJU GOLD STAR"/>
    <n v="1000"/>
    <n v="1"/>
    <n v="1000"/>
    <n v="0"/>
    <m/>
    <s v="0"/>
    <s v="0"/>
    <s v="0"/>
    <s v="0"/>
    <n v="0"/>
    <n v="0"/>
    <n v="1000"/>
    <s v="0"/>
    <n v="1000"/>
    <s v="0"/>
    <n v="0"/>
    <s v="0"/>
    <m/>
    <m/>
    <m/>
    <m/>
    <m/>
    <m/>
  </r>
  <r>
    <d v="2026-06-25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25T00:00:00"/>
    <s v="PURCHASE"/>
    <s v="BHARAT JEWELLERY LLC"/>
    <n v="1000"/>
    <n v="1"/>
    <n v="1000"/>
    <n v="0"/>
    <m/>
    <s v="0"/>
    <s v="0"/>
    <s v="0"/>
    <s v="0"/>
    <n v="0"/>
    <n v="0"/>
    <n v="1000"/>
    <s v="0"/>
    <n v="1000"/>
    <s v="0"/>
    <n v="0"/>
    <s v="0"/>
    <m/>
    <m/>
    <m/>
    <m/>
    <m/>
    <m/>
  </r>
  <r>
    <d v="2026-06-25T00:00:00"/>
    <s v="SALES RETURN"/>
    <s v="BHARAT JEWELLERY LLC"/>
    <n v="192"/>
    <n v="0.88"/>
    <n v="168.96"/>
    <n v="12"/>
    <n v="2304"/>
    <s v="0"/>
    <n v="192"/>
    <s v="0"/>
    <n v="168.96"/>
    <n v="0"/>
    <n v="2419.1999999999998"/>
    <s v="0"/>
    <s v="0"/>
    <s v="0"/>
    <s v="0"/>
    <n v="0"/>
    <s v="0"/>
    <m/>
    <m/>
    <m/>
    <m/>
    <m/>
    <m/>
  </r>
  <r>
    <d v="2026-06-25T00:00:00"/>
    <s v="RECEIPT "/>
    <s v="ABBAS GOLD CENTER LLC"/>
    <m/>
    <m/>
    <n v="0"/>
    <e v="#DIV/0!"/>
    <m/>
    <s v="0"/>
    <s v="0"/>
    <s v="0"/>
    <s v="0"/>
    <n v="0"/>
    <n v="0"/>
    <s v="0"/>
    <s v="0"/>
    <s v="0"/>
    <s v="0"/>
    <n v="0"/>
    <s v="0"/>
    <m/>
    <n v="30000"/>
    <m/>
    <m/>
    <m/>
    <m/>
  </r>
  <r>
    <d v="2026-06-25T00:00:00"/>
    <s v="RECEIPT "/>
    <s v="SANT RAM PAL GOLD"/>
    <m/>
    <m/>
    <n v="0"/>
    <e v="#DIV/0!"/>
    <m/>
    <s v="0"/>
    <s v="0"/>
    <s v="0"/>
    <s v="0"/>
    <n v="0"/>
    <n v="0"/>
    <s v="0"/>
    <s v="0"/>
    <s v="0"/>
    <s v="0"/>
    <n v="0"/>
    <s v="0"/>
    <n v="15000"/>
    <m/>
    <m/>
    <m/>
    <m/>
    <m/>
  </r>
  <r>
    <d v="2026-06-26T00:00:00"/>
    <s v="SALES"/>
    <s v="SONIYA JI GOLD HOUSE"/>
    <n v="104"/>
    <n v="0.88"/>
    <n v="91.52"/>
    <n v="9.342307692307692"/>
    <n v="971.6"/>
    <n v="104"/>
    <s v="0"/>
    <n v="91.52"/>
    <s v="0"/>
    <n v="1020.1800000000001"/>
    <n v="0"/>
    <s v="0"/>
    <s v="0"/>
    <s v="0"/>
    <s v="0"/>
    <n v="0"/>
    <s v="0"/>
    <m/>
    <m/>
    <m/>
    <m/>
    <m/>
    <m/>
  </r>
  <r>
    <d v="2026-06-26T00:00:00"/>
    <s v="SALES"/>
    <s v="UMAR GOLD SHOP"/>
    <n v="1165.8"/>
    <n v="0.88"/>
    <n v="1025.904"/>
    <n v="5"/>
    <n v="5829"/>
    <n v="1165.8"/>
    <s v="0"/>
    <n v="1025.904"/>
    <s v="0"/>
    <n v="6120.45"/>
    <n v="0"/>
    <s v="0"/>
    <s v="0"/>
    <s v="0"/>
    <s v="0"/>
    <n v="0"/>
    <s v="0"/>
    <m/>
    <m/>
    <m/>
    <m/>
    <m/>
    <m/>
  </r>
  <r>
    <d v="2026-06-26T00:00:00"/>
    <s v="SALES"/>
    <s v="HINDUSTAN JEWELLERY LLC"/>
    <n v="350.6"/>
    <n v="0.88"/>
    <n v="308.52800000000002"/>
    <n v="4.5"/>
    <n v="1577.7"/>
    <n v="350.6"/>
    <s v="0"/>
    <n v="308.52800000000002"/>
    <s v="0"/>
    <n v="1656.585"/>
    <n v="0"/>
    <s v="0"/>
    <s v="0"/>
    <s v="0"/>
    <s v="0"/>
    <n v="0"/>
    <s v="0"/>
    <m/>
    <m/>
    <m/>
    <m/>
    <m/>
    <m/>
  </r>
  <r>
    <d v="2026-06-26T00:00:00"/>
    <s v="PURCHASE"/>
    <s v="UMAR GOLD SHOP"/>
    <n v="1000"/>
    <n v="0.995"/>
    <n v="995"/>
    <m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26T00:00:00"/>
    <s v="PURCHASE"/>
    <s v="ASHA RAAM GOLD JEWELLERY SHOP"/>
    <n v="953.61"/>
    <n v="0.88"/>
    <n v="839.17680000000007"/>
    <n v="2.5933243149715293"/>
    <n v="2473.02"/>
    <s v="0"/>
    <s v="0"/>
    <s v="0"/>
    <s v="0"/>
    <n v="0"/>
    <n v="0"/>
    <n v="953.61"/>
    <s v="0"/>
    <n v="839.17680000000007"/>
    <s v="0"/>
    <n v="2596.6709999999998"/>
    <s v="0"/>
    <m/>
    <m/>
    <m/>
    <m/>
    <m/>
    <m/>
  </r>
  <r>
    <d v="2026-06-27T00:00:00"/>
    <s v="SALES"/>
    <s v="INDIA STAR JEWELLERY"/>
    <n v="2163.6999999999998"/>
    <n v="0.88"/>
    <n v="1904.0559999999998"/>
    <n v="9.4599990756574392"/>
    <n v="20468.599999999999"/>
    <n v="2163.6999999999998"/>
    <s v="0"/>
    <n v="1904.0559999999998"/>
    <s v="0"/>
    <n v="21492.03"/>
    <n v="0"/>
    <s v="0"/>
    <s v="0"/>
    <s v="0"/>
    <s v="0"/>
    <n v="0"/>
    <s v="0"/>
    <m/>
    <m/>
    <m/>
    <m/>
    <m/>
    <m/>
  </r>
  <r>
    <d v="2026-06-27T00:00:00"/>
    <s v="SALES"/>
    <s v="SANT RAM PAL GOLD"/>
    <n v="1398.5"/>
    <n v="0.88"/>
    <n v="1230.68"/>
    <n v="5"/>
    <n v="6992.5"/>
    <n v="1398.5"/>
    <s v="0"/>
    <n v="1230.68"/>
    <s v="0"/>
    <n v="7342.125"/>
    <n v="0"/>
    <s v="0"/>
    <s v="0"/>
    <s v="0"/>
    <s v="0"/>
    <n v="0"/>
    <s v="0"/>
    <m/>
    <m/>
    <m/>
    <m/>
    <m/>
    <m/>
  </r>
  <r>
    <d v="2026-06-27T00:00:00"/>
    <s v="SALES"/>
    <s v="INDIA STAR JEWELLERY"/>
    <n v="1398.7"/>
    <n v="0.88"/>
    <n v="1230.856"/>
    <n v="10.49853435332809"/>
    <n v="14684.3"/>
    <n v="1398.7"/>
    <s v="0"/>
    <n v="1230.856"/>
    <s v="0"/>
    <n v="15418.514999999999"/>
    <n v="0"/>
    <s v="0"/>
    <s v="0"/>
    <s v="0"/>
    <s v="0"/>
    <n v="0"/>
    <s v="0"/>
    <m/>
    <m/>
    <m/>
    <m/>
    <m/>
    <m/>
  </r>
  <r>
    <d v="2026-06-27T00:00:00"/>
    <s v="SALES"/>
    <s v="HINDUSTAN JEWELLERY LLC"/>
    <n v="834.4"/>
    <n v="0.88"/>
    <n v="734.27199999999993"/>
    <n v="5"/>
    <n v="4172"/>
    <n v="834.4"/>
    <s v="0"/>
    <n v="734.27199999999993"/>
    <s v="0"/>
    <n v="4380.6000000000004"/>
    <n v="0"/>
    <s v="0"/>
    <s v="0"/>
    <s v="0"/>
    <s v="0"/>
    <n v="0"/>
    <s v="0"/>
    <m/>
    <m/>
    <m/>
    <m/>
    <m/>
    <m/>
  </r>
  <r>
    <d v="2026-06-27T00:00:00"/>
    <s v="PURCHASE"/>
    <s v="SANT RAM PAL GOLD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6-27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27T00:00:00"/>
    <s v="PURCHASE"/>
    <s v="HINDUSTAN JEWELLERY LLC"/>
    <n v="431.7"/>
    <n v="0.995"/>
    <n v="429.54149999999998"/>
    <n v="0"/>
    <m/>
    <s v="0"/>
    <s v="0"/>
    <s v="0"/>
    <s v="0"/>
    <n v="0"/>
    <n v="0"/>
    <n v="431.7"/>
    <s v="0"/>
    <n v="429.54149999999998"/>
    <s v="0"/>
    <n v="0"/>
    <s v="0"/>
    <m/>
    <m/>
    <m/>
    <m/>
    <m/>
    <m/>
  </r>
  <r>
    <d v="2026-06-27T00:00:00"/>
    <s v="METAL PAYMENT"/>
    <s v="ASHA RAAM GOLD JEWELLERY SHOP"/>
    <n v="804.1"/>
    <n v="0.995"/>
    <n v="800.07950000000005"/>
    <n v="0"/>
    <m/>
    <s v="0"/>
    <s v="0"/>
    <s v="0"/>
    <s v="0"/>
    <n v="0"/>
    <n v="0"/>
    <s v="0"/>
    <n v="804.1"/>
    <s v="0"/>
    <n v="800.07950000000005"/>
    <n v="0"/>
    <n v="0"/>
    <m/>
    <m/>
    <m/>
    <m/>
    <m/>
    <m/>
  </r>
  <r>
    <d v="2026-06-29T00:00:00"/>
    <s v="SALES"/>
    <s v="INDIA STAR JEWELLERY"/>
    <n v="2792"/>
    <n v="0.88"/>
    <n v="2456.96"/>
    <n v="10.274176217765042"/>
    <n v="28685.5"/>
    <n v="2792"/>
    <s v="0"/>
    <n v="2456.96"/>
    <s v="0"/>
    <n v="30119.775000000001"/>
    <n v="0"/>
    <s v="0"/>
    <s v="0"/>
    <s v="0"/>
    <s v="0"/>
    <n v="0"/>
    <s v="0"/>
    <m/>
    <m/>
    <m/>
    <m/>
    <m/>
    <m/>
  </r>
  <r>
    <d v="2026-06-29T00:00:00"/>
    <s v="SALES"/>
    <s v="SONIYA JI GOLD HOUSE"/>
    <n v="87.9"/>
    <n v="0.88"/>
    <n v="77.352000000000004"/>
    <n v="10"/>
    <n v="879"/>
    <n v="87.9"/>
    <s v="0"/>
    <n v="77.352000000000004"/>
    <s v="0"/>
    <n v="922.95"/>
    <n v="0"/>
    <s v="0"/>
    <s v="0"/>
    <s v="0"/>
    <s v="0"/>
    <n v="0"/>
    <s v="0"/>
    <m/>
    <m/>
    <m/>
    <m/>
    <m/>
    <m/>
  </r>
  <r>
    <d v="2026-06-29T00:00:00"/>
    <s v="SALES"/>
    <s v="SUMIT GOLD HUB LLC"/>
    <n v="1421.2"/>
    <n v="0.92"/>
    <n v="1307.5040000000001"/>
    <n v="4"/>
    <n v="5684.8"/>
    <n v="1421.2"/>
    <s v="0"/>
    <n v="1307.5040000000001"/>
    <s v="0"/>
    <n v="5969.04"/>
    <n v="0"/>
    <s v="0"/>
    <s v="0"/>
    <s v="0"/>
    <s v="0"/>
    <n v="0"/>
    <s v="0"/>
    <m/>
    <m/>
    <m/>
    <m/>
    <m/>
    <m/>
  </r>
  <r>
    <d v="2026-06-29T00:00:00"/>
    <s v="SALES"/>
    <s v="HINDUSTAN JEWELLERY LLC"/>
    <n v="561.5"/>
    <n v="0.88"/>
    <n v="494.12"/>
    <n v="4.5"/>
    <n v="2526.75"/>
    <n v="561.5"/>
    <s v="0"/>
    <n v="494.12"/>
    <s v="0"/>
    <n v="2653.0875000000001"/>
    <n v="0"/>
    <s v="0"/>
    <s v="0"/>
    <s v="0"/>
    <s v="0"/>
    <n v="0"/>
    <s v="0"/>
    <m/>
    <m/>
    <m/>
    <m/>
    <m/>
    <m/>
  </r>
  <r>
    <d v="2026-06-29T00:00:00"/>
    <s v="SALES"/>
    <s v="VISHAL JEWELLERY LLC"/>
    <n v="983.2"/>
    <n v="0.88"/>
    <n v="865.21600000000001"/>
    <n v="5"/>
    <n v="4916"/>
    <n v="983.2"/>
    <s v="0"/>
    <n v="865.21600000000001"/>
    <s v="0"/>
    <n v="5161.8"/>
    <n v="0"/>
    <s v="0"/>
    <s v="0"/>
    <s v="0"/>
    <s v="0"/>
    <n v="0"/>
    <s v="0"/>
    <m/>
    <m/>
    <m/>
    <m/>
    <m/>
    <m/>
  </r>
  <r>
    <d v="2026-06-29T00:00:00"/>
    <s v="PURCHASE"/>
    <s v="ABBAS GOLD CENTER LLC"/>
    <n v="541.03"/>
    <n v="0.995"/>
    <n v="538.32484999999997"/>
    <n v="0"/>
    <m/>
    <s v="0"/>
    <s v="0"/>
    <s v="0"/>
    <s v="0"/>
    <n v="0"/>
    <n v="0"/>
    <n v="541.03"/>
    <s v="0"/>
    <n v="538.32484999999997"/>
    <s v="0"/>
    <n v="0"/>
    <s v="0"/>
    <m/>
    <m/>
    <m/>
    <m/>
    <m/>
    <m/>
  </r>
  <r>
    <d v="2026-06-29T00:00:00"/>
    <s v="PURCHASE"/>
    <s v="HINDUSTAN JEWELLERY LLC"/>
    <n v="421"/>
    <n v="0.995"/>
    <n v="418.89499999999998"/>
    <n v="0"/>
    <m/>
    <s v="0"/>
    <s v="0"/>
    <s v="0"/>
    <s v="0"/>
    <n v="0"/>
    <n v="0"/>
    <n v="421"/>
    <s v="0"/>
    <n v="418.89499999999998"/>
    <s v="0"/>
    <n v="0"/>
    <s v="0"/>
    <m/>
    <m/>
    <m/>
    <m/>
    <m/>
    <m/>
  </r>
  <r>
    <d v="2026-06-29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6-29T00:00:00"/>
    <s v="PURCHASE"/>
    <s v="SUMIT GOLD HUB LLC"/>
    <n v="1314.07"/>
    <n v="0.995"/>
    <n v="1307.49965"/>
    <n v="0"/>
    <m/>
    <s v="0"/>
    <s v="0"/>
    <s v="0"/>
    <s v="0"/>
    <n v="0"/>
    <n v="0"/>
    <n v="1314.07"/>
    <s v="0"/>
    <n v="1307.49965"/>
    <s v="0"/>
    <n v="0"/>
    <s v="0"/>
    <m/>
    <m/>
    <m/>
    <m/>
    <m/>
    <m/>
  </r>
  <r>
    <d v="2026-06-29T00:00:00"/>
    <s v="PURCHASE"/>
    <s v="BHARAT JEWELLERY LLC"/>
    <n v="852"/>
    <n v="0.995"/>
    <n v="847.74"/>
    <n v="0"/>
    <m/>
    <s v="0"/>
    <s v="0"/>
    <s v="0"/>
    <s v="0"/>
    <n v="0"/>
    <n v="0"/>
    <n v="852"/>
    <s v="0"/>
    <n v="847.74"/>
    <s v="0"/>
    <n v="0"/>
    <s v="0"/>
    <m/>
    <m/>
    <m/>
    <m/>
    <m/>
    <m/>
  </r>
  <r>
    <d v="2026-06-29T00:00:00"/>
    <s v="PURCHASE"/>
    <s v="VISHAL JEWELLERY LLC"/>
    <n v="1000"/>
    <n v="1"/>
    <n v="1000"/>
    <n v="0"/>
    <m/>
    <s v="0"/>
    <s v="0"/>
    <s v="0"/>
    <s v="0"/>
    <n v="0"/>
    <n v="0"/>
    <n v="1000"/>
    <s v="0"/>
    <n v="1000"/>
    <s v="0"/>
    <n v="0"/>
    <s v="0"/>
    <m/>
    <m/>
    <m/>
    <m/>
    <m/>
    <m/>
  </r>
  <r>
    <d v="2026-06-29T00:00:00"/>
    <s v="RECEIPT 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5970"/>
    <m/>
    <m/>
    <m/>
    <m/>
    <m/>
  </r>
  <r>
    <d v="2026-06-29T00:00:00"/>
    <s v="RECEIPT "/>
    <s v="YOGI JI PURE GOLD SHOP"/>
    <m/>
    <m/>
    <n v="0"/>
    <e v="#DIV/0!"/>
    <m/>
    <s v="0"/>
    <s v="0"/>
    <s v="0"/>
    <s v="0"/>
    <n v="0"/>
    <n v="0"/>
    <s v="0"/>
    <s v="0"/>
    <s v="0"/>
    <s v="0"/>
    <n v="0"/>
    <s v="0"/>
    <n v="30000"/>
    <m/>
    <m/>
    <m/>
    <m/>
    <m/>
  </r>
  <r>
    <d v="2026-05-01T00:00:00"/>
    <s v="SALES"/>
    <s v="SONIYA JI GOLD HOUSE"/>
    <n v="95.7"/>
    <n v="0.88"/>
    <n v="84.216000000000008"/>
    <n v="11"/>
    <n v="1052.7"/>
    <n v="95.7"/>
    <s v="0"/>
    <n v="84.216000000000008"/>
    <s v="0"/>
    <n v="1105.335"/>
    <n v="0"/>
    <s v="0"/>
    <s v="0"/>
    <s v="0"/>
    <s v="0"/>
    <n v="0"/>
    <s v="0"/>
    <m/>
    <m/>
    <m/>
    <m/>
    <m/>
    <m/>
  </r>
  <r>
    <d v="2026-05-01T00:00:00"/>
    <s v="SALES"/>
    <s v="OM NATH JEWELLERY LLC"/>
    <n v="90.6"/>
    <n v="0.88"/>
    <n v="79.727999999999994"/>
    <n v="8.4988962472406193"/>
    <n v="770"/>
    <n v="90.6"/>
    <s v="0"/>
    <n v="79.727999999999994"/>
    <s v="0"/>
    <n v="808.5"/>
    <n v="0"/>
    <s v="0"/>
    <s v="0"/>
    <s v="0"/>
    <s v="0"/>
    <n v="0"/>
    <s v="0"/>
    <m/>
    <m/>
    <m/>
    <m/>
    <m/>
    <m/>
  </r>
  <r>
    <d v="2026-05-01T00:00:00"/>
    <s v="SALES"/>
    <s v="ABBAS GOLD CENTER LLC"/>
    <n v="398.99"/>
    <n v="0.88"/>
    <n v="351.1112"/>
    <n v="9.8257600441113819"/>
    <n v="3920.38"/>
    <n v="398.99"/>
    <s v="0"/>
    <n v="351.1112"/>
    <s v="0"/>
    <n v="4116.3990000000003"/>
    <n v="0"/>
    <s v="0"/>
    <s v="0"/>
    <s v="0"/>
    <s v="0"/>
    <n v="0"/>
    <s v="0"/>
    <m/>
    <m/>
    <m/>
    <m/>
    <m/>
    <m/>
  </r>
  <r>
    <d v="2026-05-01T00:00:00"/>
    <s v="SALES"/>
    <s v="DHANANJAY JEWELLERY L.L.C"/>
    <n v="239"/>
    <n v="0.88"/>
    <n v="210.32"/>
    <n v="4.5502092050209209"/>
    <n v="1087.5"/>
    <n v="239"/>
    <s v="0"/>
    <n v="210.32"/>
    <s v="0"/>
    <n v="1141.875"/>
    <n v="0"/>
    <s v="0"/>
    <s v="0"/>
    <s v="0"/>
    <s v="0"/>
    <n v="0"/>
    <s v="0"/>
    <m/>
    <m/>
    <m/>
    <m/>
    <m/>
    <m/>
  </r>
  <r>
    <d v="2026-05-01T00:00:00"/>
    <s v="SALES"/>
    <s v="INDIA STAR JEWELLERY"/>
    <n v="2254.6999999999998"/>
    <n v="0.88"/>
    <n v="1984.1359999999997"/>
    <n v="8.9491506630593882"/>
    <n v="20177.650000000001"/>
    <n v="2254.6999999999998"/>
    <s v="0"/>
    <n v="1984.1359999999997"/>
    <s v="0"/>
    <n v="21186.532500000001"/>
    <n v="0"/>
    <s v="0"/>
    <s v="0"/>
    <s v="0"/>
    <s v="0"/>
    <n v="0"/>
    <s v="0"/>
    <m/>
    <m/>
    <m/>
    <m/>
    <m/>
    <m/>
  </r>
  <r>
    <d v="2026-05-01T00:00:00"/>
    <s v="PURCHASE"/>
    <s v="OM NATH JEWELLERY LLC"/>
    <n v="343.3"/>
    <n v="0.99990000000000001"/>
    <n v="343.26567"/>
    <n v="0"/>
    <m/>
    <s v="0"/>
    <s v="0"/>
    <s v="0"/>
    <s v="0"/>
    <n v="0"/>
    <n v="0"/>
    <n v="343.3"/>
    <s v="0"/>
    <n v="343.26567"/>
    <s v="0"/>
    <n v="0"/>
    <s v="0"/>
    <m/>
    <m/>
    <m/>
    <m/>
    <m/>
    <m/>
  </r>
  <r>
    <d v="2026-05-01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5-02T00:00:00"/>
    <s v="SALES"/>
    <s v="SANT RAM PAL GOLD"/>
    <n v="1175.5"/>
    <n v="0.88"/>
    <n v="1034.44"/>
    <n v="2.5"/>
    <n v="2938.75"/>
    <n v="1175.5"/>
    <s v="0"/>
    <n v="1034.44"/>
    <s v="0"/>
    <n v="3085.6875"/>
    <n v="0"/>
    <s v="0"/>
    <s v="0"/>
    <s v="0"/>
    <s v="0"/>
    <n v="0"/>
    <s v="0"/>
    <m/>
    <m/>
    <m/>
    <m/>
    <m/>
    <m/>
  </r>
  <r>
    <d v="2026-05-02T00:00:00"/>
    <s v="SALES"/>
    <s v="INDIA STAR JEWELLERY"/>
    <n v="1559.5"/>
    <n v="0.88"/>
    <n v="1372.36"/>
    <n v="9.9684193651811484"/>
    <n v="15545.75"/>
    <n v="1559.5"/>
    <s v="0"/>
    <n v="1372.36"/>
    <s v="0"/>
    <n v="16323.0375"/>
    <n v="0"/>
    <s v="0"/>
    <s v="0"/>
    <s v="0"/>
    <s v="0"/>
    <n v="0"/>
    <s v="0"/>
    <m/>
    <m/>
    <m/>
    <m/>
    <m/>
    <m/>
  </r>
  <r>
    <d v="2026-05-02T00:00:00"/>
    <s v="SALES"/>
    <s v="SONIYA JI GOLD HOUSE"/>
    <n v="552.67999999999995"/>
    <n v="0.88"/>
    <n v="486.35839999999996"/>
    <n v="11"/>
    <n v="6079.48"/>
    <n v="552.67999999999995"/>
    <s v="0"/>
    <n v="486.35839999999996"/>
    <s v="0"/>
    <n v="6383.4539999999997"/>
    <n v="0"/>
    <s v="0"/>
    <s v="0"/>
    <s v="0"/>
    <s v="0"/>
    <n v="0"/>
    <s v="0"/>
    <m/>
    <m/>
    <m/>
    <m/>
    <m/>
    <m/>
  </r>
  <r>
    <d v="2026-05-02T00:00:00"/>
    <s v="PURCHASE"/>
    <s v="SANT RAM PAL GOLD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n v="79.67"/>
    <n v="0.02"/>
  </r>
  <r>
    <d v="2026-05-02T00:00:00"/>
    <s v="PURCHASE"/>
    <s v="INDIA STAR JEWELLERY"/>
    <n v="1632"/>
    <n v="0.995"/>
    <n v="1623.84"/>
    <n v="0"/>
    <m/>
    <s v="0"/>
    <s v="0"/>
    <s v="0"/>
    <s v="0"/>
    <n v="0"/>
    <n v="0"/>
    <n v="1632"/>
    <s v="0"/>
    <n v="1623.84"/>
    <s v="0"/>
    <n v="0"/>
    <s v="0"/>
    <m/>
    <m/>
    <m/>
    <m/>
    <m/>
    <m/>
  </r>
  <r>
    <d v="2026-05-02T00:00:00"/>
    <s v="RECEIPT"/>
    <s v="HINDUSTAN JEWELLERY LLC"/>
    <m/>
    <m/>
    <n v="0"/>
    <e v="#DIV/0!"/>
    <m/>
    <s v="0"/>
    <s v="0"/>
    <s v="0"/>
    <s v="0"/>
    <n v="0"/>
    <n v="0"/>
    <s v="0"/>
    <s v="0"/>
    <s v="0"/>
    <s v="0"/>
    <n v="0"/>
    <s v="0"/>
    <n v="30000"/>
    <m/>
    <m/>
    <m/>
    <m/>
    <m/>
  </r>
  <r>
    <d v="2026-05-03T00:00:00"/>
    <s v="SUNDAY"/>
    <m/>
    <m/>
    <m/>
    <n v="0"/>
    <e v="#DIV/0!"/>
    <m/>
    <s v="0"/>
    <s v="0"/>
    <s v="0"/>
    <s v="0"/>
    <n v="0"/>
    <n v="0"/>
    <s v="0"/>
    <s v="0"/>
    <s v="0"/>
    <s v="0"/>
    <n v="0"/>
    <s v="0"/>
    <m/>
    <m/>
    <m/>
    <m/>
    <m/>
    <m/>
  </r>
  <r>
    <d v="2026-05-04T00:00:00"/>
    <s v="SALES"/>
    <s v="DHANANJAY JEWELLERY L.L.C"/>
    <n v="282.5856"/>
    <n v="0.88"/>
    <n v="248.67532800000001"/>
    <n v="31.833009183765906"/>
    <n v="8995.5499999999993"/>
    <n v="282.5856"/>
    <s v="0"/>
    <n v="248.67532800000001"/>
    <s v="0"/>
    <n v="9445.3274999999994"/>
    <n v="0"/>
    <s v="0"/>
    <s v="0"/>
    <s v="0"/>
    <s v="0"/>
    <n v="0"/>
    <s v="0"/>
    <m/>
    <m/>
    <m/>
    <m/>
    <m/>
    <m/>
  </r>
  <r>
    <d v="2026-05-04T00:00:00"/>
    <s v="SALES"/>
    <s v="INDIA STAR JEWELLERY"/>
    <n v="1191.413"/>
    <n v="0.88"/>
    <n v="1048.44344"/>
    <n v="9.335427765183022"/>
    <n v="11122.35"/>
    <n v="1191.413"/>
    <s v="0"/>
    <n v="1048.44344"/>
    <s v="0"/>
    <n v="11678.467500000001"/>
    <n v="0"/>
    <s v="0"/>
    <s v="0"/>
    <s v="0"/>
    <s v="0"/>
    <n v="0"/>
    <s v="0"/>
    <m/>
    <m/>
    <m/>
    <m/>
    <m/>
    <m/>
  </r>
  <r>
    <d v="2026-05-04T00:00:00"/>
    <s v="SALES"/>
    <s v="UMAR GOLD SHOP"/>
    <n v="43.023800000000001"/>
    <n v="0.88"/>
    <n v="37.860944000000003"/>
    <n v="11.055276381909549"/>
    <n v="475.64000000000004"/>
    <n v="43.023800000000001"/>
    <s v="0"/>
    <n v="37.860944000000003"/>
    <s v="0"/>
    <n v="499.42200000000003"/>
    <n v="0"/>
    <s v="0"/>
    <s v="0"/>
    <s v="0"/>
    <s v="0"/>
    <n v="0"/>
    <s v="0"/>
    <m/>
    <m/>
    <m/>
    <m/>
    <m/>
    <m/>
  </r>
  <r>
    <d v="2026-05-04T00:00:00"/>
    <s v="SALES"/>
    <s v="RAM RAHEEM GOLD SHOP"/>
    <n v="463.24214999999998"/>
    <n v="0.88"/>
    <n v="407.65309199999996"/>
    <n v="8.6360664719305014"/>
    <n v="4000.59"/>
    <n v="463.24214999999998"/>
    <s v="0"/>
    <n v="407.65309199999996"/>
    <s v="0"/>
    <n v="4200.6194999999998"/>
    <n v="0"/>
    <s v="0"/>
    <s v="0"/>
    <s v="0"/>
    <s v="0"/>
    <n v="0"/>
    <s v="0"/>
    <m/>
    <m/>
    <m/>
    <m/>
    <m/>
    <m/>
  </r>
  <r>
    <d v="2026-05-04T00:00:00"/>
    <s v="SALES"/>
    <s v="HINDUSTAN JEWELLERY LLC"/>
    <n v="5643.0880000000006"/>
    <n v="0.88"/>
    <n v="4965.9174400000002"/>
    <n v="4.3205688091342891"/>
    <n v="24381.35"/>
    <n v="5643.0880000000006"/>
    <s v="0"/>
    <n v="4965.9174400000002"/>
    <s v="0"/>
    <n v="25600.4175"/>
    <n v="0"/>
    <s v="0"/>
    <s v="0"/>
    <s v="0"/>
    <s v="0"/>
    <n v="0"/>
    <s v="0"/>
    <m/>
    <m/>
    <m/>
    <m/>
    <m/>
    <m/>
  </r>
  <r>
    <d v="2026-05-04T00:00:00"/>
    <s v="SALES"/>
    <s v="ABBAS GOLD CENTER LLC"/>
    <n v="1311.816"/>
    <n v="0.88"/>
    <n v="1154.3980799999999"/>
    <n v="4.8253718509303134"/>
    <n v="6330"/>
    <n v="1311.816"/>
    <s v="0"/>
    <n v="1154.3980799999999"/>
    <s v="0"/>
    <n v="6646.5"/>
    <n v="0"/>
    <s v="0"/>
    <s v="0"/>
    <s v="0"/>
    <s v="0"/>
    <n v="0"/>
    <s v="0"/>
    <m/>
    <m/>
    <m/>
    <m/>
    <m/>
    <m/>
  </r>
  <r>
    <d v="2026-05-04T00:00:00"/>
    <s v="SALES"/>
    <s v="MODI JI GOLD WALE"/>
    <n v="413.6"/>
    <n v="0.88"/>
    <n v="363.96800000000002"/>
    <n v="9.0909090909090899"/>
    <n v="3760"/>
    <n v="413.6"/>
    <s v="0"/>
    <n v="363.96800000000002"/>
    <s v="0"/>
    <n v="3948"/>
    <n v="0"/>
    <s v="0"/>
    <s v="0"/>
    <s v="0"/>
    <s v="0"/>
    <n v="0"/>
    <s v="0"/>
    <m/>
    <m/>
    <m/>
    <m/>
    <n v="527.59"/>
    <n v="63.366"/>
  </r>
  <r>
    <d v="2026-05-04T00:00:00"/>
    <s v="PURCHASE"/>
    <s v="HINDUSTAN JEWELLERY LLC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04T00:00:00"/>
    <s v="PURCHASE"/>
    <s v="BHARAT JEWELLERY LLC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04T00:00:00"/>
    <s v="PURCHASE"/>
    <s v="ABBAS GOLD CENTER LLC"/>
    <n v="348.79725000000002"/>
    <n v="0.995"/>
    <n v="347.05326375000004"/>
    <n v="0"/>
    <m/>
    <s v="0"/>
    <s v="0"/>
    <s v="0"/>
    <s v="0"/>
    <n v="0"/>
    <n v="0"/>
    <n v="348.79725000000002"/>
    <s v="0"/>
    <n v="347.05326375000004"/>
    <s v="0"/>
    <n v="0"/>
    <s v="0"/>
    <m/>
    <m/>
    <m/>
    <m/>
    <m/>
    <m/>
  </r>
  <r>
    <d v="2026-05-04T00:00:00"/>
    <s v="SALES RETURN"/>
    <s v="INDIA STAR JEWELLERY"/>
    <n v="158.60300000000001"/>
    <n v="0.88"/>
    <n v="139.57064"/>
    <n v="11.055276381909549"/>
    <n v="1753.4"/>
    <s v="0"/>
    <n v="158.60300000000001"/>
    <s v="0"/>
    <n v="139.57064"/>
    <n v="0"/>
    <n v="1841.0700000000002"/>
    <s v="0"/>
    <s v="0"/>
    <s v="0"/>
    <s v="0"/>
    <n v="0"/>
    <s v="0"/>
    <m/>
    <m/>
    <m/>
    <m/>
    <m/>
    <m/>
  </r>
  <r>
    <d v="2026-05-04T00:00:00"/>
    <s v="RECEIPT"/>
    <s v="INDIA STAR JEWELLERY"/>
    <m/>
    <m/>
    <n v="0"/>
    <e v="#DIV/0!"/>
    <m/>
    <s v="0"/>
    <s v="0"/>
    <s v="0"/>
    <s v="0"/>
    <n v="0"/>
    <n v="0"/>
    <s v="0"/>
    <s v="0"/>
    <s v="0"/>
    <s v="0"/>
    <n v="0"/>
    <s v="0"/>
    <n v="50000"/>
    <m/>
    <m/>
    <m/>
    <m/>
    <m/>
  </r>
  <r>
    <d v="2026-05-05T00:00:00"/>
    <s v="SALES"/>
    <s v="INDIA STAR JEWELLERY"/>
    <n v="321.12"/>
    <n v="0.88"/>
    <n v="282.5856"/>
    <n v="25.391598156452417"/>
    <n v="8153.75"/>
    <n v="321.12"/>
    <s v="0"/>
    <n v="282.5856"/>
    <s v="0"/>
    <n v="8561.4375"/>
    <n v="0"/>
    <s v="0"/>
    <s v="0"/>
    <s v="0"/>
    <s v="0"/>
    <n v="0"/>
    <s v="0"/>
    <m/>
    <m/>
    <m/>
    <m/>
    <m/>
    <m/>
  </r>
  <r>
    <d v="2026-05-05T00:00:00"/>
    <s v="PURCHASE"/>
    <s v="INDIA STAR JEWELLERY"/>
    <n v="1197.4000000000001"/>
    <n v="0.995"/>
    <n v="1191.413"/>
    <m/>
    <m/>
    <s v="0"/>
    <s v="0"/>
    <s v="0"/>
    <s v="0"/>
    <n v="0"/>
    <n v="0"/>
    <n v="1197.4000000000001"/>
    <s v="0"/>
    <n v="1191.413"/>
    <s v="0"/>
    <n v="0"/>
    <s v="0"/>
    <m/>
    <m/>
    <m/>
    <m/>
    <m/>
    <m/>
  </r>
  <r>
    <d v="2026-05-05T00:00:00"/>
    <s v="PURCHASE"/>
    <s v="ABBAS GOLD CENTER LLC"/>
    <n v="43.24"/>
    <n v="0.995"/>
    <n v="43.023800000000001"/>
    <m/>
    <m/>
    <s v="0"/>
    <s v="0"/>
    <s v="0"/>
    <s v="0"/>
    <n v="0"/>
    <n v="0"/>
    <n v="43.24"/>
    <s v="0"/>
    <n v="43.023800000000001"/>
    <s v="0"/>
    <n v="0"/>
    <s v="0"/>
    <m/>
    <m/>
    <m/>
    <m/>
    <m/>
    <m/>
  </r>
  <r>
    <d v="2026-05-05T00:00:00"/>
    <s v="PURCHASE"/>
    <s v="DHANANJAY JEWELLERY L.L.C"/>
    <n v="465.57"/>
    <n v="0.995"/>
    <n v="463.24214999999998"/>
    <m/>
    <m/>
    <s v="0"/>
    <s v="0"/>
    <s v="0"/>
    <s v="0"/>
    <n v="0"/>
    <n v="0"/>
    <n v="465.57"/>
    <s v="0"/>
    <n v="463.24214999999998"/>
    <s v="0"/>
    <n v="0"/>
    <s v="0"/>
    <m/>
    <m/>
    <m/>
    <m/>
    <m/>
    <m/>
  </r>
  <r>
    <d v="2026-05-05T00:00:00"/>
    <s v="PURCHASE"/>
    <s v="ASHA RAAM GOLD JEWELLERY SHOP"/>
    <n v="6412.6"/>
    <n v="0.88"/>
    <n v="5643.0880000000006"/>
    <n v="0.13270592271465551"/>
    <n v="850.99"/>
    <s v="0"/>
    <s v="0"/>
    <s v="0"/>
    <s v="0"/>
    <n v="0"/>
    <n v="0"/>
    <n v="6412.6"/>
    <s v="0"/>
    <n v="5643.0880000000006"/>
    <s v="0"/>
    <n v="893.53949999999998"/>
    <s v="0"/>
    <m/>
    <m/>
    <m/>
    <m/>
    <m/>
    <m/>
  </r>
  <r>
    <d v="2026-05-06T00:00:00"/>
    <s v="SALES"/>
    <s v="ABBAS GOLD CENTER LLC"/>
    <n v="1490.7"/>
    <n v="0.88"/>
    <n v="1311.816"/>
    <n v="0.67350908968940759"/>
    <n v="1004"/>
    <n v="1490.7"/>
    <s v="0"/>
    <n v="1311.816"/>
    <s v="0"/>
    <n v="1054.2"/>
    <n v="0"/>
    <s v="0"/>
    <s v="0"/>
    <s v="0"/>
    <s v="0"/>
    <n v="0"/>
    <s v="0"/>
    <m/>
    <m/>
    <m/>
    <m/>
    <m/>
    <m/>
  </r>
  <r>
    <d v="2026-05-06T00:00:00"/>
    <s v="SALES"/>
    <s v="INDIA STAR JEWELLERY"/>
    <n v="470"/>
    <n v="0.88"/>
    <n v="413.6"/>
    <n v="40.882127659574465"/>
    <n v="19214.599999999999"/>
    <n v="470"/>
    <s v="0"/>
    <n v="413.6"/>
    <s v="0"/>
    <n v="20175.329999999998"/>
    <n v="0"/>
    <s v="0"/>
    <s v="0"/>
    <s v="0"/>
    <s v="0"/>
    <n v="0"/>
    <s v="0"/>
    <m/>
    <m/>
    <m/>
    <m/>
    <m/>
    <m/>
  </r>
  <r>
    <d v="2026-05-06T00:00:00"/>
    <s v="PURCHASE"/>
    <s v="HINDUSTAN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5-06T00:00:00"/>
    <s v="PURCHASE"/>
    <s v="UMAR GOLD SHOP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5-06T00:00:00"/>
    <s v="PURCHASE"/>
    <s v="INDIA STAR JEWELLERY"/>
    <n v="350.55"/>
    <n v="0.995"/>
    <n v="348.79725000000002"/>
    <n v="0"/>
    <m/>
    <s v="0"/>
    <s v="0"/>
    <s v="0"/>
    <s v="0"/>
    <n v="0"/>
    <n v="0"/>
    <n v="350.55"/>
    <s v="0"/>
    <n v="348.79725000000002"/>
    <s v="0"/>
    <n v="0"/>
    <s v="0"/>
    <m/>
    <m/>
    <m/>
    <m/>
    <m/>
    <m/>
  </r>
  <r>
    <d v="2026-05-06T00:00:00"/>
    <s v="PURCHASE"/>
    <s v="RAM RAHEEM GOLD SHOP"/>
    <n v="159.4"/>
    <n v="0.995"/>
    <n v="158.60300000000001"/>
    <n v="0"/>
    <m/>
    <s v="0"/>
    <s v="0"/>
    <s v="0"/>
    <s v="0"/>
    <n v="0"/>
    <n v="0"/>
    <n v="159.4"/>
    <s v="0"/>
    <n v="158.60300000000001"/>
    <s v="0"/>
    <n v="0"/>
    <s v="0"/>
    <m/>
    <m/>
    <m/>
    <m/>
    <m/>
    <m/>
  </r>
  <r>
    <d v="2026-05-06T00:00:00"/>
    <s v="METAL PAYMENT"/>
    <s v="ASHA RAAM GOLD JEWELLERY SHOP"/>
    <n v="311.435"/>
    <n v="0.995"/>
    <n v="309.87782499999997"/>
    <n v="0"/>
    <m/>
    <s v="0"/>
    <s v="0"/>
    <s v="0"/>
    <s v="0"/>
    <n v="0"/>
    <n v="0"/>
    <s v="0"/>
    <n v="311.435"/>
    <s v="0"/>
    <n v="309.87782499999997"/>
    <n v="0"/>
    <n v="0"/>
    <m/>
    <m/>
    <m/>
    <m/>
    <m/>
    <m/>
  </r>
  <r>
    <d v="2026-05-07T00:00:00"/>
    <s v="SALES"/>
    <s v="BHARAT JEWELLERY LLC"/>
    <n v="434.72"/>
    <n v="0.88"/>
    <n v="382.55360000000002"/>
    <n v="11.434486566065512"/>
    <n v="4970.8"/>
    <n v="434.72"/>
    <s v="0"/>
    <n v="382.55360000000002"/>
    <s v="0"/>
    <n v="5219.34"/>
    <n v="0"/>
    <s v="0"/>
    <s v="0"/>
    <s v="0"/>
    <s v="0"/>
    <n v="0"/>
    <s v="0"/>
    <m/>
    <m/>
    <m/>
    <m/>
    <m/>
    <m/>
  </r>
  <r>
    <d v="2026-05-07T00:00:00"/>
    <s v="SALES"/>
    <s v="DHANANJAY JEWELLERY L.L.C"/>
    <n v="297.26400000000001"/>
    <n v="0.88"/>
    <n v="261.59232000000003"/>
    <n v="5.1136363636363633"/>
    <n v="1520.1"/>
    <n v="297.26400000000001"/>
    <s v="0"/>
    <n v="261.59232000000003"/>
    <s v="0"/>
    <n v="1596.105"/>
    <n v="0"/>
    <s v="0"/>
    <s v="0"/>
    <s v="0"/>
    <s v="0"/>
    <n v="0"/>
    <s v="0"/>
    <m/>
    <m/>
    <m/>
    <m/>
    <m/>
    <m/>
  </r>
  <r>
    <d v="2026-05-07T00:00:00"/>
    <s v="SALES"/>
    <s v="INDIA STAR JEWELLERY"/>
    <n v="2101.1759999999999"/>
    <n v="0.88"/>
    <n v="1849.0348799999999"/>
    <n v="11.821380027184777"/>
    <n v="24838.799999999999"/>
    <n v="2101.1759999999999"/>
    <s v="0"/>
    <n v="1849.0348799999999"/>
    <s v="0"/>
    <n v="26080.739999999998"/>
    <n v="0"/>
    <s v="0"/>
    <s v="0"/>
    <s v="0"/>
    <s v="0"/>
    <n v="0"/>
    <s v="0"/>
    <m/>
    <m/>
    <m/>
    <m/>
    <m/>
    <m/>
  </r>
  <r>
    <d v="2026-05-07T00:00:00"/>
    <s v="SALES"/>
    <s v="SONIYA JI GOLD HOUSE"/>
    <n v="123.37599999999999"/>
    <n v="0.88"/>
    <n v="108.57087999999999"/>
    <n v="8.5227272727272734"/>
    <n v="1051.5"/>
    <n v="123.37599999999999"/>
    <s v="0"/>
    <n v="108.57087999999999"/>
    <s v="0"/>
    <n v="1104.075"/>
    <n v="0"/>
    <s v="0"/>
    <s v="0"/>
    <s v="0"/>
    <s v="0"/>
    <n v="0"/>
    <s v="0"/>
    <m/>
    <m/>
    <m/>
    <m/>
    <m/>
    <m/>
  </r>
  <r>
    <d v="2026-05-07T00:00:00"/>
    <s v="SALES"/>
    <s v="ABBAS GOLD CENTER LLC"/>
    <n v="1095.0720000000001"/>
    <n v="0.88"/>
    <n v="963.66336000000013"/>
    <n v="4.8295454545454541"/>
    <n v="5288.7"/>
    <n v="1095.0720000000001"/>
    <s v="0"/>
    <n v="963.66336000000013"/>
    <s v="0"/>
    <n v="5553.1350000000002"/>
    <n v="0"/>
    <s v="0"/>
    <s v="0"/>
    <s v="0"/>
    <s v="0"/>
    <n v="0"/>
    <s v="0"/>
    <m/>
    <m/>
    <m/>
    <m/>
    <m/>
    <m/>
  </r>
  <r>
    <d v="2026-05-07T00:00:00"/>
    <s v="SALES"/>
    <s v="DHANANJAY JEWELLERY L.L.C"/>
    <n v="214.28"/>
    <n v="0.88"/>
    <n v="188.56640000000002"/>
    <n v="6.4427384730259467"/>
    <n v="1380.55"/>
    <n v="214.28"/>
    <s v="0"/>
    <n v="188.56640000000002"/>
    <s v="0"/>
    <n v="1449.5774999999999"/>
    <n v="0"/>
    <s v="0"/>
    <s v="0"/>
    <s v="0"/>
    <s v="0"/>
    <n v="0"/>
    <s v="0"/>
    <m/>
    <m/>
    <m/>
    <m/>
    <m/>
    <m/>
  </r>
  <r>
    <d v="2026-05-07T00:00:00"/>
    <s v="PURCHASE"/>
    <s v="BHARAT JEWELLERY LLC"/>
    <n v="1256.4859999999999"/>
    <n v="0.995"/>
    <n v="1250.2035699999999"/>
    <n v="0"/>
    <m/>
    <s v="0"/>
    <s v="0"/>
    <s v="0"/>
    <s v="0"/>
    <n v="0"/>
    <n v="0"/>
    <n v="1256.4859999999999"/>
    <s v="0"/>
    <n v="1250.2035699999999"/>
    <s v="0"/>
    <n v="0"/>
    <s v="0"/>
    <m/>
    <m/>
    <m/>
    <m/>
    <m/>
    <m/>
  </r>
  <r>
    <d v="2026-05-07T00:00:00"/>
    <s v="PURCHASE"/>
    <s v="INDIA STAR JEWELLERY"/>
    <n v="1990"/>
    <n v="0.995"/>
    <n v="1980.05"/>
    <n v="0"/>
    <m/>
    <s v="0"/>
    <s v="0"/>
    <s v="0"/>
    <s v="0"/>
    <n v="0"/>
    <n v="0"/>
    <n v="1990"/>
    <s v="0"/>
    <n v="1980.05"/>
    <s v="0"/>
    <n v="0"/>
    <s v="0"/>
    <m/>
    <m/>
    <m/>
    <m/>
    <m/>
    <m/>
  </r>
  <r>
    <d v="2026-05-07T00:00:00"/>
    <s v="PURCHASE"/>
    <s v="ABBAS GOLD CENTER LLC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07T00:00:00"/>
    <s v="PURCHASE"/>
    <s v="VISHAL JEWELLERY LLC"/>
    <n v="231.53649999999999"/>
    <n v="0.995"/>
    <n v="230.3788175"/>
    <n v="0"/>
    <m/>
    <s v="0"/>
    <s v="0"/>
    <s v="0"/>
    <s v="0"/>
    <n v="0"/>
    <n v="0"/>
    <n v="231.53649999999999"/>
    <s v="0"/>
    <n v="230.3788175"/>
    <s v="0"/>
    <n v="0"/>
    <s v="0"/>
    <m/>
    <m/>
    <m/>
    <m/>
    <m/>
    <m/>
  </r>
  <r>
    <d v="2026-05-07T00:00:00"/>
    <s v="PURCHASE"/>
    <s v="HINDUSTAN JEWELLERY LLC"/>
    <n v="571.13"/>
    <n v="0.995"/>
    <n v="568.27435000000003"/>
    <n v="0"/>
    <m/>
    <s v="0"/>
    <s v="0"/>
    <s v="0"/>
    <s v="0"/>
    <n v="0"/>
    <n v="0"/>
    <n v="571.13"/>
    <s v="0"/>
    <n v="568.27435000000003"/>
    <s v="0"/>
    <n v="0"/>
    <s v="0"/>
    <m/>
    <m/>
    <m/>
    <m/>
    <m/>
    <m/>
  </r>
  <r>
    <d v="2026-05-08T00:00:00"/>
    <s v="SALES"/>
    <s v="INDIA STAR JEWELLERY"/>
    <n v="2283.6880000000001"/>
    <n v="0.88"/>
    <n v="2009.64544"/>
    <n v="10.418761231832018"/>
    <n v="23793.200000000001"/>
    <n v="2283.6880000000001"/>
    <s v="0"/>
    <n v="2009.64544"/>
    <s v="0"/>
    <n v="24982.86"/>
    <n v="0"/>
    <s v="0"/>
    <s v="0"/>
    <s v="0"/>
    <s v="0"/>
    <n v="0"/>
    <s v="0"/>
    <m/>
    <m/>
    <m/>
    <m/>
    <m/>
    <m/>
  </r>
  <r>
    <d v="2026-05-08T00:00:00"/>
    <s v="SALES"/>
    <s v="ABBAS GOLD CENTER LLC"/>
    <n v="432.7928"/>
    <n v="0.88"/>
    <n v="380.857664"/>
    <n v="5.6818181818181825"/>
    <n v="2459.0500000000002"/>
    <n v="432.7928"/>
    <s v="0"/>
    <n v="380.857664"/>
    <s v="0"/>
    <n v="2582.0025000000001"/>
    <n v="0"/>
    <s v="0"/>
    <s v="0"/>
    <s v="0"/>
    <s v="0"/>
    <n v="0"/>
    <s v="0"/>
    <m/>
    <m/>
    <m/>
    <m/>
    <m/>
    <m/>
  </r>
  <r>
    <d v="2026-05-08T00:00:00"/>
    <s v="PURCHASE"/>
    <s v="INDIA STAR JEWELLERY"/>
    <n v="1990"/>
    <n v="0.995"/>
    <n v="1980.05"/>
    <n v="0"/>
    <m/>
    <s v="0"/>
    <s v="0"/>
    <s v="0"/>
    <s v="0"/>
    <n v="0"/>
    <n v="0"/>
    <n v="1990"/>
    <s v="0"/>
    <n v="1980.05"/>
    <s v="0"/>
    <n v="0"/>
    <s v="0"/>
    <m/>
    <m/>
    <m/>
    <m/>
    <m/>
    <m/>
  </r>
  <r>
    <d v="2026-05-09T00:00:00"/>
    <s v="SALES"/>
    <s v="ABBAS GOLD CENTER LLC"/>
    <n v="679.16639999999995"/>
    <n v="0.88"/>
    <n v="597.66643199999999"/>
    <n v="14.772727272727273"/>
    <n v="10033.14"/>
    <n v="679.16639999999995"/>
    <s v="0"/>
    <n v="597.66643199999999"/>
    <s v="0"/>
    <n v="10534.796999999999"/>
    <n v="0"/>
    <s v="0"/>
    <s v="0"/>
    <s v="0"/>
    <s v="0"/>
    <n v="0"/>
    <s v="0"/>
    <m/>
    <m/>
    <m/>
    <m/>
    <m/>
    <m/>
  </r>
  <r>
    <d v="2026-05-09T00:00:00"/>
    <s v="SALES"/>
    <s v="RAJU GOLD STAR"/>
    <n v="1146.288"/>
    <n v="0.88"/>
    <n v="1008.73344"/>
    <n v="9.2772496964113724"/>
    <n v="10634.4"/>
    <n v="1146.288"/>
    <s v="0"/>
    <n v="1008.73344"/>
    <s v="0"/>
    <n v="11166.119999999999"/>
    <n v="0"/>
    <s v="0"/>
    <s v="0"/>
    <s v="0"/>
    <s v="0"/>
    <n v="0"/>
    <s v="0"/>
    <m/>
    <m/>
    <m/>
    <m/>
    <m/>
    <m/>
  </r>
  <r>
    <d v="2026-05-09T00:00:00"/>
    <s v="SALES"/>
    <s v="INDIA STAR JEWELLERY"/>
    <n v="2300.672"/>
    <n v="0.88"/>
    <n v="2024.5913600000001"/>
    <n v="10.370448286413708"/>
    <n v="23859"/>
    <n v="2300.672"/>
    <s v="0"/>
    <n v="2024.5913600000001"/>
    <s v="0"/>
    <n v="25051.95"/>
    <n v="0"/>
    <s v="0"/>
    <s v="0"/>
    <s v="0"/>
    <s v="0"/>
    <n v="0"/>
    <s v="0"/>
    <m/>
    <m/>
    <m/>
    <m/>
    <m/>
    <m/>
  </r>
  <r>
    <d v="2026-05-09T00:00:00"/>
    <s v="SALES"/>
    <s v="BHARAT JEWELLERY LLC"/>
    <n v="647.84720000000004"/>
    <n v="0.88"/>
    <n v="570.10553600000003"/>
    <n v="9.0909090909090917"/>
    <n v="5889.52"/>
    <n v="647.84720000000004"/>
    <s v="0"/>
    <n v="570.10553600000003"/>
    <s v="0"/>
    <n v="6183.9960000000001"/>
    <n v="0"/>
    <s v="0"/>
    <s v="0"/>
    <s v="0"/>
    <s v="0"/>
    <n v="0"/>
    <s v="0"/>
    <m/>
    <m/>
    <m/>
    <m/>
    <m/>
    <m/>
  </r>
  <r>
    <d v="2026-05-09T00:00:00"/>
    <s v="PURCHASE"/>
    <s v="RAJU GOLD STAR"/>
    <n v="565.12020000000007"/>
    <n v="0.995"/>
    <n v="562.29459900000006"/>
    <n v="0"/>
    <m/>
    <s v="0"/>
    <s v="0"/>
    <s v="0"/>
    <s v="0"/>
    <n v="0"/>
    <n v="0"/>
    <n v="565.12020000000007"/>
    <s v="0"/>
    <n v="562.29459900000006"/>
    <s v="0"/>
    <n v="0"/>
    <s v="0"/>
    <m/>
    <m/>
    <m/>
    <m/>
    <m/>
    <m/>
  </r>
  <r>
    <d v="2026-05-09T00:00:00"/>
    <s v="PURCHASE"/>
    <s v="INDIA STAR JEWELLERY"/>
    <n v="1990"/>
    <n v="0.995"/>
    <n v="1980.05"/>
    <n v="0"/>
    <m/>
    <s v="0"/>
    <s v="0"/>
    <s v="0"/>
    <s v="0"/>
    <n v="0"/>
    <n v="0"/>
    <n v="1990"/>
    <s v="0"/>
    <n v="1980.05"/>
    <s v="0"/>
    <n v="0"/>
    <s v="0"/>
    <m/>
    <m/>
    <m/>
    <m/>
    <m/>
    <m/>
  </r>
  <r>
    <d v="2026-05-09T00:00:00"/>
    <s v="PURCHASE"/>
    <s v="HINDUSTAN JEWELLERY LLC"/>
    <n v="558.59299999999996"/>
    <n v="0.995"/>
    <n v="555.80003499999998"/>
    <n v="0"/>
    <m/>
    <s v="0"/>
    <s v="0"/>
    <s v="0"/>
    <s v="0"/>
    <n v="0"/>
    <n v="0"/>
    <n v="558.59299999999996"/>
    <s v="0"/>
    <n v="555.80003499999998"/>
    <s v="0"/>
    <n v="0"/>
    <s v="0"/>
    <m/>
    <m/>
    <m/>
    <m/>
    <m/>
    <m/>
  </r>
  <r>
    <d v="2026-05-09T00:00:00"/>
    <s v="PURCHASE"/>
    <s v="MODI JI GOLD WALE"/>
    <n v="454.21749999999997"/>
    <n v="0.995"/>
    <n v="451.94641249999995"/>
    <n v="0"/>
    <m/>
    <s v="0"/>
    <s v="0"/>
    <s v="0"/>
    <s v="0"/>
    <n v="0"/>
    <n v="0"/>
    <n v="454.21749999999997"/>
    <s v="0"/>
    <n v="451.94641249999995"/>
    <s v="0"/>
    <n v="0"/>
    <s v="0"/>
    <m/>
    <m/>
    <m/>
    <m/>
    <m/>
    <m/>
  </r>
  <r>
    <d v="2026-05-09T00:00:00"/>
    <s v="PURCHASE"/>
    <s v="DHANANJAY JEWELLERY L.L.C"/>
    <n v="537.101"/>
    <n v="0.995"/>
    <n v="534.41549499999996"/>
    <n v="0"/>
    <m/>
    <s v="0"/>
    <s v="0"/>
    <s v="0"/>
    <s v="0"/>
    <n v="0"/>
    <n v="0"/>
    <n v="537.101"/>
    <s v="0"/>
    <n v="534.41549499999996"/>
    <s v="0"/>
    <n v="0"/>
    <s v="0"/>
    <m/>
    <m/>
    <m/>
    <m/>
    <m/>
    <m/>
  </r>
  <r>
    <d v="2026-05-09T00:00:00"/>
    <s v="SALES RETURN"/>
    <s v="SONIYA JI GOLD HOUSE"/>
    <n v="547.096"/>
    <n v="0.88"/>
    <n v="481.44448"/>
    <n v="7.7593329141503506"/>
    <n v="4245.1000000000004"/>
    <s v="0"/>
    <n v="547.096"/>
    <s v="0"/>
    <n v="481.44448"/>
    <n v="0"/>
    <n v="4457.3550000000005"/>
    <s v="0"/>
    <s v="0"/>
    <s v="0"/>
    <s v="0"/>
    <n v="0"/>
    <s v="0"/>
    <m/>
    <m/>
    <m/>
    <m/>
    <m/>
    <m/>
  </r>
  <r>
    <d v="2026-05-10T00:00:00"/>
    <s v="SUNDAY"/>
    <m/>
    <m/>
    <m/>
    <n v="0"/>
    <e v="#DIV/0!"/>
    <m/>
    <s v="0"/>
    <s v="0"/>
    <s v="0"/>
    <s v="0"/>
    <n v="0"/>
    <n v="0"/>
    <s v="0"/>
    <s v="0"/>
    <s v="0"/>
    <s v="0"/>
    <n v="0"/>
    <s v="0"/>
    <m/>
    <m/>
    <m/>
    <m/>
    <m/>
    <m/>
  </r>
  <r>
    <d v="2026-05-11T00:00:00"/>
    <s v="SALES"/>
    <s v="INDIA STAR JEWELLERY"/>
    <n v="986.65600000000006"/>
    <n v="0.88"/>
    <n v="868.25728000000004"/>
    <n v="10.652953004897348"/>
    <n v="10510.8"/>
    <n v="986.65600000000006"/>
    <s v="0"/>
    <n v="868.25728000000004"/>
    <s v="0"/>
    <n v="11036.34"/>
    <n v="0"/>
    <s v="0"/>
    <s v="0"/>
    <s v="0"/>
    <s v="0"/>
    <n v="0"/>
    <s v="0"/>
    <m/>
    <m/>
    <m/>
    <m/>
    <m/>
    <m/>
  </r>
  <r>
    <d v="2026-05-11T00:00:00"/>
    <s v="SALES"/>
    <s v="HINDUSTAN JEWELLERY LLC"/>
    <n v="258.98400000000004"/>
    <n v="0.88"/>
    <n v="227.90592000000004"/>
    <n v="9.0909090909090899"/>
    <n v="2354.4"/>
    <n v="258.98400000000004"/>
    <s v="0"/>
    <n v="227.90592000000004"/>
    <s v="0"/>
    <n v="2472.12"/>
    <n v="0"/>
    <s v="0"/>
    <s v="0"/>
    <s v="0"/>
    <s v="0"/>
    <n v="0"/>
    <s v="0"/>
    <m/>
    <m/>
    <m/>
    <m/>
    <m/>
    <m/>
  </r>
  <r>
    <d v="2026-05-11T00:00:00"/>
    <s v="SALES"/>
    <s v="RAHUL BABA GOLD HUB"/>
    <n v="63.254399999999997"/>
    <n v="0.88"/>
    <n v="55.663871999999998"/>
    <n v="9.0909090909090899"/>
    <n v="575.04"/>
    <n v="63.254399999999997"/>
    <s v="0"/>
    <n v="55.663871999999998"/>
    <s v="0"/>
    <n v="603.79199999999992"/>
    <n v="0"/>
    <s v="0"/>
    <s v="0"/>
    <s v="0"/>
    <s v="0"/>
    <n v="0"/>
    <s v="0"/>
    <m/>
    <m/>
    <m/>
    <m/>
    <m/>
    <m/>
  </r>
  <r>
    <d v="2026-05-11T00:00:00"/>
    <s v="PURCHASE"/>
    <s v="BADSHAH JEWELLERY SHOP"/>
    <n v="699.93000000000006"/>
    <n v="0.99990000000000001"/>
    <n v="699.86000700000011"/>
    <n v="0"/>
    <m/>
    <s v="0"/>
    <s v="0"/>
    <s v="0"/>
    <s v="0"/>
    <n v="0"/>
    <n v="0"/>
    <n v="699.93000000000006"/>
    <s v="0"/>
    <n v="699.86000700000011"/>
    <s v="0"/>
    <n v="0"/>
    <s v="0"/>
    <m/>
    <m/>
    <m/>
    <m/>
    <m/>
    <m/>
  </r>
  <r>
    <d v="2026-05-11T00:00:00"/>
    <s v="PURCHASE"/>
    <s v="INDIA STAR JEWELLERY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11T00:00:00"/>
    <s v="PURCHASE"/>
    <s v="BHARAT JEWELLERY LLC"/>
    <n v="1000"/>
    <n v="1"/>
    <n v="1000"/>
    <n v="0"/>
    <m/>
    <s v="0"/>
    <s v="0"/>
    <s v="0"/>
    <s v="0"/>
    <n v="0"/>
    <n v="0"/>
    <n v="1000"/>
    <s v="0"/>
    <n v="1000"/>
    <s v="0"/>
    <n v="0"/>
    <s v="0"/>
    <m/>
    <m/>
    <m/>
    <m/>
    <m/>
    <m/>
  </r>
  <r>
    <d v="2026-05-11T00:00:00"/>
    <s v="PURCHASE"/>
    <s v="ABBAS GOLD CENTER LLC"/>
    <n v="499.9676"/>
    <n v="0.995"/>
    <n v="497.46776199999999"/>
    <n v="0"/>
    <m/>
    <s v="0"/>
    <s v="0"/>
    <s v="0"/>
    <s v="0"/>
    <n v="0"/>
    <n v="0"/>
    <n v="499.9676"/>
    <s v="0"/>
    <n v="497.46776199999999"/>
    <s v="0"/>
    <n v="0"/>
    <s v="0"/>
    <m/>
    <m/>
    <m/>
    <m/>
    <m/>
    <m/>
  </r>
  <r>
    <d v="2026-05-11T00:00:00"/>
    <s v="PURCHASE"/>
    <s v="RAHUL BABA GOLD HUB"/>
    <n v="225.27795"/>
    <n v="0.995"/>
    <n v="224.15156025000002"/>
    <n v="0"/>
    <m/>
    <s v="0"/>
    <s v="0"/>
    <s v="0"/>
    <s v="0"/>
    <n v="0"/>
    <n v="0"/>
    <n v="225.27795"/>
    <s v="0"/>
    <n v="224.15156025000002"/>
    <s v="0"/>
    <n v="0"/>
    <s v="0"/>
    <m/>
    <m/>
    <m/>
    <m/>
    <m/>
    <m/>
  </r>
  <r>
    <d v="2026-05-11T00:00:00"/>
    <s v="SALES RETURN"/>
    <s v="INDIA STAR JEWELLERY"/>
    <n v="1111.616"/>
    <n v="0.88"/>
    <n v="978.22208000000001"/>
    <n v="11.363636363636363"/>
    <n v="12632"/>
    <s v="0"/>
    <n v="1111.616"/>
    <s v="0"/>
    <n v="978.22208000000001"/>
    <n v="0"/>
    <n v="13263.6"/>
    <s v="0"/>
    <s v="0"/>
    <s v="0"/>
    <s v="0"/>
    <n v="0"/>
    <s v="0"/>
    <m/>
    <m/>
    <m/>
    <m/>
    <m/>
    <m/>
  </r>
  <r>
    <d v="2026-05-11T00:00:00"/>
    <s v="SALES RETURN"/>
    <s v="INDIA STAR JEWELLERY"/>
    <n v="362"/>
    <n v="0.88"/>
    <n v="318.56"/>
    <n v="0.89944751381215471"/>
    <n v="325.60000000000002"/>
    <s v="0"/>
    <n v="362"/>
    <s v="0"/>
    <n v="318.56"/>
    <n v="0"/>
    <n v="341.88"/>
    <s v="0"/>
    <s v="0"/>
    <s v="0"/>
    <s v="0"/>
    <n v="0"/>
    <s v="0"/>
    <m/>
    <m/>
    <m/>
    <m/>
    <m/>
    <m/>
  </r>
  <r>
    <d v="2026-05-11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50000"/>
    <m/>
    <m/>
    <m/>
    <m/>
    <m/>
  </r>
  <r>
    <d v="2026-05-12T00:00:00"/>
    <s v="SALES"/>
    <s v="HINDUSTAN JEWELLERY LLC"/>
    <n v="39.951999999999998"/>
    <n v="0.88"/>
    <n v="35.157759999999996"/>
    <n v="12.5"/>
    <n v="499.4"/>
    <n v="39.951999999999998"/>
    <s v="0"/>
    <n v="35.157759999999996"/>
    <s v="0"/>
    <n v="524.37"/>
    <n v="0"/>
    <s v="0"/>
    <s v="0"/>
    <s v="0"/>
    <s v="0"/>
    <n v="0"/>
    <s v="0"/>
    <m/>
    <m/>
    <m/>
    <m/>
    <m/>
    <m/>
  </r>
  <r>
    <d v="2026-05-12T00:00:00"/>
    <s v="SALES"/>
    <s v="INDIA STAR JEWELLERY"/>
    <n v="870.32"/>
    <n v="0.88"/>
    <n v="765.88160000000005"/>
    <n v="13.824225572203327"/>
    <n v="12031.5"/>
    <n v="870.32"/>
    <s v="0"/>
    <n v="765.88160000000005"/>
    <s v="0"/>
    <n v="12633.075000000001"/>
    <n v="0"/>
    <s v="0"/>
    <s v="0"/>
    <s v="0"/>
    <s v="0"/>
    <n v="0"/>
    <s v="0"/>
    <m/>
    <m/>
    <m/>
    <m/>
    <m/>
    <m/>
  </r>
  <r>
    <d v="2026-05-12T00:00:00"/>
    <s v="SALES"/>
    <s v="BADSHAH JEWELLERY SHOP"/>
    <n v="1110.296"/>
    <n v="0.88"/>
    <n v="977.0604800000001"/>
    <n v="13.636363636363635"/>
    <n v="15140.4"/>
    <n v="1110.296"/>
    <s v="0"/>
    <n v="977.0604800000001"/>
    <s v="0"/>
    <n v="15897.42"/>
    <n v="0"/>
    <s v="0"/>
    <s v="0"/>
    <s v="0"/>
    <s v="0"/>
    <n v="0"/>
    <s v="0"/>
    <m/>
    <m/>
    <m/>
    <m/>
    <m/>
    <m/>
  </r>
  <r>
    <d v="2026-05-12T00:00:00"/>
    <s v="SALES"/>
    <s v="DHANANJAY JEWELLERY L.L.C"/>
    <n v="202.136"/>
    <n v="0.88"/>
    <n v="177.87968000000001"/>
    <n v="9.0909090909090899"/>
    <n v="1837.6"/>
    <n v="202.136"/>
    <s v="0"/>
    <n v="177.87968000000001"/>
    <s v="0"/>
    <n v="1929.48"/>
    <n v="0"/>
    <s v="0"/>
    <s v="0"/>
    <s v="0"/>
    <s v="0"/>
    <n v="0"/>
    <s v="0"/>
    <m/>
    <m/>
    <m/>
    <m/>
    <m/>
    <m/>
  </r>
  <r>
    <d v="2026-05-12T00:00:00"/>
    <s v="SALES"/>
    <s v="ABBAS GOLD CENTER LLC"/>
    <n v="862.54959999999994"/>
    <n v="0.88"/>
    <n v="759.04364799999996"/>
    <n v="6.2935279316111208"/>
    <n v="5428.48"/>
    <n v="862.54959999999994"/>
    <s v="0"/>
    <n v="759.04364799999996"/>
    <s v="0"/>
    <n v="5699.9039999999995"/>
    <n v="0"/>
    <s v="0"/>
    <s v="0"/>
    <s v="0"/>
    <s v="0"/>
    <n v="0"/>
    <s v="0"/>
    <m/>
    <m/>
    <m/>
    <m/>
    <m/>
    <m/>
  </r>
  <r>
    <d v="2026-05-12T00:00:00"/>
    <s v="PURCHASE"/>
    <s v="ABBAS GOLD CENTER LLC"/>
    <n v="412.36"/>
    <n v="1"/>
    <n v="412.36"/>
    <n v="0"/>
    <m/>
    <s v="0"/>
    <s v="0"/>
    <s v="0"/>
    <s v="0"/>
    <n v="0"/>
    <n v="0"/>
    <n v="412.36"/>
    <s v="0"/>
    <n v="412.36"/>
    <s v="0"/>
    <n v="0"/>
    <s v="0"/>
    <m/>
    <m/>
    <m/>
    <m/>
    <m/>
    <m/>
  </r>
  <r>
    <d v="2026-05-12T00:00:00"/>
    <s v="PURCHASE"/>
    <s v="INDIA STAR JEWELLERY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12T00:00:00"/>
    <s v="PURCHASE"/>
    <s v="HINDUSTAN JEWELLERY LLC"/>
    <n v="525.36"/>
    <n v="0.995"/>
    <n v="522.73320000000001"/>
    <n v="0"/>
    <m/>
    <s v="0"/>
    <s v="0"/>
    <s v="0"/>
    <s v="0"/>
    <n v="0"/>
    <n v="0"/>
    <n v="525.36"/>
    <s v="0"/>
    <n v="522.73320000000001"/>
    <s v="0"/>
    <n v="0"/>
    <s v="0"/>
    <m/>
    <m/>
    <m/>
    <m/>
    <m/>
    <m/>
  </r>
  <r>
    <d v="2026-05-12T00:00:00"/>
    <s v="PURCHASE"/>
    <s v="RAJU GOLD STAR"/>
    <n v="580.04520000000002"/>
    <n v="0.995"/>
    <n v="577.14497400000005"/>
    <n v="0"/>
    <m/>
    <s v="0"/>
    <s v="0"/>
    <s v="0"/>
    <s v="0"/>
    <n v="0"/>
    <n v="0"/>
    <n v="580.04520000000002"/>
    <s v="0"/>
    <n v="577.14497400000005"/>
    <s v="0"/>
    <n v="0"/>
    <s v="0"/>
    <m/>
    <m/>
    <m/>
    <m/>
    <m/>
    <m/>
  </r>
  <r>
    <d v="2026-05-13T00:00:00"/>
    <s v="SALES"/>
    <s v="RAHUL BABA GOLD HUB"/>
    <n v="331.67199999999997"/>
    <n v="0.88"/>
    <n v="291.87135999999998"/>
    <n v="5.1136363636363642"/>
    <n v="1696.05"/>
    <n v="331.67199999999997"/>
    <s v="0"/>
    <n v="291.87135999999998"/>
    <s v="0"/>
    <n v="1780.8525"/>
    <n v="0"/>
    <s v="0"/>
    <s v="0"/>
    <s v="0"/>
    <s v="0"/>
    <n v="0"/>
    <s v="0"/>
    <m/>
    <m/>
    <m/>
    <m/>
    <m/>
    <m/>
  </r>
  <r>
    <d v="2026-05-13T00:00:00"/>
    <s v="SALES"/>
    <s v="INDIA STAR JEWELLERY"/>
    <n v="1065.856"/>
    <n v="0.88"/>
    <n v="937.95327999999995"/>
    <n v="10.251431713101956"/>
    <n v="10926.55"/>
    <n v="1065.856"/>
    <s v="0"/>
    <n v="937.95327999999995"/>
    <s v="0"/>
    <n v="11472.877499999999"/>
    <n v="0"/>
    <s v="0"/>
    <s v="0"/>
    <s v="0"/>
    <s v="0"/>
    <n v="0"/>
    <s v="0"/>
    <m/>
    <m/>
    <m/>
    <m/>
    <m/>
    <m/>
  </r>
  <r>
    <d v="2026-05-13T00:00:00"/>
    <s v="SALES"/>
    <s v="UMAR GOLD SHOP"/>
    <n v="922.4248"/>
    <n v="0.88"/>
    <n v="811.73382400000003"/>
    <n v="9.250618587011104"/>
    <n v="8533"/>
    <n v="922.4248"/>
    <s v="0"/>
    <n v="811.73382400000003"/>
    <s v="0"/>
    <n v="8959.65"/>
    <n v="0"/>
    <s v="0"/>
    <s v="0"/>
    <s v="0"/>
    <s v="0"/>
    <n v="0"/>
    <s v="0"/>
    <m/>
    <m/>
    <m/>
    <m/>
    <m/>
    <m/>
  </r>
  <r>
    <d v="2026-05-13T00:00:00"/>
    <s v="PURCHASE"/>
    <s v="RAHUL BABA GOLD HUB"/>
    <n v="336.32989999999995"/>
    <n v="0.995"/>
    <n v="334.64825049999996"/>
    <n v="0"/>
    <m/>
    <s v="0"/>
    <s v="0"/>
    <s v="0"/>
    <s v="0"/>
    <n v="0"/>
    <n v="0"/>
    <n v="336.32989999999995"/>
    <s v="0"/>
    <n v="334.64825049999996"/>
    <s v="0"/>
    <n v="0"/>
    <s v="0"/>
    <m/>
    <m/>
    <m/>
    <m/>
    <m/>
    <m/>
  </r>
  <r>
    <d v="2026-05-13T00:00:00"/>
    <s v="PURCHASE"/>
    <s v="DHANANJAY JEWELLERY L.L.C"/>
    <n v="199.77610000000001"/>
    <n v="0.995"/>
    <n v="198.7772195"/>
    <n v="0"/>
    <m/>
    <s v="0"/>
    <s v="0"/>
    <s v="0"/>
    <s v="0"/>
    <n v="0"/>
    <n v="0"/>
    <n v="199.77610000000001"/>
    <s v="0"/>
    <n v="198.7772195"/>
    <s v="0"/>
    <n v="0"/>
    <s v="0"/>
    <m/>
    <m/>
    <m/>
    <m/>
    <m/>
    <m/>
  </r>
  <r>
    <d v="2026-05-13T00:00:00"/>
    <s v="PURCHASE"/>
    <s v="INDIA STAR JEWELLERY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14T00:00:00"/>
    <s v="SALES"/>
    <s v="DHANANJAY JEWELLERY L.L.C"/>
    <n v="219.29599999999999"/>
    <n v="0.88"/>
    <n v="192.98048"/>
    <n v="10.227272727272728"/>
    <n v="2242.8000000000002"/>
    <n v="219.29599999999999"/>
    <s v="0"/>
    <n v="192.98048"/>
    <s v="0"/>
    <n v="2354.94"/>
    <n v="0"/>
    <s v="0"/>
    <s v="0"/>
    <s v="0"/>
    <s v="0"/>
    <n v="0"/>
    <s v="0"/>
    <m/>
    <m/>
    <m/>
    <m/>
    <m/>
    <m/>
  </r>
  <r>
    <d v="2026-05-14T00:00:00"/>
    <s v="SALES"/>
    <s v="INDIA STAR JEWELLERY"/>
    <n v="1943.8320000000001"/>
    <n v="0.88"/>
    <n v="1710.5721600000002"/>
    <n v="12.049163713736577"/>
    <n v="23421.55"/>
    <n v="1943.8320000000001"/>
    <s v="0"/>
    <n v="1710.5721600000002"/>
    <s v="0"/>
    <n v="24592.627499999999"/>
    <n v="0"/>
    <s v="0"/>
    <s v="0"/>
    <s v="0"/>
    <s v="0"/>
    <n v="0"/>
    <s v="0"/>
    <m/>
    <m/>
    <m/>
    <m/>
    <m/>
    <m/>
  </r>
  <r>
    <d v="2026-05-14T00:00:00"/>
    <s v="SALES"/>
    <s v="SUMIT GOLD HUB LLC"/>
    <n v="1040.8144"/>
    <n v="0.92"/>
    <n v="957.54924800000003"/>
    <n v="4.3478260869565215"/>
    <n v="4525.28"/>
    <n v="1040.8144"/>
    <s v="0"/>
    <n v="957.54924800000003"/>
    <s v="0"/>
    <n v="4751.5439999999999"/>
    <n v="0"/>
    <s v="0"/>
    <s v="0"/>
    <s v="0"/>
    <s v="0"/>
    <n v="0"/>
    <s v="0"/>
    <m/>
    <m/>
    <m/>
    <m/>
    <m/>
    <m/>
  </r>
  <r>
    <d v="2026-05-14T00:00:00"/>
    <s v="SALES"/>
    <s v="BHARAT JEWELLERY LLC"/>
    <n v="554.048"/>
    <n v="0.88"/>
    <n v="487.56224000000003"/>
    <n v="13.636363636363637"/>
    <n v="7555.2"/>
    <n v="554.048"/>
    <s v="0"/>
    <n v="487.56224000000003"/>
    <s v="0"/>
    <n v="7932.96"/>
    <n v="0"/>
    <s v="0"/>
    <s v="0"/>
    <s v="0"/>
    <s v="0"/>
    <n v="0"/>
    <s v="0"/>
    <m/>
    <m/>
    <m/>
    <m/>
    <m/>
    <m/>
  </r>
  <r>
    <d v="2026-05-14T00:00:00"/>
    <s v="PURCHASE"/>
    <s v="UMAR GOLD SHOP"/>
    <n v="907.91759999999999"/>
    <n v="0.995"/>
    <n v="903.37801200000001"/>
    <m/>
    <m/>
    <s v="0"/>
    <s v="0"/>
    <s v="0"/>
    <s v="0"/>
    <n v="0"/>
    <n v="0"/>
    <n v="907.91759999999999"/>
    <s v="0"/>
    <n v="903.37801200000001"/>
    <s v="0"/>
    <n v="0"/>
    <s v="0"/>
    <m/>
    <m/>
    <m/>
    <m/>
    <m/>
    <m/>
  </r>
  <r>
    <d v="2026-05-14T00:00:00"/>
    <s v="PURCHASE"/>
    <s v="ABBAS GOLD CENTER LLC"/>
    <n v="755.22489999999993"/>
    <n v="0.995"/>
    <n v="751.4487754999999"/>
    <m/>
    <m/>
    <s v="0"/>
    <s v="0"/>
    <s v="0"/>
    <s v="0"/>
    <n v="0"/>
    <n v="0"/>
    <n v="755.22489999999993"/>
    <s v="0"/>
    <n v="751.4487754999999"/>
    <s v="0"/>
    <n v="0"/>
    <s v="0"/>
    <m/>
    <m/>
    <m/>
    <m/>
    <m/>
    <m/>
  </r>
  <r>
    <d v="2026-05-14T00:00:00"/>
    <s v="PURCHASE"/>
    <s v="HINDUSTAN JEWELLERY LLC"/>
    <n v="617.79549999999995"/>
    <n v="0.995"/>
    <n v="614.70652249999989"/>
    <m/>
    <m/>
    <s v="0"/>
    <s v="0"/>
    <s v="0"/>
    <s v="0"/>
    <n v="0"/>
    <n v="0"/>
    <n v="617.79549999999995"/>
    <s v="0"/>
    <n v="614.70652249999989"/>
    <s v="0"/>
    <n v="0"/>
    <s v="0"/>
    <m/>
    <m/>
    <m/>
    <m/>
    <m/>
    <m/>
  </r>
  <r>
    <d v="2026-05-14T00:00:00"/>
    <s v="PURCHASE"/>
    <s v="INDIA STAR JEWELLERY"/>
    <n v="1990"/>
    <n v="0.995"/>
    <n v="1980.05"/>
    <m/>
    <m/>
    <s v="0"/>
    <s v="0"/>
    <s v="0"/>
    <s v="0"/>
    <n v="0"/>
    <n v="0"/>
    <n v="1990"/>
    <s v="0"/>
    <n v="1980.05"/>
    <s v="0"/>
    <n v="0"/>
    <s v="0"/>
    <m/>
    <m/>
    <m/>
    <m/>
    <m/>
    <m/>
  </r>
  <r>
    <d v="2026-05-14T00:00:00"/>
    <s v="PURCHASE"/>
    <s v="SUMIT GOLD HUB LLC"/>
    <n v="1040.8098"/>
    <n v="0.995"/>
    <n v="1035.6057510000001"/>
    <m/>
    <m/>
    <s v="0"/>
    <s v="0"/>
    <s v="0"/>
    <s v="0"/>
    <n v="0"/>
    <n v="0"/>
    <n v="1040.8098"/>
    <s v="0"/>
    <n v="1035.6057510000001"/>
    <s v="0"/>
    <n v="0"/>
    <s v="0"/>
    <m/>
    <m/>
    <m/>
    <m/>
    <m/>
    <m/>
  </r>
  <r>
    <d v="2026-05-14T00:00:00"/>
    <s v="PURCHASE"/>
    <s v="ASHA RAAM GOLD JEWELLERY SHOP"/>
    <n v="268.6728"/>
    <n v="0.88"/>
    <n v="236.432064"/>
    <n v="3.1249906950015038"/>
    <n v="839.6"/>
    <s v="0"/>
    <s v="0"/>
    <s v="0"/>
    <s v="0"/>
    <n v="0"/>
    <n v="0"/>
    <n v="268.6728"/>
    <s v="0"/>
    <n v="236.432064"/>
    <s v="0"/>
    <n v="881.58"/>
    <s v="0"/>
    <m/>
    <m/>
    <m/>
    <m/>
    <m/>
    <m/>
  </r>
  <r>
    <d v="2026-05-14T00:00:00"/>
    <s v="METAL PAYMENT"/>
    <s v="ASHA RAAM GOLD JEWELLERY SHOP"/>
    <n v="260.78950000000003"/>
    <n v="0.995"/>
    <n v="259.48555250000004"/>
    <n v="0"/>
    <m/>
    <s v="0"/>
    <s v="0"/>
    <s v="0"/>
    <s v="0"/>
    <n v="0"/>
    <n v="0"/>
    <s v="0"/>
    <n v="260.78950000000003"/>
    <s v="0"/>
    <n v="259.48555250000004"/>
    <n v="0"/>
    <n v="0"/>
    <m/>
    <m/>
    <m/>
    <m/>
    <m/>
    <m/>
  </r>
  <r>
    <d v="2026-05-14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4751"/>
    <m/>
    <m/>
    <m/>
    <m/>
    <m/>
  </r>
  <r>
    <d v="2026-05-15T00:00:00"/>
    <s v="SALES"/>
    <s v="UMAR GOLD SHOP"/>
    <n v="476.25600000000003"/>
    <n v="0.88"/>
    <n v="419.10528000000005"/>
    <n v="8.0376940133037689"/>
    <n v="3828"/>
    <n v="476.25600000000003"/>
    <s v="0"/>
    <n v="419.10528000000005"/>
    <s v="0"/>
    <n v="4019.4"/>
    <n v="0"/>
    <s v="0"/>
    <s v="0"/>
    <s v="0"/>
    <s v="0"/>
    <n v="0"/>
    <s v="0"/>
    <m/>
    <m/>
    <m/>
    <m/>
    <m/>
    <m/>
  </r>
  <r>
    <d v="2026-05-15T00:00:00"/>
    <s v="SALES"/>
    <s v="INDIA STAR JEWELLERY"/>
    <n v="1434.664"/>
    <n v="0.88"/>
    <n v="1262.50432"/>
    <n v="11.803983371716305"/>
    <n v="16934.75"/>
    <n v="1434.664"/>
    <s v="0"/>
    <n v="1262.50432"/>
    <s v="0"/>
    <n v="17781.487499999999"/>
    <n v="0"/>
    <s v="0"/>
    <s v="0"/>
    <s v="0"/>
    <s v="0"/>
    <n v="0"/>
    <s v="0"/>
    <m/>
    <m/>
    <m/>
    <m/>
    <m/>
    <m/>
  </r>
  <r>
    <d v="2026-05-15T00:00:00"/>
    <s v="SALES"/>
    <s v="SUMIT GOLD HUB LLC"/>
    <n v="1379.6135999999999"/>
    <n v="0.92"/>
    <n v="1269.244512"/>
    <n v="4.3478260869565215"/>
    <n v="5998.32"/>
    <n v="1379.6135999999999"/>
    <s v="0"/>
    <n v="1269.244512"/>
    <s v="0"/>
    <n v="6298.2359999999999"/>
    <n v="0"/>
    <s v="0"/>
    <s v="0"/>
    <s v="0"/>
    <s v="0"/>
    <n v="0"/>
    <s v="0"/>
    <m/>
    <m/>
    <m/>
    <m/>
    <m/>
    <m/>
  </r>
  <r>
    <d v="2026-05-15T00:00:00"/>
    <s v="SALES"/>
    <s v="VISHAL JEWELLERY LLC"/>
    <n v="390.63200000000001"/>
    <n v="0.88"/>
    <n v="343.75616000000002"/>
    <n v="11.41534743697393"/>
    <n v="4459.2"/>
    <n v="390.63200000000001"/>
    <s v="0"/>
    <n v="343.75616000000002"/>
    <s v="0"/>
    <n v="4682.16"/>
    <n v="0"/>
    <s v="0"/>
    <s v="0"/>
    <s v="0"/>
    <s v="0"/>
    <n v="0"/>
    <s v="0"/>
    <m/>
    <m/>
    <m/>
    <m/>
    <m/>
    <m/>
  </r>
  <r>
    <d v="2026-05-15T00:00:00"/>
    <s v="PURCHASE"/>
    <s v="INDIA STAR JEWELLERY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15T00:00:00"/>
    <s v="PURCHASE"/>
    <s v="SUMIT GOLD HUB LLC"/>
    <n v="1379.6072999999999"/>
    <n v="0.995"/>
    <n v="1372.7092634999999"/>
    <n v="0"/>
    <m/>
    <s v="0"/>
    <s v="0"/>
    <s v="0"/>
    <s v="0"/>
    <n v="0"/>
    <n v="0"/>
    <n v="1379.6072999999999"/>
    <s v="0"/>
    <n v="1372.7092634999999"/>
    <s v="0"/>
    <n v="0"/>
    <s v="0"/>
    <m/>
    <m/>
    <m/>
    <m/>
    <m/>
    <m/>
  </r>
  <r>
    <d v="2026-05-15T00:00:00"/>
    <s v="PURCHASE"/>
    <s v="VISHAL JEWELLERY LLC"/>
    <n v="465.66"/>
    <n v="0.995"/>
    <n v="463.33170000000001"/>
    <n v="0"/>
    <m/>
    <s v="0"/>
    <s v="0"/>
    <s v="0"/>
    <s v="0"/>
    <n v="0"/>
    <n v="0"/>
    <n v="465.66"/>
    <s v="0"/>
    <n v="463.33170000000001"/>
    <s v="0"/>
    <n v="0"/>
    <s v="0"/>
    <m/>
    <m/>
    <m/>
    <m/>
    <m/>
    <m/>
  </r>
  <r>
    <d v="2026-05-15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6298"/>
    <m/>
    <m/>
    <m/>
    <m/>
    <m/>
  </r>
  <r>
    <d v="2026-05-16T00:00:00"/>
    <s v="SALES"/>
    <s v="INDIA STAR JEWELLERY"/>
    <n v="944.85599999999999"/>
    <n v="0.88"/>
    <n v="831.47328000000005"/>
    <n v="11.252719991194427"/>
    <n v="10632.2"/>
    <n v="944.85599999999999"/>
    <s v="0"/>
    <n v="831.47328000000005"/>
    <s v="0"/>
    <n v="11163.810000000001"/>
    <n v="0"/>
    <s v="0"/>
    <s v="0"/>
    <s v="0"/>
    <s v="0"/>
    <n v="0"/>
    <s v="0"/>
    <m/>
    <m/>
    <m/>
    <m/>
    <m/>
    <m/>
  </r>
  <r>
    <d v="2026-05-16T00:00:00"/>
    <s v="SALES"/>
    <s v="RAHUL BABA GOLD HUB"/>
    <n v="332.50800000000004"/>
    <n v="0.88"/>
    <n v="292.60704000000004"/>
    <n v="5.6409469847342013"/>
    <n v="1875.66"/>
    <n v="332.50800000000004"/>
    <s v="0"/>
    <n v="292.60704000000004"/>
    <s v="0"/>
    <n v="1969.4430000000002"/>
    <n v="0"/>
    <s v="0"/>
    <s v="0"/>
    <s v="0"/>
    <s v="0"/>
    <n v="0"/>
    <s v="0"/>
    <m/>
    <m/>
    <m/>
    <m/>
    <m/>
    <m/>
  </r>
  <r>
    <d v="2026-05-16T00:00:00"/>
    <s v="PURCHASE"/>
    <s v="DHANANJAY JEWELLERY L.L.C"/>
    <n v="540.68299999999999"/>
    <n v="0.995"/>
    <n v="537.97958500000004"/>
    <m/>
    <m/>
    <s v="0"/>
    <s v="0"/>
    <s v="0"/>
    <s v="0"/>
    <n v="0"/>
    <n v="0"/>
    <n v="540.68299999999999"/>
    <s v="0"/>
    <n v="537.97958500000004"/>
    <s v="0"/>
    <n v="0"/>
    <s v="0"/>
    <m/>
    <m/>
    <m/>
    <m/>
    <m/>
    <m/>
  </r>
  <r>
    <d v="2026-05-16T00:00:00"/>
    <s v="PURCHASE"/>
    <s v="INDIA STAR JEWELLERY"/>
    <n v="995"/>
    <n v="0.995"/>
    <n v="990.02499999999998"/>
    <m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16T00:00:00"/>
    <s v="PURCHASE"/>
    <s v="ASHA RAAM GOLD JEWELLERY SHOP"/>
    <n v="523.86399999999992"/>
    <n v="0.88"/>
    <n v="461.00031999999993"/>
    <n v="2.8409090909090913"/>
    <n v="1488.25"/>
    <s v="0"/>
    <s v="0"/>
    <s v="0"/>
    <s v="0"/>
    <n v="0"/>
    <n v="0"/>
    <n v="523.86399999999992"/>
    <s v="0"/>
    <n v="461.00031999999993"/>
    <s v="0"/>
    <n v="1562.6624999999999"/>
    <s v="0"/>
    <m/>
    <m/>
    <m/>
    <m/>
    <m/>
    <m/>
  </r>
  <r>
    <d v="2026-05-16T00:00:00"/>
    <s v="METAL PAYMENT"/>
    <s v="ASHA RAAM GOLD JEWELLERY SHOP"/>
    <n v="317.40499999999997"/>
    <n v="0.995"/>
    <n v="315.81797499999999"/>
    <n v="0"/>
    <m/>
    <s v="0"/>
    <s v="0"/>
    <s v="0"/>
    <s v="0"/>
    <n v="0"/>
    <n v="0"/>
    <s v="0"/>
    <n v="317.40499999999997"/>
    <s v="0"/>
    <n v="315.81797499999999"/>
    <n v="0"/>
    <n v="0"/>
    <m/>
    <m/>
    <m/>
    <m/>
    <m/>
    <m/>
  </r>
  <r>
    <d v="2026-05-17T00:00:00"/>
    <s v="SUNDAY"/>
    <m/>
    <m/>
    <m/>
    <n v="0"/>
    <e v="#DIV/0!"/>
    <m/>
    <s v="0"/>
    <s v="0"/>
    <s v="0"/>
    <s v="0"/>
    <n v="0"/>
    <n v="0"/>
    <s v="0"/>
    <s v="0"/>
    <s v="0"/>
    <s v="0"/>
    <n v="0"/>
    <s v="0"/>
    <m/>
    <m/>
    <m/>
    <m/>
    <m/>
    <m/>
  </r>
  <r>
    <d v="2026-05-18T00:00:00"/>
    <s v="SALES"/>
    <s v="BHARAT JEWELLERY LLC"/>
    <n v="709.72"/>
    <n v="0.88"/>
    <n v="624.55360000000007"/>
    <n v="10.050724229273516"/>
    <n v="7133.2"/>
    <n v="709.72"/>
    <s v="0"/>
    <n v="624.55360000000007"/>
    <s v="0"/>
    <n v="7489.86"/>
    <n v="0"/>
    <s v="0"/>
    <s v="0"/>
    <s v="0"/>
    <s v="0"/>
    <n v="0"/>
    <s v="0"/>
    <m/>
    <m/>
    <m/>
    <m/>
    <m/>
    <m/>
  </r>
  <r>
    <d v="2026-05-18T00:00:00"/>
    <s v="SALES"/>
    <s v="INDIA STAR JEWELLERY"/>
    <n v="892.76"/>
    <n v="0.88"/>
    <n v="785.62879999999996"/>
    <n v="9.1599085980554698"/>
    <n v="8177.6"/>
    <n v="892.76"/>
    <s v="0"/>
    <n v="785.62879999999996"/>
    <s v="0"/>
    <n v="8586.48"/>
    <n v="0"/>
    <s v="0"/>
    <s v="0"/>
    <s v="0"/>
    <s v="0"/>
    <n v="0"/>
    <s v="0"/>
    <m/>
    <m/>
    <m/>
    <m/>
    <m/>
    <m/>
  </r>
  <r>
    <d v="2026-05-18T00:00:00"/>
    <s v="SALES"/>
    <s v="VISHAL JEWELLERY LLC"/>
    <n v="823.76800000000003"/>
    <n v="0.88"/>
    <n v="724.91584"/>
    <n v="4.545454545454545"/>
    <n v="3744.4"/>
    <n v="823.76800000000003"/>
    <s v="0"/>
    <n v="724.91584"/>
    <s v="0"/>
    <n v="3931.62"/>
    <n v="0"/>
    <s v="0"/>
    <s v="0"/>
    <s v="0"/>
    <s v="0"/>
    <n v="0"/>
    <s v="0"/>
    <m/>
    <m/>
    <m/>
    <m/>
    <m/>
    <m/>
  </r>
  <r>
    <d v="2026-05-18T00:00:00"/>
    <s v="SALES"/>
    <s v="ABBAS GOLD CENTER LLC"/>
    <n v="265.63679999999999"/>
    <n v="0.88"/>
    <n v="233.76038399999999"/>
    <n v="14.772727272727272"/>
    <n v="3924.18"/>
    <n v="265.63679999999999"/>
    <s v="0"/>
    <n v="233.76038399999999"/>
    <s v="0"/>
    <n v="4120.3890000000001"/>
    <n v="0"/>
    <s v="0"/>
    <s v="0"/>
    <s v="0"/>
    <s v="0"/>
    <n v="0"/>
    <s v="0"/>
    <m/>
    <m/>
    <m/>
    <m/>
    <m/>
    <m/>
  </r>
  <r>
    <d v="2026-05-18T00:00:00"/>
    <s v="SALES"/>
    <s v="MODI JI GOLD WALE"/>
    <n v="686.66399999999999"/>
    <n v="0.88"/>
    <n v="604.26432"/>
    <n v="8.5227272727272734"/>
    <n v="5852.25"/>
    <n v="686.66399999999999"/>
    <s v="0"/>
    <n v="604.26432"/>
    <s v="0"/>
    <n v="6144.8625000000002"/>
    <n v="0"/>
    <s v="0"/>
    <s v="0"/>
    <s v="0"/>
    <s v="0"/>
    <n v="0"/>
    <s v="0"/>
    <m/>
    <m/>
    <m/>
    <m/>
    <m/>
    <m/>
  </r>
  <r>
    <d v="2026-05-18T00:00:00"/>
    <s v="SALES"/>
    <s v="DHANANJAY JEWELLERY L.L.C"/>
    <n v="88.352000000000004"/>
    <n v="0.88"/>
    <n v="77.749760000000009"/>
    <n v="7.9545454545454533"/>
    <n v="702.8"/>
    <n v="88.352000000000004"/>
    <s v="0"/>
    <n v="77.749760000000009"/>
    <s v="0"/>
    <n v="737.93999999999994"/>
    <n v="0"/>
    <s v="0"/>
    <s v="0"/>
    <s v="0"/>
    <s v="0"/>
    <n v="0"/>
    <s v="0"/>
    <m/>
    <m/>
    <m/>
    <m/>
    <m/>
    <m/>
  </r>
  <r>
    <d v="2026-05-18T00:00:00"/>
    <s v="PURCHASE"/>
    <s v="BHARAT JEWELLERY LLC"/>
    <n v="818.18849999999998"/>
    <n v="0.995"/>
    <n v="814.09755749999999"/>
    <m/>
    <m/>
    <s v="0"/>
    <s v="0"/>
    <s v="0"/>
    <s v="0"/>
    <n v="0"/>
    <n v="0"/>
    <n v="818.18849999999998"/>
    <s v="0"/>
    <n v="814.09755749999999"/>
    <s v="0"/>
    <n v="0"/>
    <s v="0"/>
    <m/>
    <m/>
    <m/>
    <m/>
    <m/>
    <m/>
  </r>
  <r>
    <d v="2026-05-18T00:00:00"/>
    <s v="PURCHASE"/>
    <s v="INDIA STAR JEWELLERY"/>
    <n v="995"/>
    <n v="0.995"/>
    <n v="990.02499999999998"/>
    <m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5-18T00:00:00"/>
    <s v="PURCHASE"/>
    <s v="VISHAL JEWELLERY LLC"/>
    <n v="741.37450000000001"/>
    <n v="0.995"/>
    <n v="737.66762749999998"/>
    <m/>
    <m/>
    <s v="0"/>
    <s v="0"/>
    <s v="0"/>
    <s v="0"/>
    <n v="0"/>
    <n v="0"/>
    <n v="741.37450000000001"/>
    <s v="0"/>
    <n v="737.66762749999998"/>
    <s v="0"/>
    <n v="0"/>
    <s v="0"/>
    <m/>
    <m/>
    <m/>
    <m/>
    <m/>
    <m/>
  </r>
  <r>
    <d v="2026-05-18T00:00:00"/>
    <s v="PURCHASE"/>
    <s v="UMAR GOLD SHOP"/>
    <n v="445.29235"/>
    <n v="0.995"/>
    <n v="443.06588825"/>
    <m/>
    <m/>
    <s v="0"/>
    <s v="0"/>
    <s v="0"/>
    <s v="0"/>
    <n v="0"/>
    <n v="0"/>
    <n v="445.29235"/>
    <s v="0"/>
    <n v="443.06588825"/>
    <s v="0"/>
    <n v="0"/>
    <s v="0"/>
    <m/>
    <m/>
    <m/>
    <m/>
    <m/>
    <m/>
  </r>
  <r>
    <d v="2026-05-18T00:00:00"/>
    <s v="PURCHASE"/>
    <s v="MODI JI GOLD WALE"/>
    <n v="541.87700000000007"/>
    <n v="0.995"/>
    <n v="539.16761500000007"/>
    <m/>
    <m/>
    <s v="0"/>
    <s v="0"/>
    <s v="0"/>
    <s v="0"/>
    <n v="0"/>
    <n v="0"/>
    <n v="541.87700000000007"/>
    <s v="0"/>
    <n v="539.16761500000007"/>
    <s v="0"/>
    <n v="0"/>
    <s v="0"/>
    <m/>
    <m/>
    <m/>
    <m/>
    <m/>
    <m/>
  </r>
  <r>
    <d v="2026-05-18T00:00:00"/>
    <s v="PURCHASE"/>
    <s v="HINDUSTAN JEWELLERY LLC"/>
    <n v="537.49900000000002"/>
    <n v="0.995"/>
    <n v="534.81150500000001"/>
    <m/>
    <m/>
    <s v="0"/>
    <s v="0"/>
    <s v="0"/>
    <s v="0"/>
    <n v="0"/>
    <n v="0"/>
    <n v="537.49900000000002"/>
    <s v="0"/>
    <n v="534.81150500000001"/>
    <s v="0"/>
    <n v="0"/>
    <s v="0"/>
    <m/>
    <m/>
    <m/>
    <m/>
    <m/>
    <m/>
  </r>
  <r>
    <d v="2026-05-18T00:00:00"/>
    <s v="PURCHASE"/>
    <s v="HINDUSTAN JEWELLERY LLC"/>
    <n v="264"/>
    <n v="0.88"/>
    <n v="232.32"/>
    <n v="5.6818181818181817"/>
    <n v="1500"/>
    <s v="0"/>
    <s v="0"/>
    <s v="0"/>
    <s v="0"/>
    <n v="0"/>
    <n v="0"/>
    <n v="264"/>
    <s v="0"/>
    <n v="232.32"/>
    <s v="0"/>
    <n v="1575"/>
    <s v="0"/>
    <m/>
    <m/>
    <m/>
    <m/>
    <m/>
    <m/>
  </r>
  <r>
    <d v="2026-05-18T00:00:00"/>
    <s v="SALES RETURN"/>
    <s v="VISHAL JEWELLERY LLC"/>
    <n v="84.39200000000001"/>
    <n v="0.88"/>
    <n v="74.264960000000016"/>
    <n v="11.576926722912123"/>
    <n v="977"/>
    <s v="0"/>
    <n v="84.39200000000001"/>
    <s v="0"/>
    <n v="74.264960000000016"/>
    <n v="0"/>
    <n v="1025.8499999999999"/>
    <s v="0"/>
    <s v="0"/>
    <s v="0"/>
    <s v="0"/>
    <n v="0"/>
    <s v="0"/>
    <m/>
    <m/>
    <m/>
    <m/>
    <m/>
    <m/>
  </r>
  <r>
    <d v="2026-05-18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5000"/>
    <m/>
    <m/>
    <m/>
    <m/>
    <m/>
  </r>
  <r>
    <d v="2026-05-19T00:00:00"/>
    <s v="SALES"/>
    <s v="SONIYA JI GOLD HOUSE"/>
    <n v="604.26432"/>
    <n v="0.88"/>
    <n v="531.75260160000005"/>
    <n v="3.9745851616722958"/>
    <n v="2401.6999999999998"/>
    <n v="604.26432"/>
    <s v="0"/>
    <n v="531.75260160000005"/>
    <s v="0"/>
    <n v="2521.7849999999999"/>
    <n v="0"/>
    <s v="0"/>
    <s v="0"/>
    <s v="0"/>
    <s v="0"/>
    <n v="0"/>
    <s v="0"/>
    <m/>
    <m/>
    <m/>
    <m/>
    <m/>
    <m/>
  </r>
  <r>
    <d v="2026-05-19T00:00:00"/>
    <s v="SALES"/>
    <s v="DHANANJAY JEWELLERY L.L.C"/>
    <n v="77.749760000000009"/>
    <n v="0.88"/>
    <n v="68.419788800000006"/>
    <n v="13.326086151262714"/>
    <n v="1036.0999999999999"/>
    <n v="77.749760000000009"/>
    <s v="0"/>
    <n v="68.419788800000006"/>
    <s v="0"/>
    <n v="1087.905"/>
    <n v="0"/>
    <s v="0"/>
    <s v="0"/>
    <s v="0"/>
    <s v="0"/>
    <n v="0"/>
    <s v="0"/>
    <m/>
    <m/>
    <m/>
    <m/>
    <m/>
    <m/>
  </r>
  <r>
    <d v="2026-05-19T00:00:00"/>
    <s v="SALES"/>
    <s v="UMAR GOLD SHOP"/>
    <n v="814.09755749999999"/>
    <n v="0.88"/>
    <n v="716.40585060000001"/>
    <n v="3.651896474336247"/>
    <n v="2973"/>
    <n v="814.09755749999999"/>
    <s v="0"/>
    <n v="716.40585060000001"/>
    <s v="0"/>
    <n v="3121.65"/>
    <n v="0"/>
    <s v="0"/>
    <s v="0"/>
    <s v="0"/>
    <s v="0"/>
    <n v="0"/>
    <s v="0"/>
    <m/>
    <m/>
    <m/>
    <m/>
    <m/>
    <m/>
  </r>
  <r>
    <d v="2026-05-19T00:00:00"/>
    <s v="SALES"/>
    <s v="INDIA STAR JEWELLERY"/>
    <n v="990.02499999999998"/>
    <n v="0.88"/>
    <n v="871.22199999999998"/>
    <n v="22.838413171384559"/>
    <n v="22610.6"/>
    <n v="990.02499999999998"/>
    <s v="0"/>
    <n v="871.22199999999998"/>
    <s v="0"/>
    <n v="23741.129999999997"/>
    <n v="0"/>
    <s v="0"/>
    <s v="0"/>
    <s v="0"/>
    <s v="0"/>
    <n v="0"/>
    <s v="0"/>
    <m/>
    <m/>
    <m/>
    <m/>
    <m/>
    <m/>
  </r>
  <r>
    <d v="2026-05-19T00:00:00"/>
    <s v="PURCHASE"/>
    <s v="DHANANJAY JEWELLERY L.L.C"/>
    <n v="737.66762749999998"/>
    <n v="0.995"/>
    <n v="733.97928936250003"/>
    <n v="0"/>
    <m/>
    <s v="0"/>
    <s v="0"/>
    <s v="0"/>
    <s v="0"/>
    <n v="0"/>
    <n v="0"/>
    <n v="737.66762749999998"/>
    <s v="0"/>
    <n v="733.97928936250003"/>
    <s v="0"/>
    <n v="0"/>
    <s v="0"/>
    <m/>
    <m/>
    <m/>
    <m/>
    <m/>
    <m/>
  </r>
  <r>
    <d v="2026-05-19T00:00:00"/>
    <s v="PURCHASE"/>
    <s v="UMAR GOLD SHOP"/>
    <n v="443.06588825"/>
    <n v="0.995"/>
    <n v="440.85055880875001"/>
    <n v="0"/>
    <m/>
    <s v="0"/>
    <s v="0"/>
    <s v="0"/>
    <s v="0"/>
    <n v="0"/>
    <n v="0"/>
    <n v="443.06588825"/>
    <s v="0"/>
    <n v="440.85055880875001"/>
    <s v="0"/>
    <n v="0"/>
    <s v="0"/>
    <m/>
    <m/>
    <m/>
    <m/>
    <m/>
    <m/>
  </r>
  <r>
    <d v="2026-05-19T00:00:00"/>
    <s v="PURCHASE"/>
    <s v="INDIA STAR JEWELLERY"/>
    <n v="539.16761500000007"/>
    <n v="0.995"/>
    <n v="536.47177692500009"/>
    <n v="0"/>
    <m/>
    <s v="0"/>
    <s v="0"/>
    <s v="0"/>
    <s v="0"/>
    <n v="0"/>
    <n v="0"/>
    <n v="539.16761500000007"/>
    <s v="0"/>
    <n v="536.47177692500009"/>
    <s v="0"/>
    <n v="0"/>
    <s v="0"/>
    <m/>
    <m/>
    <m/>
    <m/>
    <m/>
    <m/>
  </r>
  <r>
    <d v="2026-05-19T00:00:00"/>
    <s v="SALES RETURN"/>
    <s v="SONIYA JI GOLD HOUSE"/>
    <n v="534.81150500000001"/>
    <n v="0.88"/>
    <n v="470.63412440000002"/>
    <n v="0"/>
    <m/>
    <s v="0"/>
    <n v="534.81150500000001"/>
    <s v="0"/>
    <n v="470.63412440000002"/>
    <n v="0"/>
    <n v="0"/>
    <s v="0"/>
    <s v="0"/>
    <s v="0"/>
    <s v="0"/>
    <n v="0"/>
    <s v="0"/>
    <m/>
    <m/>
    <m/>
    <m/>
    <m/>
    <m/>
  </r>
  <r>
    <d v="2026-05-19T00:00:00"/>
    <s v="RECEIPT"/>
    <s v="INDIA STAR JEWELLERY"/>
    <m/>
    <m/>
    <n v="0"/>
    <e v="#DIV/0!"/>
    <m/>
    <s v="0"/>
    <s v="0"/>
    <s v="0"/>
    <s v="0"/>
    <n v="0"/>
    <n v="0"/>
    <s v="0"/>
    <s v="0"/>
    <s v="0"/>
    <s v="0"/>
    <n v="0"/>
    <s v="0"/>
    <n v="200000"/>
    <m/>
    <m/>
    <m/>
    <m/>
    <m/>
  </r>
  <r>
    <d v="2026-05-19T00:00:00"/>
    <s v="RECEIPT"/>
    <s v="HINDUSTAN JEWELLERY LLC"/>
    <m/>
    <m/>
    <n v="0"/>
    <e v="#DIV/0!"/>
    <m/>
    <s v="0"/>
    <s v="0"/>
    <s v="0"/>
    <s v="0"/>
    <n v="0"/>
    <n v="0"/>
    <s v="0"/>
    <s v="0"/>
    <s v="0"/>
    <s v="0"/>
    <n v="0"/>
    <s v="0"/>
    <n v="25000"/>
    <m/>
    <m/>
    <m/>
    <m/>
    <m/>
  </r>
  <r>
    <d v="2026-05-20T00:00:00"/>
    <s v="SALES"/>
    <s v="HINDUSTAN JEWELLERY LLC"/>
    <n v="531.75260160000005"/>
    <n v="0.88"/>
    <n v="467.94228940800002"/>
    <n v="7.983411810730292"/>
    <n v="4245.2"/>
    <n v="531.75260160000005"/>
    <s v="0"/>
    <n v="467.94228940800002"/>
    <s v="0"/>
    <n v="4457.46"/>
    <n v="0"/>
    <s v="0"/>
    <s v="0"/>
    <s v="0"/>
    <s v="0"/>
    <n v="0"/>
    <s v="0"/>
    <m/>
    <m/>
    <m/>
    <m/>
    <m/>
    <m/>
  </r>
  <r>
    <d v="2026-05-20T00:00:00"/>
    <s v="SALES"/>
    <s v="RAHUL BABA GOLD HUB"/>
    <n v="68.419788800000006"/>
    <n v="0.88"/>
    <n v="60.209414144000007"/>
    <n v="16.119897756831428"/>
    <n v="1102.92"/>
    <n v="68.419788800000006"/>
    <s v="0"/>
    <n v="60.209414144000007"/>
    <s v="0"/>
    <n v="1158.066"/>
    <n v="0"/>
    <s v="0"/>
    <s v="0"/>
    <s v="0"/>
    <s v="0"/>
    <n v="0"/>
    <s v="0"/>
    <m/>
    <m/>
    <m/>
    <m/>
    <m/>
    <m/>
  </r>
  <r>
    <d v="2026-05-20T00:00:00"/>
    <s v="SALES"/>
    <s v="INDIA STAR JEWELLERY"/>
    <n v="716.40585060000001"/>
    <n v="0.88"/>
    <n v="630.43714852799997"/>
    <n v="24.062826937499608"/>
    <n v="17238.75"/>
    <n v="716.40585060000001"/>
    <s v="0"/>
    <n v="630.43714852799997"/>
    <s v="0"/>
    <n v="18100.6875"/>
    <n v="0"/>
    <s v="0"/>
    <s v="0"/>
    <s v="0"/>
    <s v="0"/>
    <n v="0"/>
    <s v="0"/>
    <m/>
    <m/>
    <m/>
    <m/>
    <m/>
    <m/>
  </r>
  <r>
    <d v="2026-05-20T00:00:00"/>
    <s v="SALES"/>
    <s v="RAM RAHEEM GOLD SHOP"/>
    <n v="871.22199999999998"/>
    <n v="0.88"/>
    <n v="766.67535999999996"/>
    <n v="3.7547375984536662"/>
    <n v="3271.21"/>
    <n v="871.22199999999998"/>
    <s v="0"/>
    <n v="766.67535999999996"/>
    <s v="0"/>
    <n v="3434.7705000000001"/>
    <n v="0"/>
    <s v="0"/>
    <s v="0"/>
    <s v="0"/>
    <s v="0"/>
    <n v="0"/>
    <s v="0"/>
    <m/>
    <m/>
    <m/>
    <m/>
    <m/>
    <m/>
  </r>
  <r>
    <d v="2026-05-20T00:00:00"/>
    <s v="PURCHASE"/>
    <s v="ABBAS GOLD CENTER LLC"/>
    <n v="733.97928936250003"/>
    <n v="0.995"/>
    <n v="730.30939291568757"/>
    <n v="0"/>
    <m/>
    <s v="0"/>
    <s v="0"/>
    <s v="0"/>
    <s v="0"/>
    <n v="0"/>
    <n v="0"/>
    <n v="733.97928936250003"/>
    <s v="0"/>
    <n v="730.30939291568757"/>
    <s v="0"/>
    <n v="0"/>
    <s v="0"/>
    <m/>
    <m/>
    <m/>
    <m/>
    <m/>
    <m/>
  </r>
  <r>
    <d v="2026-05-20T00:00:00"/>
    <s v="PURCHASE"/>
    <s v="RAHUL BABA GOLD HUB"/>
    <n v="440.85055880875001"/>
    <n v="0.995"/>
    <n v="438.64630601470628"/>
    <n v="0"/>
    <m/>
    <s v="0"/>
    <s v="0"/>
    <s v="0"/>
    <s v="0"/>
    <n v="0"/>
    <n v="0"/>
    <n v="440.85055880875001"/>
    <s v="0"/>
    <n v="438.64630601470628"/>
    <s v="0"/>
    <n v="0"/>
    <s v="0"/>
    <m/>
    <m/>
    <m/>
    <m/>
    <m/>
    <m/>
  </r>
  <r>
    <d v="2026-05-20T00:00:00"/>
    <s v="PURCHASE"/>
    <s v="RAHUL BABA GOLD HUB"/>
    <n v="536.47177692500009"/>
    <n v="0.995"/>
    <n v="533.78941804037504"/>
    <n v="0"/>
    <m/>
    <s v="0"/>
    <s v="0"/>
    <s v="0"/>
    <s v="0"/>
    <n v="0"/>
    <n v="0"/>
    <n v="536.47177692500009"/>
    <s v="0"/>
    <n v="533.78941804037504"/>
    <s v="0"/>
    <n v="0"/>
    <s v="0"/>
    <m/>
    <m/>
    <m/>
    <m/>
    <m/>
    <m/>
  </r>
  <r>
    <d v="2026-05-20T00:00:00"/>
    <s v="RECEIPT"/>
    <s v="RAHUL BABA GOLD HUB"/>
    <m/>
    <m/>
    <n v="0"/>
    <e v="#DIV/0!"/>
    <m/>
    <s v="0"/>
    <s v="0"/>
    <s v="0"/>
    <s v="0"/>
    <n v="0"/>
    <n v="0"/>
    <s v="0"/>
    <s v="0"/>
    <s v="0"/>
    <s v="0"/>
    <n v="0"/>
    <s v="0"/>
    <n v="17000"/>
    <m/>
    <m/>
    <m/>
    <m/>
    <m/>
  </r>
  <r>
    <d v="2026-05-21T00:00:00"/>
    <s v="SALES"/>
    <s v="INDIA STAR JEWELLERY"/>
    <n v="861.75232000000005"/>
    <n v="0.88"/>
    <n v="758.34204160000002"/>
    <n v="14.01881923567087"/>
    <n v="12080.75"/>
    <n v="861.75232000000005"/>
    <s v="0"/>
    <n v="758.34204160000002"/>
    <s v="0"/>
    <n v="12684.7875"/>
    <n v="0"/>
    <s v="0"/>
    <s v="0"/>
    <s v="0"/>
    <s v="0"/>
    <n v="0"/>
    <s v="0"/>
    <m/>
    <m/>
    <m/>
    <m/>
    <m/>
    <m/>
  </r>
  <r>
    <d v="2026-05-21T00:00:00"/>
    <s v="SALES"/>
    <s v="UMAR GOLD SHOP"/>
    <n v="442.41471999999999"/>
    <n v="0.88"/>
    <n v="389.32495360000001"/>
    <n v="5.1648371916739118"/>
    <n v="2285"/>
    <n v="442.41471999999999"/>
    <s v="0"/>
    <n v="389.32495360000001"/>
    <s v="0"/>
    <n v="2399.25"/>
    <n v="0"/>
    <s v="0"/>
    <s v="0"/>
    <s v="0"/>
    <s v="0"/>
    <n v="0"/>
    <s v="0"/>
    <m/>
    <m/>
    <m/>
    <m/>
    <m/>
    <m/>
  </r>
  <r>
    <d v="2026-05-21T00:00:00"/>
    <s v="SALES"/>
    <s v="DHANANJAY JEWELLERY L.L.C"/>
    <n v="231.31327999999999"/>
    <n v="0.88"/>
    <n v="203.55568639999998"/>
    <n v="8.3935950413223139"/>
    <n v="1941.55"/>
    <n v="231.31327999999999"/>
    <s v="0"/>
    <n v="203.55568639999998"/>
    <s v="0"/>
    <n v="2038.6275000000001"/>
    <n v="0"/>
    <s v="0"/>
    <s v="0"/>
    <s v="0"/>
    <s v="0"/>
    <n v="0"/>
    <s v="0"/>
    <m/>
    <m/>
    <m/>
    <m/>
    <m/>
    <m/>
  </r>
  <r>
    <d v="2026-05-21T00:00:00"/>
    <s v="SALES"/>
    <s v="SANT RAM PAL GOLD"/>
    <n v="688.44159999999999"/>
    <n v="0.88"/>
    <n v="605.82860800000003"/>
    <n v="10.511784877613438"/>
    <n v="7236.75"/>
    <n v="688.44159999999999"/>
    <s v="0"/>
    <n v="605.82860800000003"/>
    <s v="0"/>
    <n v="7598.5874999999996"/>
    <n v="0"/>
    <s v="0"/>
    <s v="0"/>
    <s v="0"/>
    <s v="0"/>
    <n v="0"/>
    <s v="0"/>
    <m/>
    <m/>
    <m/>
    <m/>
    <m/>
    <m/>
  </r>
  <r>
    <d v="2026-05-21T00:00:00"/>
    <s v="PURCHASE"/>
    <s v="BHARAT JEWELLERY LLC"/>
    <n v="524.51524499999994"/>
    <n v="0.995"/>
    <n v="521.89266877499995"/>
    <m/>
    <m/>
    <s v="0"/>
    <s v="0"/>
    <s v="0"/>
    <s v="0"/>
    <n v="0"/>
    <n v="0"/>
    <n v="524.51524499999994"/>
    <s v="0"/>
    <n v="521.89266877499995"/>
    <s v="0"/>
    <n v="0"/>
    <s v="0"/>
    <m/>
    <m/>
    <m/>
    <m/>
    <m/>
    <m/>
  </r>
  <r>
    <d v="2026-05-21T00:00:00"/>
    <s v="PURCHASE"/>
    <s v="INDIA STAR JEWELLERY"/>
    <n v="1980.05"/>
    <n v="0.995"/>
    <n v="1970.14975"/>
    <m/>
    <m/>
    <s v="0"/>
    <s v="0"/>
    <s v="0"/>
    <s v="0"/>
    <n v="0"/>
    <n v="0"/>
    <n v="1980.05"/>
    <s v="0"/>
    <n v="1970.14975"/>
    <s v="0"/>
    <n v="0"/>
    <s v="0"/>
    <m/>
    <m/>
    <m/>
    <m/>
    <m/>
    <m/>
  </r>
  <r>
    <d v="2026-05-21T00:00:00"/>
    <s v="PURCHASE"/>
    <s v="SANT RAM PAL GOLD"/>
    <n v="203.55568639999998"/>
    <n v="0.995"/>
    <n v="202.53790796799998"/>
    <m/>
    <m/>
    <s v="0"/>
    <s v="0"/>
    <s v="0"/>
    <s v="0"/>
    <n v="0"/>
    <n v="0"/>
    <n v="203.55568639999998"/>
    <s v="0"/>
    <n v="202.53790796799998"/>
    <s v="0"/>
    <n v="0"/>
    <s v="0"/>
    <m/>
    <m/>
    <m/>
    <m/>
    <m/>
    <m/>
  </r>
  <r>
    <d v="2026-05-21T00:00:00"/>
    <s v="PURCHASE"/>
    <s v="ASHA RAAM GOLD JEWELLERY SHOP"/>
    <n v="605.82860800000003"/>
    <n v="0.88"/>
    <n v="533.12917504000006"/>
    <n v="1.6772070294838239"/>
    <n v="1016.1"/>
    <s v="0"/>
    <s v="0"/>
    <s v="0"/>
    <s v="0"/>
    <n v="0"/>
    <n v="0"/>
    <n v="605.82860800000003"/>
    <s v="0"/>
    <n v="533.12917504000006"/>
    <s v="0"/>
    <n v="1066.905"/>
    <s v="0"/>
    <m/>
    <m/>
    <m/>
    <m/>
    <m/>
    <m/>
  </r>
  <r>
    <d v="2026-05-21T00:00:00"/>
    <s v="METAL PAYMENT"/>
    <s v="ASHA RAAM GOLD JEWELLERY SHOP"/>
    <n v="521.89266877499995"/>
    <n v="0.995"/>
    <n v="519.283205431125"/>
    <n v="0"/>
    <m/>
    <s v="0"/>
    <s v="0"/>
    <s v="0"/>
    <s v="0"/>
    <n v="0"/>
    <n v="0"/>
    <s v="0"/>
    <n v="521.89266877499995"/>
    <s v="0"/>
    <n v="519.283205431125"/>
    <n v="0"/>
    <n v="0"/>
    <m/>
    <m/>
    <m/>
    <m/>
    <m/>
    <m/>
  </r>
  <r>
    <d v="2026-05-22T00:00:00"/>
    <s v="SALES"/>
    <s v="BHARAT JEWELLERY LLC"/>
    <n v="1970.14975"/>
    <n v="0.88"/>
    <n v="1733.7317800000001"/>
    <n v="3.2537628167605024"/>
    <n v="6410.4"/>
    <n v="1970.14975"/>
    <s v="0"/>
    <n v="1733.7317800000001"/>
    <s v="0"/>
    <n v="6730.92"/>
    <n v="0"/>
    <s v="0"/>
    <s v="0"/>
    <s v="0"/>
    <s v="0"/>
    <n v="0"/>
    <s v="0"/>
    <m/>
    <m/>
    <m/>
    <m/>
    <m/>
    <m/>
  </r>
  <r>
    <d v="2026-05-22T00:00:00"/>
    <s v="SALES"/>
    <s v="INDIA STAR JEWELLERY"/>
    <n v="519.283205431125"/>
    <n v="0.88"/>
    <n v="456.96922077939001"/>
    <n v="7.7985383652796072"/>
    <n v="4049.65"/>
    <n v="519.283205431125"/>
    <s v="0"/>
    <n v="456.96922077939001"/>
    <s v="0"/>
    <n v="4252.1324999999997"/>
    <n v="0"/>
    <s v="0"/>
    <s v="0"/>
    <s v="0"/>
    <s v="0"/>
    <n v="0"/>
    <s v="0"/>
    <m/>
    <m/>
    <m/>
    <m/>
    <m/>
    <m/>
  </r>
  <r>
    <d v="2026-05-22T00:00:00"/>
    <s v="RECEIPT"/>
    <s v="DHANANJAY JEWELLERY L.L.C"/>
    <m/>
    <m/>
    <n v="0"/>
    <e v="#DIV/0!"/>
    <m/>
    <s v="0"/>
    <s v="0"/>
    <s v="0"/>
    <s v="0"/>
    <n v="0"/>
    <n v="0"/>
    <s v="0"/>
    <s v="0"/>
    <s v="0"/>
    <s v="0"/>
    <n v="0"/>
    <s v="0"/>
    <n v="20000"/>
    <m/>
    <m/>
    <m/>
    <m/>
    <m/>
  </r>
  <r>
    <d v="2026-05-20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10000"/>
    <m/>
    <m/>
    <m/>
    <m/>
    <m/>
  </r>
  <r>
    <d v="2026-05-23T00:00:00"/>
    <s v="SALES"/>
    <s v="INDIA STAR JEWELLERY"/>
    <n v="979.26400000000001"/>
    <n v="0.88"/>
    <n v="861.75232000000005"/>
    <n v="12.82840990784916"/>
    <n v="12562.4"/>
    <n v="979.26400000000001"/>
    <s v="0"/>
    <n v="861.75232000000005"/>
    <s v="0"/>
    <n v="13190.52"/>
    <n v="0"/>
    <s v="0"/>
    <s v="0"/>
    <s v="0"/>
    <s v="0"/>
    <n v="0"/>
    <s v="0"/>
    <m/>
    <m/>
    <m/>
    <m/>
    <m/>
    <m/>
  </r>
  <r>
    <d v="2026-05-23T00:00:00"/>
    <s v="SALES"/>
    <s v="VISHAL JEWELLERY LLC"/>
    <n v="502.74399999999997"/>
    <n v="0.88"/>
    <n v="442.41471999999999"/>
    <n v="0.61263784351479089"/>
    <n v="308"/>
    <n v="502.74399999999997"/>
    <s v="0"/>
    <n v="442.41471999999999"/>
    <s v="0"/>
    <n v="323.39999999999998"/>
    <n v="0"/>
    <s v="0"/>
    <s v="0"/>
    <s v="0"/>
    <s v="0"/>
    <n v="0"/>
    <s v="0"/>
    <m/>
    <m/>
    <m/>
    <m/>
    <m/>
    <m/>
  </r>
  <r>
    <d v="2026-05-23T00:00:00"/>
    <s v="SALES"/>
    <s v="UMAR GOLD SHOP"/>
    <n v="262.85599999999999"/>
    <n v="0.88"/>
    <n v="231.31327999999999"/>
    <n v="32.649054995891284"/>
    <n v="8582"/>
    <n v="262.85599999999999"/>
    <s v="0"/>
    <n v="231.31327999999999"/>
    <s v="0"/>
    <n v="9011.1"/>
    <n v="0"/>
    <s v="0"/>
    <s v="0"/>
    <s v="0"/>
    <s v="0"/>
    <n v="0"/>
    <s v="0"/>
    <m/>
    <m/>
    <m/>
    <m/>
    <m/>
    <m/>
  </r>
  <r>
    <d v="2026-05-23T00:00:00"/>
    <s v="SALES"/>
    <s v="RAHUL BABA GOLD HUB"/>
    <n v="782.32"/>
    <n v="0.88"/>
    <n v="688.44159999999999"/>
    <n v="1.2515466816647918"/>
    <n v="979.11"/>
    <n v="782.32"/>
    <s v="0"/>
    <n v="688.44159999999999"/>
    <s v="0"/>
    <n v="1028.0654999999999"/>
    <n v="0"/>
    <s v="0"/>
    <s v="0"/>
    <s v="0"/>
    <s v="0"/>
    <n v="0"/>
    <s v="0"/>
    <m/>
    <m/>
    <m/>
    <m/>
    <m/>
    <m/>
  </r>
  <r>
    <d v="2026-05-23T00:00:00"/>
    <s v="PURCHASE"/>
    <s v="HINDUSTAN JEWELLERY LLC"/>
    <n v="527.15099999999995"/>
    <n v="0.995"/>
    <n v="524.51524499999994"/>
    <n v="0"/>
    <m/>
    <s v="0"/>
    <s v="0"/>
    <s v="0"/>
    <s v="0"/>
    <n v="0"/>
    <n v="0"/>
    <n v="527.15099999999995"/>
    <s v="0"/>
    <n v="524.51524499999994"/>
    <s v="0"/>
    <n v="0"/>
    <s v="0"/>
    <m/>
    <m/>
    <m/>
    <m/>
    <m/>
    <m/>
  </r>
  <r>
    <d v="2026-05-23T00:00:00"/>
    <s v="PURCHASE"/>
    <s v="RAHUL BABA GOLD HUB"/>
    <n v="1990"/>
    <n v="0.995"/>
    <n v="1980.05"/>
    <n v="0"/>
    <m/>
    <s v="0"/>
    <s v="0"/>
    <s v="0"/>
    <s v="0"/>
    <n v="0"/>
    <n v="0"/>
    <n v="1990"/>
    <s v="0"/>
    <n v="1980.05"/>
    <s v="0"/>
    <n v="0"/>
    <s v="0"/>
    <m/>
    <m/>
    <m/>
    <m/>
    <m/>
    <m/>
  </r>
  <r>
    <d v="2026-05-23T00:00:00"/>
    <s v="PURCHASE"/>
    <s v="INDIA STAR JEWELLERY"/>
    <n v="775.40349999999989"/>
    <n v="0.995"/>
    <n v="771.52648249999993"/>
    <n v="0"/>
    <m/>
    <s v="0"/>
    <s v="0"/>
    <s v="0"/>
    <s v="0"/>
    <n v="0"/>
    <n v="0"/>
    <n v="775.40349999999989"/>
    <s v="0"/>
    <n v="771.52648249999993"/>
    <s v="0"/>
    <n v="0"/>
    <s v="0"/>
    <m/>
    <m/>
    <m/>
    <m/>
    <m/>
    <m/>
  </r>
  <r>
    <d v="2026-05-23T00:00:00"/>
    <s v="RECEIPT"/>
    <s v="RAHUL BABA GOLD HUB"/>
    <m/>
    <m/>
    <n v="0"/>
    <e v="#DIV/0!"/>
    <m/>
    <s v="0"/>
    <s v="0"/>
    <s v="0"/>
    <s v="0"/>
    <n v="0"/>
    <n v="0"/>
    <s v="0"/>
    <s v="0"/>
    <s v="0"/>
    <s v="0"/>
    <n v="0"/>
    <s v="0"/>
    <n v="900"/>
    <m/>
    <m/>
    <m/>
    <m/>
    <m/>
  </r>
  <r>
    <d v="2026-05-23T00:00:00"/>
    <s v="RECEIPT"/>
    <s v="HINDUSTAN JEWELLERY LLC"/>
    <m/>
    <m/>
    <n v="0"/>
    <e v="#DIV/0!"/>
    <m/>
    <s v="0"/>
    <s v="0"/>
    <s v="0"/>
    <s v="0"/>
    <n v="0"/>
    <n v="0"/>
    <s v="0"/>
    <s v="0"/>
    <s v="0"/>
    <s v="0"/>
    <n v="0"/>
    <s v="0"/>
    <m/>
    <n v="35000"/>
    <m/>
    <m/>
    <m/>
    <m/>
  </r>
  <r>
    <d v="2026-05-22T00:00:00"/>
    <s v="RECEIPT"/>
    <s v="TINNU YADAV GOLD SHOP"/>
    <m/>
    <m/>
    <n v="0"/>
    <e v="#DIV/0!"/>
    <m/>
    <s v="0"/>
    <s v="0"/>
    <s v="0"/>
    <s v="0"/>
    <s v="0"/>
    <s v="0"/>
    <s v="0"/>
    <s v="0"/>
    <s v="0"/>
    <s v="0"/>
    <s v="0"/>
    <s v="0"/>
    <n v="1495"/>
    <m/>
    <m/>
    <m/>
    <m/>
    <m/>
  </r>
  <r>
    <d v="2026-05-22T00:00:00"/>
    <s v="PURCHASE"/>
    <s v="TINNU YADAV GOLD SHOP"/>
    <n v="995"/>
    <n v="0.995"/>
    <n v="990.02499999999998"/>
    <n v="0"/>
    <m/>
    <s v="0"/>
    <s v="0"/>
    <s v="0"/>
    <s v="0"/>
    <s v="0"/>
    <s v="0"/>
    <n v="995"/>
    <s v="0"/>
    <n v="990.02499999999998"/>
    <s v="0"/>
    <n v="0"/>
    <s v="0"/>
    <m/>
    <m/>
    <m/>
    <m/>
    <m/>
    <m/>
  </r>
  <r>
    <d v="2026-05-22T00:00:00"/>
    <s v="SALES"/>
    <s v="TINNU YADAV GOLD SHOP"/>
    <n v="518.49450000000002"/>
    <n v="0.88"/>
    <n v="456.27516000000003"/>
    <n v="2.8837914384819898"/>
    <n v="1495.23"/>
    <n v="518.49450000000002"/>
    <s v="0"/>
    <n v="456.27516000000003"/>
    <s v="0"/>
    <n v="1569.9915000000001"/>
    <n v="0"/>
    <s v="0"/>
    <s v="0"/>
    <s v="0"/>
    <s v="0"/>
    <n v="0"/>
    <s v="0"/>
    <m/>
    <m/>
    <m/>
    <m/>
    <m/>
    <m/>
  </r>
  <r>
    <d v="2026-05-25T00:00:00"/>
    <s v="SALES"/>
    <s v="INDIA STAR JEWELLERY"/>
    <n v="226.33599999999998"/>
    <n v="0.88"/>
    <n v="199.17568"/>
    <n v="136.86841686695885"/>
    <n v="30978.25"/>
    <n v="226.33599999999998"/>
    <s v="0"/>
    <n v="199.17568"/>
    <s v="0"/>
    <n v="32527.162499999999"/>
    <n v="0"/>
    <s v="0"/>
    <s v="0"/>
    <s v="0"/>
    <s v="0"/>
    <n v="0"/>
    <s v="0"/>
    <m/>
    <m/>
    <m/>
    <m/>
    <m/>
    <m/>
  </r>
  <r>
    <d v="2026-05-25T00:00:00"/>
    <s v="SALES"/>
    <s v="SONIYA JI GOLD HOUSE"/>
    <n v="319.89249999999998"/>
    <n v="0.88"/>
    <n v="281.50540000000001"/>
    <n v="2.1944872105472935"/>
    <n v="702"/>
    <n v="319.89249999999998"/>
    <s v="0"/>
    <n v="281.50540000000001"/>
    <s v="0"/>
    <n v="737.1"/>
    <n v="0"/>
    <s v="0"/>
    <s v="0"/>
    <s v="0"/>
    <s v="0"/>
    <n v="0"/>
    <s v="0"/>
    <m/>
    <m/>
    <m/>
    <m/>
    <m/>
    <m/>
  </r>
  <r>
    <d v="2026-05-25T00:00:00"/>
    <s v="PURCHASE"/>
    <s v="HINDUSTAN JEWELLERY LLC"/>
    <n v="1005.7520000000001"/>
    <n v="0.995"/>
    <n v="1000.72324"/>
    <m/>
    <m/>
    <s v="0"/>
    <s v="0"/>
    <s v="0"/>
    <s v="0"/>
    <n v="0"/>
    <n v="0"/>
    <n v="1005.7520000000001"/>
    <s v="0"/>
    <n v="1000.72324"/>
    <s v="0"/>
    <n v="0"/>
    <s v="0"/>
    <m/>
    <m/>
    <m/>
    <m/>
    <m/>
    <m/>
  </r>
  <r>
    <d v="2026-05-25T00:00:00"/>
    <s v="PURCHASE"/>
    <s v="INDIA STAR JEWELLERY"/>
    <n v="865.15880000000004"/>
    <n v="0.995"/>
    <n v="860.83300600000007"/>
    <m/>
    <m/>
    <s v="0"/>
    <s v="0"/>
    <s v="0"/>
    <s v="0"/>
    <n v="0"/>
    <n v="0"/>
    <n v="865.15880000000004"/>
    <s v="0"/>
    <n v="860.83300600000007"/>
    <s v="0"/>
    <n v="0"/>
    <s v="0"/>
    <m/>
    <m/>
    <m/>
    <m/>
    <m/>
    <m/>
  </r>
  <r>
    <d v="2026-05-25T00:00:00"/>
    <s v="PURCHASE"/>
    <s v="DHANANJAY JEWELLERY L.L.C"/>
    <n v="308.35199999999998"/>
    <n v="0.99990000000000001"/>
    <n v="308.32116479999996"/>
    <m/>
    <m/>
    <s v="0"/>
    <s v="0"/>
    <s v="0"/>
    <s v="0"/>
    <n v="0"/>
    <n v="0"/>
    <n v="308.35199999999998"/>
    <s v="0"/>
    <n v="308.32116479999996"/>
    <s v="0"/>
    <n v="0"/>
    <s v="0"/>
    <m/>
    <m/>
    <m/>
    <m/>
    <m/>
    <m/>
  </r>
  <r>
    <d v="2026-05-25T00:00:00"/>
    <s v="PURCHASE"/>
    <s v="BAGPAT GOLD HUB"/>
    <n v="70.2"/>
    <n v="0.88"/>
    <n v="61.776000000000003"/>
    <n v="10"/>
    <n v="702"/>
    <s v="0"/>
    <s v="0"/>
    <s v="0"/>
    <s v="0"/>
    <n v="0"/>
    <n v="0"/>
    <n v="70.2"/>
    <s v="0"/>
    <n v="61.776000000000003"/>
    <s v="0"/>
    <n v="737.1"/>
    <s v="0"/>
    <m/>
    <m/>
    <m/>
    <m/>
    <m/>
    <m/>
  </r>
  <r>
    <d v="2026-05-30T00:00:00"/>
    <s v="SALES"/>
    <s v="SUMIT GOLD HUB LLC"/>
    <n v="2198.5607999999997"/>
    <n v="0.92"/>
    <n v="2022.6759359999999"/>
    <n v="4.3478260869565215"/>
    <n v="9558.9599999999991"/>
    <n v="2198.5607999999997"/>
    <s v="0"/>
    <n v="2022.6759359999999"/>
    <s v="0"/>
    <n v="10036.907999999999"/>
    <n v="0"/>
    <s v="0"/>
    <s v="0"/>
    <s v="0"/>
    <s v="0"/>
    <n v="0"/>
    <s v="0"/>
    <m/>
    <m/>
    <m/>
    <m/>
    <m/>
    <m/>
  </r>
  <r>
    <d v="2026-05-30T00:00:00"/>
    <s v="PURCHASE"/>
    <s v="SUMIT GOLD HUB LLC"/>
    <n v="2198.5519999999997"/>
    <n v="0.995"/>
    <n v="2187.5592399999996"/>
    <n v="0"/>
    <m/>
    <s v="0"/>
    <s v="0"/>
    <s v="0"/>
    <s v="0"/>
    <n v="0"/>
    <n v="0"/>
    <n v="2198.5519999999997"/>
    <s v="0"/>
    <n v="2187.5592399999996"/>
    <s v="0"/>
    <n v="0"/>
    <s v="0"/>
    <m/>
    <m/>
    <m/>
    <m/>
    <m/>
    <m/>
  </r>
  <r>
    <d v="2026-05-30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10036"/>
    <m/>
    <m/>
    <m/>
    <m/>
    <m/>
  </r>
  <r>
    <d v="2026-04-01T00:00:00"/>
    <s v="SALES"/>
    <s v="DHANANJAY JEWELLERY L.L.C"/>
    <n v="2389.7399999999998"/>
    <n v="0.88"/>
    <n v="2102.9712"/>
    <n v="0.17340798580598726"/>
    <n v="414.4"/>
    <n v="2389.7399999999998"/>
    <s v="0"/>
    <n v="2102.9712"/>
    <s v="0"/>
    <n v="435.12"/>
    <n v="0"/>
    <s v="0"/>
    <s v="0"/>
    <s v="0"/>
    <s v="0"/>
    <n v="0"/>
    <s v="0"/>
    <m/>
    <m/>
    <m/>
    <m/>
    <n v="12812.02"/>
    <n v="1321.473"/>
  </r>
  <r>
    <d v="2026-04-01T00:00:00"/>
    <s v="PURCHASE"/>
    <s v="INDIA STAR JEWELLERY"/>
    <n v="2209.6"/>
    <n v="0.995"/>
    <n v="2198.5519999999997"/>
    <n v="0"/>
    <n v="0"/>
    <s v="0"/>
    <s v="0"/>
    <s v="0"/>
    <s v="0"/>
    <n v="0"/>
    <n v="0"/>
    <n v="2209.6"/>
    <s v="0"/>
    <n v="2198.5519999999997"/>
    <s v="0"/>
    <n v="0"/>
    <s v="0"/>
    <m/>
    <m/>
    <m/>
    <m/>
    <n v="9727.41"/>
    <n v="9547.8179999999993"/>
  </r>
  <r>
    <d v="2026-04-01T00:00:00"/>
    <s v="RECEIPT"/>
    <s v="INDIA STAR JEWELLERY"/>
    <m/>
    <m/>
    <n v="0"/>
    <e v="#DIV/0!"/>
    <n v="0"/>
    <s v="0"/>
    <s v="0"/>
    <s v="0"/>
    <s v="0"/>
    <n v="0"/>
    <n v="0"/>
    <s v="0"/>
    <s v="0"/>
    <s v="0"/>
    <s v="0"/>
    <n v="0"/>
    <s v="0"/>
    <n v="50000"/>
    <m/>
    <m/>
    <m/>
    <m/>
    <m/>
  </r>
  <r>
    <d v="2026-04-02T00:00:00"/>
    <s v="SALES"/>
    <s v="RAHUL BABA GOLD HUB"/>
    <n v="960.46"/>
    <n v="0.88"/>
    <n v="845.20480000000009"/>
    <n v="3.9486600170751514"/>
    <n v="3792.53"/>
    <n v="960.46"/>
    <s v="0"/>
    <n v="845.20480000000009"/>
    <s v="0"/>
    <n v="3982.1565000000001"/>
    <n v="0"/>
    <s v="0"/>
    <s v="0"/>
    <s v="0"/>
    <s v="0"/>
    <n v="0"/>
    <s v="0"/>
    <m/>
    <m/>
    <m/>
    <m/>
    <n v="1467.1"/>
    <n v="0.01"/>
  </r>
  <r>
    <d v="2026-04-02T00:00:00"/>
    <s v="PURCHASE"/>
    <s v="RAHUL BABA GOLD HUB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02T00:00:00"/>
    <s v="PURCHASE"/>
    <s v="HINDUSTAN JEWELLERY LLC"/>
    <n v="521.1"/>
    <n v="0.995"/>
    <n v="518.49450000000002"/>
    <n v="0"/>
    <m/>
    <s v="0"/>
    <s v="0"/>
    <s v="0"/>
    <s v="0"/>
    <n v="0"/>
    <n v="0"/>
    <n v="521.1"/>
    <s v="0"/>
    <n v="518.49450000000002"/>
    <s v="0"/>
    <n v="0"/>
    <s v="0"/>
    <m/>
    <m/>
    <m/>
    <m/>
    <n v="47064.74"/>
    <n v="2829.1590000000001"/>
  </r>
  <r>
    <d v="2026-04-03T00:00:00"/>
    <s v="SALES"/>
    <s v="INDIA STAR JEWELLERY"/>
    <n v="257.2"/>
    <n v="0.88"/>
    <n v="226.33599999999998"/>
    <n v="12.311236391912908"/>
    <n v="3166.45"/>
    <n v="257.2"/>
    <s v="0"/>
    <n v="226.33599999999998"/>
    <s v="0"/>
    <n v="3324.7725"/>
    <n v="0"/>
    <s v="0"/>
    <s v="0"/>
    <s v="0"/>
    <s v="0"/>
    <n v="0"/>
    <s v="0"/>
    <m/>
    <m/>
    <m/>
    <m/>
    <m/>
    <m/>
  </r>
  <r>
    <d v="2026-04-03T00:00:00"/>
    <s v="PURCHASE"/>
    <s v="YOGI JI PURE GOLD SHOP"/>
    <n v="321.5"/>
    <n v="0.995"/>
    <n v="319.89249999999998"/>
    <n v="0"/>
    <m/>
    <s v="0"/>
    <s v="0"/>
    <s v="0"/>
    <s v="0"/>
    <n v="0"/>
    <n v="0"/>
    <n v="321.5"/>
    <s v="0"/>
    <n v="319.89249999999998"/>
    <s v="0"/>
    <n v="0"/>
    <s v="0"/>
    <m/>
    <m/>
    <m/>
    <m/>
    <n v="55098.5"/>
    <n v="445.37599999999998"/>
  </r>
  <r>
    <d v="2026-04-04T00:00:00"/>
    <s v="SALES"/>
    <s v="INDIA STAR JEWELLERY"/>
    <n v="1142.9000000000001"/>
    <n v="0.88"/>
    <n v="1005.7520000000001"/>
    <n v="11.048954414209467"/>
    <n v="12627.85"/>
    <n v="1142.9000000000001"/>
    <s v="0"/>
    <n v="1005.7520000000001"/>
    <s v="0"/>
    <n v="13259.2425"/>
    <n v="0"/>
    <s v="0"/>
    <s v="0"/>
    <s v="0"/>
    <s v="0"/>
    <n v="0"/>
    <s v="0"/>
    <m/>
    <m/>
    <m/>
    <m/>
    <m/>
    <m/>
  </r>
  <r>
    <d v="2026-04-04T00:00:00"/>
    <s v="SALES"/>
    <s v="SUMIT GOLD HUB LLC"/>
    <n v="940.39"/>
    <n v="0.92"/>
    <n v="865.15880000000004"/>
    <n v="3.2500026584714852"/>
    <n v="3056.27"/>
    <n v="940.39"/>
    <s v="0"/>
    <n v="865.15880000000004"/>
    <s v="0"/>
    <n v="3209.0835000000002"/>
    <n v="0"/>
    <s v="0"/>
    <s v="0"/>
    <s v="0"/>
    <s v="0"/>
    <n v="0"/>
    <s v="0"/>
    <m/>
    <m/>
    <m/>
    <m/>
    <n v="0.81"/>
    <n v="-0.151"/>
  </r>
  <r>
    <d v="2026-04-04T00:00:00"/>
    <s v="SALES"/>
    <s v="SONIYA JI GOLD HOUSE"/>
    <n v="350.4"/>
    <n v="0.88"/>
    <n v="308.35199999999998"/>
    <n v="7.0000000000000009"/>
    <n v="2452.8000000000002"/>
    <n v="350.4"/>
    <s v="0"/>
    <n v="308.35199999999998"/>
    <s v="0"/>
    <n v="2575.44"/>
    <n v="0"/>
    <s v="0"/>
    <s v="0"/>
    <s v="0"/>
    <s v="0"/>
    <n v="0"/>
    <s v="0"/>
    <m/>
    <m/>
    <m/>
    <m/>
    <n v="478749.71"/>
    <n v="1092.0340000000001"/>
  </r>
  <r>
    <d v="2026-04-04T00:00:00"/>
    <s v="PURCHASE"/>
    <s v="ABBAS GOLD CENTER LLC"/>
    <n v="402.16"/>
    <n v="0.995"/>
    <n v="400.14920000000001"/>
    <n v="0"/>
    <m/>
    <s v="0"/>
    <s v="0"/>
    <s v="0"/>
    <s v="0"/>
    <n v="0"/>
    <n v="0"/>
    <n v="402.16"/>
    <s v="0"/>
    <n v="400.14920000000001"/>
    <s v="0"/>
    <n v="0"/>
    <s v="0"/>
    <m/>
    <m/>
    <m/>
    <m/>
    <n v="46648.04"/>
    <n v="2152.221"/>
  </r>
  <r>
    <d v="2026-04-04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04T00:00:00"/>
    <s v="PURCHASE"/>
    <s v="SUMIT GOLD HUB LLC"/>
    <n v="869.5"/>
    <n v="0.995"/>
    <n v="865.15250000000003"/>
    <n v="0"/>
    <m/>
    <s v="0"/>
    <s v="0"/>
    <s v="0"/>
    <s v="0"/>
    <n v="0"/>
    <n v="0"/>
    <n v="869.5"/>
    <s v="0"/>
    <n v="865.15250000000003"/>
    <s v="0"/>
    <n v="0"/>
    <s v="0"/>
    <m/>
    <m/>
    <m/>
    <m/>
    <m/>
    <m/>
  </r>
  <r>
    <d v="2026-04-04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3209"/>
    <m/>
    <m/>
    <m/>
    <m/>
    <m/>
  </r>
  <r>
    <d v="2026-04-06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3610"/>
    <m/>
    <m/>
    <m/>
    <m/>
    <m/>
  </r>
  <r>
    <d v="2026-04-06T00:00:00"/>
    <s v="SALES"/>
    <s v="ABBAS GOLD CENTER LLC"/>
    <n v="581.47372800000005"/>
    <n v="0.88"/>
    <n v="511.69688064000007"/>
    <n v="9.0392561983471076"/>
    <n v="5256.09"/>
    <n v="581.47372800000005"/>
    <s v="0"/>
    <n v="511.69688064000007"/>
    <s v="0"/>
    <n v="5518.8945000000003"/>
    <n v="0"/>
    <s v="0"/>
    <s v="0"/>
    <s v="0"/>
    <s v="0"/>
    <n v="0"/>
    <s v="0"/>
    <m/>
    <m/>
    <m/>
    <m/>
    <m/>
    <m/>
  </r>
  <r>
    <d v="2026-04-06T00:00:00"/>
    <s v="SALES"/>
    <s v="BHARAT JEWELLERY LLC"/>
    <n v="584.90431999999998"/>
    <n v="0.88"/>
    <n v="514.71580159999996"/>
    <n v="12.913223140495868"/>
    <n v="7553"/>
    <n v="584.90431999999998"/>
    <s v="0"/>
    <n v="514.71580159999996"/>
    <s v="0"/>
    <n v="7930.65"/>
    <n v="0"/>
    <s v="0"/>
    <s v="0"/>
    <s v="0"/>
    <s v="0"/>
    <n v="0"/>
    <s v="0"/>
    <m/>
    <m/>
    <m/>
    <m/>
    <n v="19838.400000000001"/>
    <n v="191.75700000000001"/>
  </r>
  <r>
    <d v="2026-04-06T00:00:00"/>
    <s v="SALES"/>
    <s v="SUMIT GOLD HUB LLC"/>
    <n v="856.58918400000005"/>
    <n v="0.92"/>
    <n v="788.06204928000011"/>
    <n v="4.0143280632411065"/>
    <n v="3438.63"/>
    <n v="856.58918400000005"/>
    <s v="0"/>
    <n v="788.06204928000011"/>
    <s v="0"/>
    <n v="3610.5615000000003"/>
    <n v="0"/>
    <s v="0"/>
    <s v="0"/>
    <s v="0"/>
    <s v="0"/>
    <n v="0"/>
    <s v="0"/>
    <m/>
    <m/>
    <m/>
    <m/>
    <m/>
    <m/>
  </r>
  <r>
    <d v="2026-04-06T00:00:00"/>
    <s v="PURCHASE"/>
    <s v="SUMIT GOLD HUB LLC"/>
    <n v="968.521657"/>
    <n v="0.995"/>
    <n v="963.67904871500002"/>
    <n v="0"/>
    <m/>
    <s v="0"/>
    <s v="0"/>
    <s v="0"/>
    <s v="0"/>
    <n v="0"/>
    <n v="0"/>
    <n v="968.521657"/>
    <s v="0"/>
    <n v="963.67904871500002"/>
    <s v="0"/>
    <n v="0"/>
    <s v="0"/>
    <m/>
    <m/>
    <m/>
    <m/>
    <m/>
    <m/>
  </r>
  <r>
    <d v="2026-04-07T00:00:00"/>
    <s v="SALES"/>
    <s v="SUMIT GOLD HUB LLC"/>
    <n v="1394.8031679999999"/>
    <n v="0.92"/>
    <n v="1283.21891456"/>
    <n v="4.0143298556087021"/>
    <n v="5599.2"/>
    <n v="1394.8031679999999"/>
    <s v="0"/>
    <n v="1283.21891456"/>
    <s v="0"/>
    <n v="5879.16"/>
    <n v="0"/>
    <s v="0"/>
    <s v="0"/>
    <s v="0"/>
    <s v="0"/>
    <n v="0"/>
    <s v="0"/>
    <m/>
    <m/>
    <m/>
    <m/>
    <m/>
    <m/>
  </r>
  <r>
    <d v="2026-04-07T00:00:00"/>
    <s v="SALES"/>
    <s v="BHARAT JEWELLERY LLC"/>
    <n v="463.01375999999993"/>
    <n v="0.88"/>
    <n v="407.45210879999996"/>
    <n v="10.056072631621145"/>
    <n v="4656.1000000000004"/>
    <n v="463.01375999999993"/>
    <s v="0"/>
    <n v="407.45210879999996"/>
    <s v="0"/>
    <n v="4888.9050000000007"/>
    <n v="0"/>
    <s v="0"/>
    <s v="0"/>
    <s v="0"/>
    <s v="0"/>
    <n v="0"/>
    <s v="0"/>
    <m/>
    <m/>
    <m/>
    <m/>
    <m/>
    <m/>
  </r>
  <r>
    <d v="2026-04-07T00:00:00"/>
    <s v="SALES"/>
    <s v="HINDUSTAN JEWELLERY LLC"/>
    <n v="184.77184"/>
    <n v="0.88"/>
    <n v="162.59921919999999"/>
    <n v="8.3935950413223139"/>
    <n v="1550.9"/>
    <n v="184.77184"/>
    <s v="0"/>
    <n v="162.59921919999999"/>
    <s v="0"/>
    <n v="1628.4450000000002"/>
    <n v="0"/>
    <s v="0"/>
    <s v="0"/>
    <s v="0"/>
    <s v="0"/>
    <n v="0"/>
    <s v="0"/>
    <m/>
    <m/>
    <m/>
    <m/>
    <m/>
    <m/>
  </r>
  <r>
    <d v="2026-04-07T00:00:00"/>
    <s v="SALES"/>
    <s v="INDIA STAR JEWELLERY"/>
    <n v="950.81404000000009"/>
    <n v="0.88"/>
    <n v="836.71635520000007"/>
    <n v="12.227627602133431"/>
    <n v="11626.2"/>
    <n v="950.81404000000009"/>
    <s v="0"/>
    <n v="836.71635520000007"/>
    <s v="0"/>
    <n v="12207.51"/>
    <n v="0"/>
    <s v="0"/>
    <s v="0"/>
    <s v="0"/>
    <s v="0"/>
    <n v="0"/>
    <s v="0"/>
    <m/>
    <m/>
    <m/>
    <m/>
    <m/>
    <m/>
  </r>
  <r>
    <d v="2026-04-07T00:00:00"/>
    <s v="PURCHASE"/>
    <s v="HINDUSTAN JEWELLERY LLC"/>
    <n v="411.65239500000001"/>
    <n v="0.995"/>
    <n v="409.59413302500002"/>
    <n v="0"/>
    <m/>
    <s v="0"/>
    <s v="0"/>
    <s v="0"/>
    <s v="0"/>
    <n v="0"/>
    <n v="0"/>
    <n v="411.65239500000001"/>
    <s v="0"/>
    <n v="409.59413302500002"/>
    <s v="0"/>
    <n v="0"/>
    <s v="0"/>
    <m/>
    <m/>
    <m/>
    <m/>
    <m/>
    <m/>
  </r>
  <r>
    <d v="2026-04-07T00:00:00"/>
    <s v="PURCHASE"/>
    <s v="BHARAT JEWELLERY LLC"/>
    <n v="990.02499999999998"/>
    <n v="0.995"/>
    <n v="985.07487500000002"/>
    <n v="0"/>
    <m/>
    <s v="0"/>
    <s v="0"/>
    <s v="0"/>
    <s v="0"/>
    <n v="0"/>
    <n v="0"/>
    <n v="990.02499999999998"/>
    <s v="0"/>
    <n v="985.07487500000002"/>
    <s v="0"/>
    <n v="0"/>
    <s v="0"/>
    <m/>
    <m/>
    <m/>
    <m/>
    <m/>
    <m/>
  </r>
  <r>
    <d v="2026-04-07T00:00:00"/>
    <s v="PURCHASE"/>
    <s v="SUMIT GOLD HUB LLC"/>
    <n v="1458.2"/>
    <n v="1"/>
    <n v="1458.2"/>
    <n v="0"/>
    <m/>
    <s v="0"/>
    <s v="0"/>
    <s v="0"/>
    <s v="0"/>
    <n v="0"/>
    <n v="0"/>
    <n v="1458.2"/>
    <s v="0"/>
    <n v="1458.2"/>
    <s v="0"/>
    <n v="0"/>
    <s v="0"/>
    <m/>
    <m/>
    <m/>
    <m/>
    <m/>
    <m/>
  </r>
  <r>
    <d v="2026-04-07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07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5880"/>
    <m/>
    <m/>
    <m/>
    <m/>
    <m/>
  </r>
  <r>
    <d v="2026-04-08T00:00:00"/>
    <s v="SALES"/>
    <s v="BADSHAH JEWELLERY SHOP"/>
    <n v="660.76560000000006"/>
    <n v="0.88"/>
    <n v="581.47372800000005"/>
    <n v="3.9060750135902955"/>
    <n v="2581"/>
    <n v="660.76560000000006"/>
    <s v="0"/>
    <n v="581.47372800000005"/>
    <s v="0"/>
    <n v="2710.05"/>
    <n v="0"/>
    <s v="0"/>
    <s v="0"/>
    <s v="0"/>
    <s v="0"/>
    <n v="0"/>
    <s v="0"/>
    <m/>
    <m/>
    <m/>
    <m/>
    <n v="29969.34"/>
    <n v="708.61800000000005"/>
  </r>
  <r>
    <d v="2026-04-08T00:00:00"/>
    <s v="SALES"/>
    <s v="BABA RAMDEV AYURVEDIC GOLD"/>
    <n v="664.66399999999999"/>
    <n v="0.88"/>
    <n v="584.90431999999998"/>
    <n v="29.848765692139189"/>
    <n v="19839.400000000001"/>
    <n v="664.66399999999999"/>
    <s v="0"/>
    <n v="584.90431999999998"/>
    <s v="0"/>
    <n v="20831.370000000003"/>
    <n v="0"/>
    <s v="0"/>
    <s v="0"/>
    <s v="0"/>
    <s v="0"/>
    <n v="0"/>
    <s v="0"/>
    <m/>
    <m/>
    <m/>
    <m/>
    <n v="14.31"/>
    <n v="3.9E-2"/>
  </r>
  <r>
    <d v="2026-04-08T00:00:00"/>
    <s v="SALES"/>
    <s v="INDIA STAR JEWELLERY"/>
    <n v="973.39679999999998"/>
    <n v="0.88"/>
    <n v="856.58918400000005"/>
    <n v="14.437483254516554"/>
    <n v="14053.4"/>
    <n v="973.39679999999998"/>
    <s v="0"/>
    <n v="856.58918400000005"/>
    <s v="0"/>
    <n v="14756.07"/>
    <n v="0"/>
    <s v="0"/>
    <s v="0"/>
    <s v="0"/>
    <s v="0"/>
    <n v="0"/>
    <s v="0"/>
    <m/>
    <m/>
    <m/>
    <m/>
    <m/>
    <m/>
  </r>
  <r>
    <d v="2026-04-08T00:00:00"/>
    <s v="PURCHASE"/>
    <s v="BABA RAMDEV AYURVEDIC GOLD"/>
    <n v="973.3886"/>
    <n v="0.995"/>
    <n v="968.521657"/>
    <n v="0"/>
    <m/>
    <s v="0"/>
    <s v="0"/>
    <s v="0"/>
    <s v="0"/>
    <n v="0"/>
    <n v="0"/>
    <n v="973.3886"/>
    <s v="0"/>
    <n v="968.521657"/>
    <s v="0"/>
    <n v="0"/>
    <s v="0"/>
    <m/>
    <m/>
    <m/>
    <m/>
    <m/>
    <m/>
  </r>
  <r>
    <d v="2026-04-09T00:00:00"/>
    <s v="SALES"/>
    <s v="HINDUSTAN JEWELLERY LLC"/>
    <n v="1585.0036"/>
    <n v="0.88"/>
    <n v="1394.8031679999999"/>
    <n v="4.8261089123078333"/>
    <n v="7649.4"/>
    <n v="1585.0036"/>
    <s v="0"/>
    <n v="1394.8031679999999"/>
    <s v="0"/>
    <n v="8031.87"/>
    <n v="0"/>
    <s v="0"/>
    <s v="0"/>
    <s v="0"/>
    <s v="0"/>
    <n v="0"/>
    <s v="0"/>
    <m/>
    <m/>
    <m/>
    <m/>
    <m/>
    <m/>
  </r>
  <r>
    <d v="2026-04-09T00:00:00"/>
    <s v="SALES"/>
    <s v="RAHUL BABA GOLD HUB"/>
    <n v="526.15199999999993"/>
    <n v="0.88"/>
    <n v="463.01375999999993"/>
    <n v="6.7310206936398611"/>
    <n v="3541.54"/>
    <n v="526.15199999999993"/>
    <s v="0"/>
    <n v="463.01375999999993"/>
    <s v="0"/>
    <n v="3718.6170000000002"/>
    <n v="0"/>
    <s v="0"/>
    <s v="0"/>
    <s v="0"/>
    <s v="0"/>
    <n v="0"/>
    <s v="0"/>
    <m/>
    <m/>
    <m/>
    <m/>
    <m/>
    <m/>
  </r>
  <r>
    <d v="2026-04-09T00:00:00"/>
    <s v="SALES"/>
    <s v="INDIA STAR JEWELLERY"/>
    <n v="209.96799999999999"/>
    <n v="0.88"/>
    <n v="184.77184"/>
    <n v="9.8917454088242014"/>
    <n v="2076.9499999999998"/>
    <n v="209.96799999999999"/>
    <s v="0"/>
    <n v="184.77184"/>
    <s v="0"/>
    <n v="2180.7974999999997"/>
    <n v="0"/>
    <s v="0"/>
    <s v="0"/>
    <s v="0"/>
    <s v="0"/>
    <n v="0"/>
    <s v="0"/>
    <m/>
    <m/>
    <m/>
    <m/>
    <m/>
    <m/>
  </r>
  <r>
    <d v="2026-04-09T00:00:00"/>
    <s v="PURCHASE"/>
    <s v="BADSHAH JEWELLERY SHOP"/>
    <n v="955.5920000000001"/>
    <n v="0.995"/>
    <n v="950.81404000000009"/>
    <m/>
    <m/>
    <s v="0"/>
    <s v="0"/>
    <s v="0"/>
    <s v="0"/>
    <n v="0"/>
    <n v="0"/>
    <n v="955.5920000000001"/>
    <s v="0"/>
    <n v="950.81404000000009"/>
    <s v="0"/>
    <n v="0"/>
    <s v="0"/>
    <m/>
    <m/>
    <m/>
    <m/>
    <m/>
    <m/>
  </r>
  <r>
    <d v="2026-04-09T00:00:00"/>
    <s v="PURCHASE"/>
    <s v="RAHUL BABA GOLD HUB"/>
    <n v="413.721"/>
    <n v="0.995"/>
    <n v="411.65239500000001"/>
    <m/>
    <m/>
    <s v="0"/>
    <s v="0"/>
    <s v="0"/>
    <s v="0"/>
    <n v="0"/>
    <n v="0"/>
    <n v="413.721"/>
    <s v="0"/>
    <n v="411.65239500000001"/>
    <s v="0"/>
    <n v="0"/>
    <s v="0"/>
    <m/>
    <m/>
    <m/>
    <m/>
    <m/>
    <m/>
  </r>
  <r>
    <d v="2026-04-09T00:00:00"/>
    <s v="PURCHASE"/>
    <s v="INDIA STAR JEWELLERY"/>
    <n v="995"/>
    <n v="0.995"/>
    <n v="990.02499999999998"/>
    <m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4-09T00:00:00"/>
    <s v="PURCHASE"/>
    <s v="ASHA RAAM GOLD JEWELLERY SHOP"/>
    <n v="1585"/>
    <n v="0.92"/>
    <n v="1458.2"/>
    <n v="0.54948264984227124"/>
    <n v="870.93"/>
    <s v="0"/>
    <s v="0"/>
    <s v="0"/>
    <s v="0"/>
    <n v="0"/>
    <n v="0"/>
    <n v="1585"/>
    <s v="0"/>
    <n v="1458.2"/>
    <s v="0"/>
    <n v="914.47649999999999"/>
    <s v="0"/>
    <m/>
    <m/>
    <m/>
    <m/>
    <n v="-7310.31"/>
    <n v="-128.45500000000001"/>
  </r>
  <r>
    <d v="2026-04-09T00:00:00"/>
    <s v="METAL PAYMENT"/>
    <s v="ASHA RAAM GOLD JEWELLERY SHOP"/>
    <n v="995"/>
    <n v="0.995"/>
    <n v="990.02499999999998"/>
    <n v="0"/>
    <m/>
    <s v="0"/>
    <s v="0"/>
    <s v="0"/>
    <s v="0"/>
    <n v="0"/>
    <n v="0"/>
    <s v="0"/>
    <n v="995"/>
    <s v="0"/>
    <n v="990.02499999999998"/>
    <n v="0"/>
    <n v="0"/>
    <m/>
    <m/>
    <m/>
    <m/>
    <m/>
    <m/>
  </r>
  <r>
    <d v="2026-04-10T00:00:00"/>
    <s v="SALES"/>
    <s v="SONIYA JI GOLD HOUSE"/>
    <n v="354.5"/>
    <n v="0.88"/>
    <n v="311.95999999999998"/>
    <n v="5.7881523272214386"/>
    <n v="2051.9"/>
    <n v="354.5"/>
    <s v="0"/>
    <n v="311.95999999999998"/>
    <s v="0"/>
    <n v="2154.4949999999999"/>
    <n v="0"/>
    <s v="0"/>
    <s v="0"/>
    <s v="0"/>
    <s v="0"/>
    <n v="0"/>
    <s v="0"/>
    <m/>
    <m/>
    <m/>
    <m/>
    <m/>
    <m/>
  </r>
  <r>
    <d v="2026-04-10T00:00:00"/>
    <s v="SALES"/>
    <s v="RAHUL BABA GOLD HUB"/>
    <n v="1761.44"/>
    <n v="0.88"/>
    <n v="1550.0672"/>
    <n v="6.2580104914161145"/>
    <n v="11023.11"/>
    <n v="1761.44"/>
    <s v="0"/>
    <n v="1550.0672"/>
    <s v="0"/>
    <n v="11574.265500000001"/>
    <n v="0"/>
    <s v="0"/>
    <s v="0"/>
    <s v="0"/>
    <s v="0"/>
    <n v="0"/>
    <s v="0"/>
    <m/>
    <m/>
    <m/>
    <m/>
    <m/>
    <m/>
  </r>
  <r>
    <d v="2026-04-10T00:00:00"/>
    <s v="SALES"/>
    <s v="ABBAS GOLD CENTER LLC"/>
    <n v="546.58000000000004"/>
    <n v="0.88"/>
    <n v="480.99040000000002"/>
    <n v="4.5"/>
    <n v="2459.61"/>
    <n v="546.58000000000004"/>
    <s v="0"/>
    <n v="480.99040000000002"/>
    <s v="0"/>
    <n v="2582.5905000000002"/>
    <n v="0"/>
    <s v="0"/>
    <s v="0"/>
    <s v="0"/>
    <s v="0"/>
    <n v="0"/>
    <s v="0"/>
    <m/>
    <m/>
    <m/>
    <m/>
    <m/>
    <m/>
  </r>
  <r>
    <d v="2026-04-10T00:00:00"/>
    <s v="SALES"/>
    <s v="BHARAT JEWELLERY LLC"/>
    <n v="871.22199999999998"/>
    <n v="0.88"/>
    <n v="766.67535999999996"/>
    <n v="24.912134909357203"/>
    <n v="21704"/>
    <n v="871.22199999999998"/>
    <s v="0"/>
    <n v="766.67535999999996"/>
    <s v="0"/>
    <n v="22789.200000000001"/>
    <n v="0"/>
    <s v="0"/>
    <s v="0"/>
    <s v="0"/>
    <s v="0"/>
    <n v="0"/>
    <s v="0"/>
    <m/>
    <m/>
    <m/>
    <m/>
    <m/>
    <m/>
  </r>
  <r>
    <d v="2026-04-10T00:00:00"/>
    <s v="PURCHASE"/>
    <s v="RAHUL BABA GOLD HUB"/>
    <n v="274.52479999999997"/>
    <n v="0.995"/>
    <n v="273.152176"/>
    <n v="0"/>
    <m/>
    <s v="0"/>
    <s v="0"/>
    <s v="0"/>
    <s v="0"/>
    <n v="0"/>
    <n v="0"/>
    <n v="274.52479999999997"/>
    <s v="0"/>
    <n v="273.152176"/>
    <s v="0"/>
    <n v="0"/>
    <s v="0"/>
    <m/>
    <m/>
    <m/>
    <m/>
    <m/>
    <m/>
  </r>
  <r>
    <d v="2026-04-10T00:00:00"/>
    <s v="PURCHASE"/>
    <s v="RAHUL BABA GOLD HUB"/>
    <n v="1542.3168639999999"/>
    <n v="1"/>
    <n v="1542.3168639999999"/>
    <n v="0"/>
    <m/>
    <s v="0"/>
    <s v="0"/>
    <s v="0"/>
    <s v="0"/>
    <n v="0"/>
    <n v="0"/>
    <n v="1542.3168639999999"/>
    <s v="0"/>
    <n v="1542.3168639999999"/>
    <s v="0"/>
    <n v="0"/>
    <s v="0"/>
    <m/>
    <m/>
    <m/>
    <m/>
    <m/>
    <m/>
  </r>
  <r>
    <d v="2026-04-10T00:00:00"/>
    <s v="PURCHASE"/>
    <s v="BHARAT JEWELLERY LLC"/>
    <n v="478.58544800000004"/>
    <n v="0.995"/>
    <n v="476.19252076000004"/>
    <n v="0"/>
    <m/>
    <s v="0"/>
    <s v="0"/>
    <s v="0"/>
    <s v="0"/>
    <n v="0"/>
    <n v="0"/>
    <n v="478.58544800000004"/>
    <s v="0"/>
    <n v="476.19252076000004"/>
    <s v="0"/>
    <n v="0"/>
    <s v="0"/>
    <m/>
    <m/>
    <m/>
    <m/>
    <m/>
    <m/>
  </r>
  <r>
    <d v="2026-04-10T00:00:00"/>
    <s v="SALES RETURN"/>
    <s v="SONIYA JI GOLD HOUSE"/>
    <n v="1680.75776"/>
    <n v="0.88"/>
    <n v="1479.0668287999999"/>
    <n v="1.3109563153229173"/>
    <n v="2203.4"/>
    <s v="0"/>
    <n v="1680.75776"/>
    <s v="0"/>
    <n v="1479.0668287999999"/>
    <n v="0"/>
    <n v="2313.5700000000002"/>
    <s v="0"/>
    <s v="0"/>
    <s v="0"/>
    <s v="0"/>
    <n v="0"/>
    <s v="0"/>
    <m/>
    <m/>
    <m/>
    <m/>
    <m/>
    <m/>
  </r>
  <r>
    <d v="2026-04-11T00:00:00"/>
    <s v="SALES"/>
    <s v="BHARAT JEWELLERY LLC"/>
    <n v="990.02499999999998"/>
    <n v="0.88"/>
    <n v="871.22199999999998"/>
    <n v="7.7957627332643114"/>
    <n v="7718"/>
    <n v="990.02499999999998"/>
    <s v="0"/>
    <n v="871.22199999999998"/>
    <s v="0"/>
    <n v="8103.9"/>
    <n v="0"/>
    <s v="0"/>
    <s v="0"/>
    <s v="0"/>
    <s v="0"/>
    <n v="0"/>
    <s v="0"/>
    <m/>
    <m/>
    <m/>
    <m/>
    <m/>
    <m/>
  </r>
  <r>
    <d v="2026-04-11T00:00:00"/>
    <s v="SALES"/>
    <s v="INDIA STAR JEWELLERY"/>
    <n v="730.6"/>
    <n v="0.88"/>
    <n v="642.928"/>
    <n v="8.3359567478784555"/>
    <n v="6090.25"/>
    <n v="730.6"/>
    <s v="0"/>
    <n v="642.928"/>
    <s v="0"/>
    <n v="6394.7624999999998"/>
    <n v="0"/>
    <s v="0"/>
    <s v="0"/>
    <s v="0"/>
    <s v="0"/>
    <n v="0"/>
    <s v="0"/>
    <m/>
    <m/>
    <m/>
    <m/>
    <m/>
    <m/>
  </r>
  <r>
    <d v="2026-04-11T00:00:00"/>
    <s v="PURCHASE"/>
    <s v="BHARAT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11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953.85"/>
    <m/>
    <m/>
    <m/>
    <m/>
    <m/>
  </r>
  <r>
    <d v="2026-04-13T00:00:00"/>
    <s v="SALES RETURN"/>
    <s v="HINDUSTAN JEWELLERY LLC"/>
    <n v="990.02499999999998"/>
    <n v="0.88"/>
    <n v="871.22199999999998"/>
    <n v="1.1644150400242419"/>
    <n v="1152.8"/>
    <s v="0"/>
    <n v="990.02499999999998"/>
    <s v="0"/>
    <n v="871.22199999999998"/>
    <n v="0"/>
    <n v="1210.44"/>
    <s v="0"/>
    <s v="0"/>
    <s v="0"/>
    <s v="0"/>
    <n v="0"/>
    <s v="0"/>
    <m/>
    <m/>
    <m/>
    <m/>
    <m/>
    <m/>
  </r>
  <r>
    <d v="2026-04-13T00:00:00"/>
    <s v="SALES"/>
    <s v="BHARAT JEWELLERY LLC"/>
    <n v="311.95999999999998"/>
    <n v="0.88"/>
    <n v="274.52479999999997"/>
    <n v="33.79055007052186"/>
    <n v="10541.3"/>
    <n v="311.95999999999998"/>
    <s v="0"/>
    <n v="274.52479999999997"/>
    <s v="0"/>
    <n v="11068.365"/>
    <n v="0"/>
    <s v="0"/>
    <s v="0"/>
    <s v="0"/>
    <s v="0"/>
    <n v="0"/>
    <s v="0"/>
    <m/>
    <m/>
    <m/>
    <m/>
    <m/>
    <m/>
  </r>
  <r>
    <d v="2026-04-13T00:00:00"/>
    <s v="PURCHASE"/>
    <s v="INDIA STAR JEWELLERY"/>
    <n v="1550.0672"/>
    <n v="0.995"/>
    <n v="1542.3168639999999"/>
    <m/>
    <m/>
    <s v="0"/>
    <s v="0"/>
    <s v="0"/>
    <s v="0"/>
    <n v="0"/>
    <n v="0"/>
    <n v="1550.0672"/>
    <s v="0"/>
    <n v="1542.3168639999999"/>
    <s v="0"/>
    <n v="0"/>
    <s v="0"/>
    <m/>
    <m/>
    <m/>
    <m/>
    <m/>
    <m/>
  </r>
  <r>
    <d v="2026-04-13T00:00:00"/>
    <s v="PURCHASE"/>
    <s v="BHARAT JEWELLERY LLC"/>
    <n v="480.99040000000002"/>
    <n v="0.995"/>
    <n v="478.58544800000004"/>
    <m/>
    <m/>
    <s v="0"/>
    <s v="0"/>
    <s v="0"/>
    <s v="0"/>
    <n v="0"/>
    <n v="0"/>
    <n v="480.99040000000002"/>
    <s v="0"/>
    <n v="478.58544800000004"/>
    <s v="0"/>
    <n v="0"/>
    <s v="0"/>
    <m/>
    <m/>
    <m/>
    <m/>
    <m/>
    <m/>
  </r>
  <r>
    <d v="2026-04-13T00:00:00"/>
    <s v="PURCHASE"/>
    <s v="ASHA RAAM GOLD JEWELLERY SHOP"/>
    <n v="1909.952"/>
    <n v="0.88"/>
    <n v="1680.75776"/>
    <n v="0.24945129511108133"/>
    <n v="476.44"/>
    <s v="0"/>
    <s v="0"/>
    <s v="0"/>
    <s v="0"/>
    <n v="0"/>
    <n v="0"/>
    <n v="1909.952"/>
    <s v="0"/>
    <n v="1680.75776"/>
    <s v="0"/>
    <n v="500.262"/>
    <s v="0"/>
    <m/>
    <m/>
    <m/>
    <m/>
    <m/>
    <m/>
  </r>
  <r>
    <d v="2026-04-13T00:00:00"/>
    <s v="METAL PAYMENT"/>
    <s v="ASHA RAAM GOLD JEWELLERY SHOP"/>
    <n v="995"/>
    <n v="0.995"/>
    <n v="990.02499999999998"/>
    <n v="0"/>
    <m/>
    <s v="0"/>
    <s v="0"/>
    <s v="0"/>
    <s v="0"/>
    <n v="0"/>
    <n v="0"/>
    <s v="0"/>
    <n v="995"/>
    <s v="0"/>
    <n v="990.02499999999998"/>
    <n v="0"/>
    <n v="0"/>
    <m/>
    <m/>
    <m/>
    <m/>
    <m/>
    <m/>
  </r>
  <r>
    <d v="2026-04-13T00:00:00"/>
    <s v="RECEIPT"/>
    <s v="BHARAT JEWELLERY LLC"/>
    <m/>
    <m/>
    <n v="0"/>
    <e v="#DIV/0!"/>
    <m/>
    <s v="0"/>
    <s v="0"/>
    <s v="0"/>
    <s v="0"/>
    <n v="0"/>
    <n v="0"/>
    <s v="0"/>
    <s v="0"/>
    <s v="0"/>
    <s v="0"/>
    <n v="0"/>
    <s v="0"/>
    <m/>
    <n v="60000"/>
    <m/>
    <m/>
    <m/>
    <m/>
  </r>
  <r>
    <d v="2026-04-14T00:00:00"/>
    <s v="SALES"/>
    <s v="INDIA STAR JEWELLERY"/>
    <n v="3046.56"/>
    <n v="0.88"/>
    <n v="2680.9728"/>
    <n v="11.289848222257234"/>
    <n v="34395.199999999997"/>
    <n v="3046.56"/>
    <s v="0"/>
    <n v="2680.9728"/>
    <s v="0"/>
    <n v="36114.959999999999"/>
    <n v="0"/>
    <s v="0"/>
    <s v="0"/>
    <s v="0"/>
    <s v="0"/>
    <n v="0"/>
    <s v="0"/>
    <m/>
    <m/>
    <m/>
    <m/>
    <m/>
    <m/>
  </r>
  <r>
    <d v="2026-04-14T00:00:00"/>
    <s v="SALES"/>
    <s v="HINDUSTAN JEWELLERY LLC"/>
    <n v="389.928"/>
    <n v="0.88"/>
    <n v="343.13664"/>
    <n v="9.0909090909090917"/>
    <n v="3544.8"/>
    <n v="389.928"/>
    <s v="0"/>
    <n v="343.13664"/>
    <s v="0"/>
    <n v="3722.04"/>
    <n v="0"/>
    <s v="0"/>
    <s v="0"/>
    <s v="0"/>
    <s v="0"/>
    <n v="0"/>
    <s v="0"/>
    <m/>
    <m/>
    <m/>
    <m/>
    <m/>
    <m/>
  </r>
  <r>
    <d v="2026-04-14T00:00:00"/>
    <s v="SALES"/>
    <s v="SONIYA JI GOLD HOUSE"/>
    <n v="234.16800000000003"/>
    <n v="0.88"/>
    <n v="206.06784000000002"/>
    <n v="7.1692118479040676"/>
    <n v="1678.8"/>
    <n v="234.16800000000003"/>
    <s v="0"/>
    <n v="206.06784000000002"/>
    <s v="0"/>
    <n v="1762.74"/>
    <n v="0"/>
    <s v="0"/>
    <s v="0"/>
    <s v="0"/>
    <s v="0"/>
    <n v="0"/>
    <s v="0"/>
    <m/>
    <m/>
    <m/>
    <m/>
    <m/>
    <m/>
  </r>
  <r>
    <d v="2026-04-14T00:00:00"/>
    <s v="SALES"/>
    <s v="RAHUL BABA GOLD HUB"/>
    <n v="1804.2288000000001"/>
    <n v="0.88"/>
    <n v="1587.721344"/>
    <n v="6.4749271267590895"/>
    <n v="11682.25"/>
    <n v="1804.2288000000001"/>
    <s v="0"/>
    <n v="1587.721344"/>
    <s v="0"/>
    <n v="12266.362499999999"/>
    <n v="0"/>
    <s v="0"/>
    <s v="0"/>
    <s v="0"/>
    <s v="0"/>
    <n v="0"/>
    <s v="0"/>
    <m/>
    <m/>
    <m/>
    <m/>
    <m/>
    <m/>
  </r>
  <r>
    <d v="2026-04-14T00:00:00"/>
    <s v="PURCHASE"/>
    <s v="INDIA STAR JEWELLERY"/>
    <n v="2985"/>
    <n v="0.995"/>
    <n v="2970.0749999999998"/>
    <n v="0"/>
    <m/>
    <s v="0"/>
    <s v="0"/>
    <s v="0"/>
    <s v="0"/>
    <n v="0"/>
    <n v="0"/>
    <n v="2985"/>
    <s v="0"/>
    <n v="2970.0749999999998"/>
    <s v="0"/>
    <n v="0"/>
    <s v="0"/>
    <m/>
    <m/>
    <m/>
    <m/>
    <m/>
    <m/>
  </r>
  <r>
    <d v="2026-04-14T00:00:00"/>
    <s v="PURCHASE"/>
    <s v="RAHUL BABA GOLD HUB"/>
    <n v="1831.7353000000001"/>
    <n v="0.995"/>
    <n v="1822.5766235000001"/>
    <n v="0"/>
    <m/>
    <s v="0"/>
    <s v="0"/>
    <s v="0"/>
    <s v="0"/>
    <n v="0"/>
    <n v="0"/>
    <n v="1831.7353000000001"/>
    <s v="0"/>
    <n v="1822.5766235000001"/>
    <s v="0"/>
    <n v="0"/>
    <s v="0"/>
    <m/>
    <m/>
    <m/>
    <m/>
    <m/>
    <m/>
  </r>
  <r>
    <d v="2026-04-14T00:00:00"/>
    <s v="PURCHASE"/>
    <s v="ABBAS GOLD CENTER LLC"/>
    <n v="542.24"/>
    <n v="0.995"/>
    <n v="539.52880000000005"/>
    <n v="0"/>
    <m/>
    <s v="0"/>
    <s v="0"/>
    <s v="0"/>
    <s v="0"/>
    <n v="0"/>
    <n v="0"/>
    <n v="542.24"/>
    <s v="0"/>
    <n v="539.52880000000005"/>
    <s v="0"/>
    <n v="0"/>
    <s v="0"/>
    <m/>
    <m/>
    <m/>
    <m/>
    <m/>
    <m/>
  </r>
  <r>
    <d v="2026-04-14T00:00:00"/>
    <s v="RECEIPT"/>
    <s v="ABBAS GOLD CENTER LLC"/>
    <m/>
    <m/>
    <n v="0"/>
    <e v="#DIV/0!"/>
    <m/>
    <s v="0"/>
    <s v="0"/>
    <s v="0"/>
    <s v="0"/>
    <n v="0"/>
    <n v="0"/>
    <s v="0"/>
    <s v="0"/>
    <s v="0"/>
    <s v="0"/>
    <n v="0"/>
    <s v="0"/>
    <n v="8090"/>
    <m/>
    <m/>
    <m/>
    <m/>
    <m/>
  </r>
  <r>
    <d v="2026-04-15T00:00:00"/>
    <s v="SALES"/>
    <s v="VISHAL JEWELLERY LLC"/>
    <n v="3462"/>
    <n v="0.88"/>
    <n v="3046.56"/>
    <n v="2.8792605430387059"/>
    <n v="9968"/>
    <n v="3462"/>
    <s v="0"/>
    <n v="3046.56"/>
    <s v="0"/>
    <n v="10466.4"/>
    <n v="0"/>
    <s v="0"/>
    <s v="0"/>
    <s v="0"/>
    <s v="0"/>
    <n v="0"/>
    <s v="0"/>
    <m/>
    <m/>
    <m/>
    <m/>
    <n v="2103.8200000000002"/>
    <n v="55.555"/>
  </r>
  <r>
    <d v="2026-04-15T00:00:00"/>
    <s v="SALES"/>
    <s v="BABA RAMDEV AYURVEDIC GOLD"/>
    <n v="443.1"/>
    <n v="0.88"/>
    <n v="389.928"/>
    <n v="10.867072895508914"/>
    <n v="4815.2"/>
    <n v="443.1"/>
    <s v="0"/>
    <n v="389.928"/>
    <s v="0"/>
    <n v="5055.96"/>
    <n v="0"/>
    <s v="0"/>
    <s v="0"/>
    <s v="0"/>
    <s v="0"/>
    <n v="0"/>
    <s v="0"/>
    <m/>
    <m/>
    <m/>
    <m/>
    <m/>
    <m/>
  </r>
  <r>
    <d v="2026-04-15T00:00:00"/>
    <s v="SALES"/>
    <s v="RAM RAHEEM GOLD SHOP"/>
    <n v="266.10000000000002"/>
    <n v="0.88"/>
    <n v="234.16800000000003"/>
    <n v="6.7653889515219836"/>
    <n v="1800.27"/>
    <n v="266.10000000000002"/>
    <s v="0"/>
    <n v="234.16800000000003"/>
    <s v="0"/>
    <n v="1890.2835"/>
    <n v="0"/>
    <s v="0"/>
    <s v="0"/>
    <s v="0"/>
    <s v="0"/>
    <n v="0"/>
    <s v="0"/>
    <m/>
    <m/>
    <m/>
    <m/>
    <n v="4599.54"/>
    <n v="5.0000000000000001E-3"/>
  </r>
  <r>
    <d v="2026-04-15T00:00:00"/>
    <s v="SALES"/>
    <s v="INDIA STAR JEWELLERY"/>
    <n v="2050.2600000000002"/>
    <n v="0.88"/>
    <n v="1804.2288000000001"/>
    <n v="4.4705549540058325"/>
    <n v="9165.7999999999993"/>
    <n v="2050.2600000000002"/>
    <s v="0"/>
    <n v="1804.2288000000001"/>
    <s v="0"/>
    <n v="9624.09"/>
    <n v="0"/>
    <s v="0"/>
    <s v="0"/>
    <s v="0"/>
    <s v="0"/>
    <n v="0"/>
    <s v="0"/>
    <m/>
    <m/>
    <m/>
    <m/>
    <m/>
    <m/>
  </r>
  <r>
    <d v="2026-04-15T00:00:00"/>
    <s v="PURCHASE"/>
    <s v="INDIA STAR JEWELLERY"/>
    <n v="3000"/>
    <n v="0.995"/>
    <n v="2985"/>
    <n v="0"/>
    <m/>
    <s v="0"/>
    <s v="0"/>
    <s v="0"/>
    <s v="0"/>
    <n v="0"/>
    <n v="0"/>
    <n v="3000"/>
    <s v="0"/>
    <n v="2985"/>
    <s v="0"/>
    <n v="0"/>
    <s v="0"/>
    <m/>
    <m/>
    <m/>
    <m/>
    <m/>
    <m/>
  </r>
  <r>
    <d v="2026-04-15T00:00:00"/>
    <s v="PURCHASE"/>
    <s v="SONIYA JI GOLD HOUSE"/>
    <n v="1840.94"/>
    <n v="0.995"/>
    <n v="1831.7353000000001"/>
    <n v="0"/>
    <m/>
    <s v="0"/>
    <s v="0"/>
    <s v="0"/>
    <s v="0"/>
    <n v="0"/>
    <n v="0"/>
    <n v="1840.94"/>
    <s v="0"/>
    <n v="1831.7353000000001"/>
    <s v="0"/>
    <n v="0"/>
    <s v="0"/>
    <m/>
    <m/>
    <m/>
    <m/>
    <m/>
    <m/>
  </r>
  <r>
    <d v="2026-04-16T00:00:00"/>
    <s v="SALES"/>
    <s v="VISHAL JEWELLERY LLC"/>
    <n v="420.6"/>
    <n v="0.88"/>
    <n v="370.12800000000004"/>
    <n v="3.4999999999999996"/>
    <n v="1472.1"/>
    <n v="420.6"/>
    <s v="0"/>
    <n v="370.12800000000004"/>
    <s v="0"/>
    <n v="1545.7049999999999"/>
    <n v="0"/>
    <s v="0"/>
    <s v="0"/>
    <s v="0"/>
    <s v="0"/>
    <n v="0"/>
    <s v="0"/>
    <m/>
    <m/>
    <m/>
    <m/>
    <m/>
    <m/>
  </r>
  <r>
    <d v="2026-04-16T00:00:00"/>
    <s v="SALES"/>
    <s v="BHARAT JEWELLERY LLC"/>
    <n v="2258.4320000000002"/>
    <n v="0.88"/>
    <n v="1987.4201600000001"/>
    <n v="8.6892144638403987"/>
    <n v="19624"/>
    <n v="2258.4320000000002"/>
    <s v="0"/>
    <n v="1987.4201600000001"/>
    <s v="0"/>
    <n v="20605.2"/>
    <n v="0"/>
    <s v="0"/>
    <s v="0"/>
    <s v="0"/>
    <s v="0"/>
    <n v="0"/>
    <s v="0"/>
    <m/>
    <m/>
    <m/>
    <m/>
    <m/>
    <m/>
  </r>
  <r>
    <d v="2026-04-16T00:00:00"/>
    <s v="SALES"/>
    <s v="DHANANJAY JEWELLERY L.L.C"/>
    <n v="217.096"/>
    <n v="0.88"/>
    <n v="191.04447999999999"/>
    <n v="8.8886944024763235"/>
    <n v="1929.7"/>
    <n v="217.096"/>
    <s v="0"/>
    <n v="191.04447999999999"/>
    <s v="0"/>
    <n v="2026.1849999999999"/>
    <n v="0"/>
    <s v="0"/>
    <s v="0"/>
    <s v="0"/>
    <s v="0"/>
    <n v="0"/>
    <s v="0"/>
    <m/>
    <m/>
    <m/>
    <m/>
    <m/>
    <m/>
  </r>
  <r>
    <d v="2026-04-16T00:00:00"/>
    <s v="SALES"/>
    <s v="RAHUL BABA GOLD HUB"/>
    <n v="440.80080000000004"/>
    <n v="0.88"/>
    <n v="387.90470400000004"/>
    <n v="5.8143723877089144"/>
    <n v="2562.98"/>
    <n v="440.80080000000004"/>
    <s v="0"/>
    <n v="387.90470400000004"/>
    <s v="0"/>
    <n v="2691.1289999999999"/>
    <n v="0"/>
    <s v="0"/>
    <s v="0"/>
    <s v="0"/>
    <s v="0"/>
    <n v="0"/>
    <s v="0"/>
    <m/>
    <m/>
    <m/>
    <m/>
    <m/>
    <m/>
  </r>
  <r>
    <d v="2026-04-16T00:00:00"/>
    <s v="SALES"/>
    <s v="INDIA STAR JEWELLERY"/>
    <n v="725.47199999999998"/>
    <n v="0.88"/>
    <n v="638.41535999999996"/>
    <n v="11.510506263508447"/>
    <n v="8350.5499999999993"/>
    <n v="725.47199999999998"/>
    <s v="0"/>
    <n v="638.41535999999996"/>
    <s v="0"/>
    <n v="8768.0774999999994"/>
    <n v="0"/>
    <s v="0"/>
    <s v="0"/>
    <s v="0"/>
    <s v="0"/>
    <n v="0"/>
    <s v="0"/>
    <m/>
    <m/>
    <m/>
    <m/>
    <m/>
    <m/>
  </r>
  <r>
    <d v="2026-04-16T00:00:00"/>
    <s v="PURCHASE"/>
    <s v="BHARAT JEWELLERY LLC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4-16T00:00:00"/>
    <s v="PURCHASE"/>
    <s v="ALI ABBAS GOLD SHOP"/>
    <n v="334.09214500000002"/>
    <n v="0.995"/>
    <n v="332.42168427500002"/>
    <n v="0"/>
    <m/>
    <s v="0"/>
    <s v="0"/>
    <s v="0"/>
    <s v="0"/>
    <n v="0"/>
    <n v="0"/>
    <n v="334.09214500000002"/>
    <s v="0"/>
    <n v="332.42168427500002"/>
    <s v="0"/>
    <n v="0"/>
    <s v="0"/>
    <m/>
    <m/>
    <m/>
    <m/>
    <n v="3987.42"/>
    <n v="334.09"/>
  </r>
  <r>
    <d v="2026-04-16T00:00:00"/>
    <s v="PURCHASE"/>
    <s v="HINDUSTAN JEWELLERY LLC"/>
    <n v="469.44100000000003"/>
    <n v="0.995"/>
    <n v="467.09379500000006"/>
    <n v="0"/>
    <m/>
    <s v="0"/>
    <s v="0"/>
    <s v="0"/>
    <s v="0"/>
    <n v="0"/>
    <n v="0"/>
    <n v="469.44100000000003"/>
    <s v="0"/>
    <n v="467.09379500000006"/>
    <s v="0"/>
    <n v="0"/>
    <s v="0"/>
    <m/>
    <m/>
    <m/>
    <m/>
    <m/>
    <m/>
  </r>
  <r>
    <d v="2026-04-16T00:00:00"/>
    <s v="PURCHASE"/>
    <s v="DHANANJAY JEWELLERY L.L.C"/>
    <n v="470.03799999999995"/>
    <n v="0.995"/>
    <n v="467.68780999999996"/>
    <n v="0"/>
    <m/>
    <s v="0"/>
    <s v="0"/>
    <s v="0"/>
    <s v="0"/>
    <n v="0"/>
    <n v="0"/>
    <n v="470.03799999999995"/>
    <s v="0"/>
    <n v="467.68780999999996"/>
    <s v="0"/>
    <n v="0"/>
    <s v="0"/>
    <m/>
    <m/>
    <m/>
    <m/>
    <m/>
    <m/>
  </r>
  <r>
    <d v="2026-04-16T00:00:00"/>
    <s v="PURCHASE"/>
    <s v="RAHUL BABA GOLD HUB"/>
    <n v="500"/>
    <n v="1"/>
    <n v="500"/>
    <n v="0"/>
    <m/>
    <s v="0"/>
    <s v="0"/>
    <s v="0"/>
    <s v="0"/>
    <n v="0"/>
    <n v="0"/>
    <n v="500"/>
    <s v="0"/>
    <n v="500"/>
    <s v="0"/>
    <n v="0"/>
    <s v="0"/>
    <m/>
    <m/>
    <m/>
    <m/>
    <m/>
    <m/>
  </r>
  <r>
    <d v="2026-04-16T00:00:00"/>
    <s v="PURCHASE"/>
    <s v="BABA RAMDEV AYURVEDIC GOLD"/>
    <n v="424.86500000000001"/>
    <n v="0.995"/>
    <n v="422.74067500000001"/>
    <n v="0"/>
    <m/>
    <s v="0"/>
    <s v="0"/>
    <s v="0"/>
    <s v="0"/>
    <n v="0"/>
    <n v="0"/>
    <n v="424.86500000000001"/>
    <s v="0"/>
    <n v="422.74067500000001"/>
    <s v="0"/>
    <n v="0"/>
    <s v="0"/>
    <m/>
    <m/>
    <m/>
    <m/>
    <m/>
    <m/>
  </r>
  <r>
    <d v="2026-04-16T00:00:00"/>
    <s v="RECEIPT"/>
    <s v="BABA RAMDEV AYURVEDIC GOLD"/>
    <m/>
    <m/>
    <n v="0"/>
    <e v="#DIV/0!"/>
    <m/>
    <s v="0"/>
    <s v="0"/>
    <s v="0"/>
    <s v="0"/>
    <n v="0"/>
    <n v="0"/>
    <s v="0"/>
    <s v="0"/>
    <s v="0"/>
    <s v="0"/>
    <n v="0"/>
    <s v="0"/>
    <m/>
    <n v="25887"/>
    <m/>
    <m/>
    <m/>
    <m/>
  </r>
  <r>
    <d v="2026-04-16T00:00:00"/>
    <s v="RECEIPT"/>
    <s v="ALI ABBAS GOLD SHOP"/>
    <m/>
    <m/>
    <n v="0"/>
    <e v="#DIV/0!"/>
    <m/>
    <s v="0"/>
    <s v="0"/>
    <s v="0"/>
    <s v="0"/>
    <n v="0"/>
    <n v="0"/>
    <s v="0"/>
    <s v="0"/>
    <s v="0"/>
    <s v="0"/>
    <n v="0"/>
    <s v="0"/>
    <n v="3988"/>
    <m/>
    <m/>
    <m/>
    <m/>
    <m/>
  </r>
  <r>
    <d v="2026-04-16T00:00:00"/>
    <s v="SALES RETURN"/>
    <s v="INDIA STAR JEWELLERY"/>
    <n v="3531.44"/>
    <n v="0.88"/>
    <n v="3107.6671999999999"/>
    <n v="2.0231973359309516"/>
    <n v="7144.8"/>
    <s v="0"/>
    <n v="3531.44"/>
    <s v="0"/>
    <n v="3107.6671999999999"/>
    <n v="0"/>
    <n v="7502.04"/>
    <s v="0"/>
    <s v="0"/>
    <s v="0"/>
    <s v="0"/>
    <n v="0"/>
    <s v="0"/>
    <m/>
    <m/>
    <m/>
    <m/>
    <m/>
    <m/>
  </r>
  <r>
    <d v="2026-04-16T00:00:00"/>
    <s v="SALES RETURN"/>
    <s v="INDIA STAR JEWELLERY"/>
    <n v="575.22500000000002"/>
    <n v="0.875"/>
    <n v="503.32187500000003"/>
    <m/>
    <m/>
    <s v="0"/>
    <n v="575.22500000000002"/>
    <s v="0"/>
    <n v="503.32187500000003"/>
    <n v="0"/>
    <n v="0"/>
    <s v="0"/>
    <s v="0"/>
    <s v="0"/>
    <s v="0"/>
    <n v="0"/>
    <s v="0"/>
    <m/>
    <m/>
    <m/>
    <m/>
    <m/>
    <m/>
  </r>
  <r>
    <d v="2026-04-17T00:00:00"/>
    <s v="SALES"/>
    <s v="ABBAS GOLD CENTER LLC"/>
    <n v="877.08720000000005"/>
    <n v="0.88"/>
    <n v="771.83673600000009"/>
    <n v="8.4955406942433989"/>
    <n v="7451.33"/>
    <n v="877.08720000000005"/>
    <s v="0"/>
    <n v="771.83673600000009"/>
    <s v="0"/>
    <n v="7823.8964999999998"/>
    <n v="0"/>
    <s v="0"/>
    <s v="0"/>
    <s v="0"/>
    <s v="0"/>
    <n v="0"/>
    <s v="0"/>
    <m/>
    <m/>
    <m/>
    <m/>
    <m/>
    <m/>
  </r>
  <r>
    <d v="2026-04-17T00:00:00"/>
    <s v="SALES"/>
    <s v="INDIA STAR JEWELLERY"/>
    <n v="365"/>
    <n v="0.88"/>
    <n v="321.2"/>
    <n v="23.455342465753425"/>
    <n v="8561.2000000000007"/>
    <n v="365"/>
    <s v="0"/>
    <n v="321.2"/>
    <s v="0"/>
    <n v="8989.26"/>
    <n v="0"/>
    <s v="0"/>
    <s v="0"/>
    <s v="0"/>
    <s v="0"/>
    <n v="0"/>
    <s v="0"/>
    <m/>
    <m/>
    <m/>
    <m/>
    <m/>
    <m/>
  </r>
  <r>
    <d v="2026-04-17T00:00:00"/>
    <s v="SALES"/>
    <s v="BHARAT JEWELLERY LLC"/>
    <n v="877.08720000000005"/>
    <n v="0.88"/>
    <n v="771.83673600000009"/>
    <n v="7.0542586871636015"/>
    <n v="6187.2"/>
    <n v="877.08720000000005"/>
    <s v="0"/>
    <n v="771.83673600000009"/>
    <s v="0"/>
    <n v="6496.5599999999995"/>
    <n v="0"/>
    <s v="0"/>
    <s v="0"/>
    <s v="0"/>
    <s v="0"/>
    <n v="0"/>
    <s v="0"/>
    <m/>
    <m/>
    <m/>
    <m/>
    <m/>
    <m/>
  </r>
  <r>
    <d v="2026-04-17T00:00:00"/>
    <s v="PURCHASE"/>
    <s v="VISHAL JEWELLERY LLC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4-17T00:00:00"/>
    <s v="PURCHASE"/>
    <s v="INDIA STAR JEWELLERY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4-17T00:00:00"/>
    <s v="PURCHASE"/>
    <s v="ABBAS GOLD CENTER LLC"/>
    <n v="478.04775000000001"/>
    <n v="0.995"/>
    <n v="475.65751125000003"/>
    <n v="0"/>
    <m/>
    <s v="0"/>
    <s v="0"/>
    <s v="0"/>
    <s v="0"/>
    <n v="0"/>
    <n v="0"/>
    <n v="478.04775000000001"/>
    <s v="0"/>
    <n v="475.65751125000003"/>
    <s v="0"/>
    <n v="0"/>
    <s v="0"/>
    <m/>
    <m/>
    <m/>
    <m/>
    <m/>
    <m/>
  </r>
  <r>
    <d v="2026-04-18T00:00:00"/>
    <s v="SALES"/>
    <s v="INDIA STAR JEWELLERY"/>
    <n v="619.34399999999994"/>
    <n v="0.88"/>
    <n v="545.02271999999994"/>
    <n v="10.940931049626702"/>
    <n v="6776.2"/>
    <n v="619.34399999999994"/>
    <s v="0"/>
    <n v="545.02271999999994"/>
    <s v="0"/>
    <n v="7115.01"/>
    <n v="0"/>
    <s v="0"/>
    <s v="0"/>
    <s v="0"/>
    <s v="0"/>
    <n v="0"/>
    <s v="0"/>
    <m/>
    <m/>
    <m/>
    <m/>
    <m/>
    <m/>
  </r>
  <r>
    <d v="2026-04-18T00:00:00"/>
    <s v="SALES"/>
    <s v="HINDUSTAN JEWELLERY LLC"/>
    <n v="1587.3440000000001"/>
    <n v="0.88"/>
    <n v="1396.8627200000001"/>
    <n v="9.0909090909090899"/>
    <n v="14430.4"/>
    <n v="1587.3440000000001"/>
    <s v="0"/>
    <n v="1396.8627200000001"/>
    <s v="0"/>
    <n v="15151.92"/>
    <n v="0"/>
    <s v="0"/>
    <s v="0"/>
    <s v="0"/>
    <s v="0"/>
    <n v="0"/>
    <s v="0"/>
    <m/>
    <m/>
    <m/>
    <m/>
    <m/>
    <m/>
  </r>
  <r>
    <d v="2026-04-18T00:00:00"/>
    <s v="SALES"/>
    <s v="ABBAS GOLD CENTER LLC"/>
    <n v="194.77040000000002"/>
    <n v="0.88"/>
    <n v="171.39795200000003"/>
    <n v="13.636363636363635"/>
    <n v="2655.96"/>
    <n v="194.77040000000002"/>
    <s v="0"/>
    <n v="171.39795200000003"/>
    <s v="0"/>
    <n v="2788.7579999999998"/>
    <n v="0"/>
    <s v="0"/>
    <s v="0"/>
    <s v="0"/>
    <s v="0"/>
    <n v="0"/>
    <s v="0"/>
    <m/>
    <m/>
    <m/>
    <m/>
    <m/>
    <m/>
  </r>
  <r>
    <d v="2026-04-18T00:00:00"/>
    <s v="PURCHASE"/>
    <s v="OM NATH JEWELLERY LLC"/>
    <n v="308.94749999999999"/>
    <n v="0.995"/>
    <n v="307.40276249999999"/>
    <n v="0"/>
    <m/>
    <s v="0"/>
    <s v="0"/>
    <s v="0"/>
    <s v="0"/>
    <n v="0"/>
    <n v="0"/>
    <n v="308.94749999999999"/>
    <s v="0"/>
    <n v="307.40276249999999"/>
    <s v="0"/>
    <n v="0"/>
    <s v="0"/>
    <m/>
    <m/>
    <m/>
    <m/>
    <n v="20895.009999999998"/>
    <n v="505.899"/>
  </r>
  <r>
    <d v="2026-04-18T00:00:00"/>
    <s v="PURCHASE"/>
    <s v="INDIA STAR JEWELLERY"/>
    <n v="1990"/>
    <n v="0.995"/>
    <n v="1980.05"/>
    <n v="0"/>
    <m/>
    <s v="0"/>
    <s v="0"/>
    <s v="0"/>
    <s v="0"/>
    <n v="0"/>
    <n v="0"/>
    <n v="1990"/>
    <s v="0"/>
    <n v="1980.05"/>
    <s v="0"/>
    <n v="0"/>
    <s v="0"/>
    <m/>
    <m/>
    <m/>
    <m/>
    <m/>
    <m/>
  </r>
  <r>
    <d v="2026-04-18T00:00:00"/>
    <s v="PURCHASE"/>
    <s v="BHARAT JEWELLERY LLC"/>
    <n v="517.798"/>
    <n v="0.995"/>
    <n v="515.20901000000003"/>
    <n v="0"/>
    <m/>
    <s v="0"/>
    <s v="0"/>
    <s v="0"/>
    <s v="0"/>
    <n v="0"/>
    <n v="0"/>
    <n v="517.798"/>
    <s v="0"/>
    <n v="515.20901000000003"/>
    <s v="0"/>
    <n v="0"/>
    <s v="0"/>
    <m/>
    <m/>
    <m/>
    <m/>
    <m/>
    <m/>
  </r>
  <r>
    <d v="2026-04-18T00:00:00"/>
    <s v="PURCHASE"/>
    <s v="HINDUSTAN JEWELLERY LLC"/>
    <n v="399.09450000000004"/>
    <n v="0.995"/>
    <n v="397.09902750000003"/>
    <n v="0"/>
    <m/>
    <s v="0"/>
    <s v="0"/>
    <s v="0"/>
    <s v="0"/>
    <n v="0"/>
    <n v="0"/>
    <n v="399.09450000000004"/>
    <s v="0"/>
    <n v="397.09902750000003"/>
    <s v="0"/>
    <n v="0"/>
    <s v="0"/>
    <m/>
    <m/>
    <m/>
    <m/>
    <m/>
    <m/>
  </r>
  <r>
    <d v="2026-04-18T00:00:00"/>
    <s v="PURCHASE"/>
    <s v="HINDUSTAN JEWELLERY LLC"/>
    <n v="250"/>
    <n v="1"/>
    <n v="250"/>
    <n v="0"/>
    <m/>
    <s v="0"/>
    <s v="0"/>
    <s v="0"/>
    <s v="0"/>
    <n v="0"/>
    <n v="0"/>
    <n v="250"/>
    <s v="0"/>
    <n v="250"/>
    <s v="0"/>
    <n v="0"/>
    <s v="0"/>
    <m/>
    <m/>
    <m/>
    <m/>
    <m/>
    <m/>
  </r>
  <r>
    <d v="2026-04-18T00:00:00"/>
    <s v="RECEIPT"/>
    <s v="INDIA STAR JEWELLERY"/>
    <m/>
    <m/>
    <n v="0"/>
    <e v="#DIV/0!"/>
    <m/>
    <s v="0"/>
    <s v="0"/>
    <s v="0"/>
    <s v="0"/>
    <n v="0"/>
    <n v="0"/>
    <s v="0"/>
    <s v="0"/>
    <s v="0"/>
    <s v="0"/>
    <n v="0"/>
    <s v="0"/>
    <n v="50000"/>
    <m/>
    <m/>
    <m/>
    <m/>
    <m/>
  </r>
  <r>
    <d v="2026-04-18T00:00:00"/>
    <s v="RECEIPT"/>
    <s v="RAHUL BABA GOLD HUB"/>
    <m/>
    <m/>
    <n v="0"/>
    <e v="#DIV/0!"/>
    <m/>
    <s v="0"/>
    <s v="0"/>
    <s v="0"/>
    <s v="0"/>
    <n v="0"/>
    <n v="0"/>
    <s v="0"/>
    <s v="0"/>
    <s v="0"/>
    <s v="0"/>
    <n v="0"/>
    <s v="0"/>
    <m/>
    <n v="25000"/>
    <m/>
    <m/>
    <m/>
    <m/>
  </r>
  <r>
    <d v="2026-04-20T00:00:00"/>
    <s v="SALES"/>
    <s v="INDIA STAR JEWELLERY"/>
    <n v="2126.9"/>
    <n v="0.88"/>
    <n v="1871.672"/>
    <n v="10.724481639945461"/>
    <n v="22809.9"/>
    <n v="2126.9"/>
    <s v="0"/>
    <n v="1871.672"/>
    <s v="0"/>
    <n v="23950.395"/>
    <n v="0"/>
    <s v="0"/>
    <s v="0"/>
    <s v="0"/>
    <s v="0"/>
    <n v="0"/>
    <s v="0"/>
    <m/>
    <m/>
    <m/>
    <m/>
    <m/>
    <m/>
  </r>
  <r>
    <d v="2026-04-20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4-20T00:00:00"/>
    <s v="PURCHASE"/>
    <s v="VISHAL JEWELLERY LLC"/>
    <n v="288.60000000000002"/>
    <n v="0.995"/>
    <n v="287.15700000000004"/>
    <n v="0"/>
    <m/>
    <s v="0"/>
    <s v="0"/>
    <s v="0"/>
    <s v="0"/>
    <n v="0"/>
    <n v="0"/>
    <n v="288.60000000000002"/>
    <s v="0"/>
    <n v="287.15700000000004"/>
    <s v="0"/>
    <n v="0"/>
    <s v="0"/>
    <m/>
    <m/>
    <m/>
    <m/>
    <m/>
    <m/>
  </r>
  <r>
    <d v="2026-04-20T00:00:00"/>
    <s v="PURCHASE"/>
    <s v="BHARAT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20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5000"/>
    <m/>
    <m/>
    <m/>
    <m/>
    <m/>
  </r>
  <r>
    <d v="2026-04-21T00:00:00"/>
    <s v="SALES"/>
    <s v="RAHUL BABA GOLD HUB"/>
    <n v="193.61760000000001"/>
    <n v="0.88"/>
    <n v="170.383488"/>
    <n v="3.4090909090909087"/>
    <n v="660.06"/>
    <n v="193.61760000000001"/>
    <s v="0"/>
    <n v="170.383488"/>
    <s v="0"/>
    <n v="693.06299999999999"/>
    <n v="0"/>
    <s v="0"/>
    <s v="0"/>
    <s v="0"/>
    <s v="0"/>
    <n v="0"/>
    <s v="0"/>
    <m/>
    <m/>
    <m/>
    <m/>
    <m/>
    <m/>
  </r>
  <r>
    <d v="2026-04-21T00:00:00"/>
    <s v="SALES"/>
    <s v="INDIA STAR JEWELLERY"/>
    <n v="1655.0160000000001"/>
    <n v="0.88"/>
    <n v="1456.41408"/>
    <n v="11.966712104293855"/>
    <n v="19805.099999999999"/>
    <n v="1655.0160000000001"/>
    <s v="0"/>
    <n v="1456.41408"/>
    <s v="0"/>
    <n v="20795.355"/>
    <n v="0"/>
    <s v="0"/>
    <s v="0"/>
    <s v="0"/>
    <s v="0"/>
    <n v="0"/>
    <s v="0"/>
    <m/>
    <m/>
    <m/>
    <m/>
    <m/>
    <m/>
  </r>
  <r>
    <d v="2026-04-21T00:00:00"/>
    <s v="PURCHASE"/>
    <s v="HINDUSTAN JEWELLERY LLC"/>
    <n v="533.02150000000006"/>
    <n v="0.995"/>
    <n v="530.35639250000008"/>
    <m/>
    <m/>
    <s v="0"/>
    <s v="0"/>
    <s v="0"/>
    <s v="0"/>
    <n v="0"/>
    <n v="0"/>
    <n v="533.02150000000006"/>
    <s v="0"/>
    <n v="530.35639250000008"/>
    <s v="0"/>
    <n v="0"/>
    <s v="0"/>
    <m/>
    <m/>
    <m/>
    <m/>
    <m/>
    <m/>
  </r>
  <r>
    <d v="2026-04-21T00:00:00"/>
    <s v="PURCHASE"/>
    <s v="INDIA STAR JEWELLERY"/>
    <n v="1990"/>
    <n v="0.995"/>
    <n v="1980.05"/>
    <m/>
    <m/>
    <s v="0"/>
    <s v="0"/>
    <s v="0"/>
    <s v="0"/>
    <n v="0"/>
    <n v="0"/>
    <n v="1990"/>
    <s v="0"/>
    <n v="1980.05"/>
    <s v="0"/>
    <n v="0"/>
    <s v="0"/>
    <m/>
    <m/>
    <m/>
    <m/>
    <m/>
    <m/>
  </r>
  <r>
    <d v="2026-04-21T00:00:00"/>
    <s v="PURCHASE"/>
    <s v="ABBAS GOLD CENTER LLC"/>
    <n v="404.84559999999999"/>
    <n v="0.995"/>
    <n v="402.821372"/>
    <m/>
    <m/>
    <s v="0"/>
    <s v="0"/>
    <s v="0"/>
    <s v="0"/>
    <n v="0"/>
    <n v="0"/>
    <n v="404.84559999999999"/>
    <s v="0"/>
    <n v="402.821372"/>
    <s v="0"/>
    <n v="0"/>
    <s v="0"/>
    <m/>
    <m/>
    <m/>
    <m/>
    <m/>
    <m/>
  </r>
  <r>
    <d v="2026-04-21T00:00:00"/>
    <s v="PURCHASE"/>
    <s v="ASHA RAAM GOLD JEWELLERY SHOP"/>
    <n v="234.45840000000001"/>
    <n v="0.88"/>
    <n v="206.32339200000001"/>
    <n v="2.8409304166538711"/>
    <n v="666.08"/>
    <s v="0"/>
    <s v="0"/>
    <s v="0"/>
    <s v="0"/>
    <n v="0"/>
    <n v="0"/>
    <n v="234.45840000000001"/>
    <s v="0"/>
    <n v="206.32339200000001"/>
    <s v="0"/>
    <n v="699.38400000000001"/>
    <s v="0"/>
    <m/>
    <m/>
    <m/>
    <m/>
    <m/>
    <m/>
  </r>
  <r>
    <d v="2026-04-21T00:00:00"/>
    <s v="METAL PAYMENT"/>
    <s v="ASHA RAAM GOLD JEWELLERY SHOP"/>
    <n v="212.93"/>
    <n v="0.995"/>
    <n v="211.86535000000001"/>
    <n v="0"/>
    <m/>
    <s v="0"/>
    <s v="0"/>
    <s v="0"/>
    <s v="0"/>
    <n v="0"/>
    <n v="0"/>
    <s v="0"/>
    <n v="212.93"/>
    <s v="0"/>
    <n v="211.86535000000001"/>
    <n v="0"/>
    <n v="0"/>
    <m/>
    <m/>
    <m/>
    <m/>
    <m/>
    <m/>
  </r>
  <r>
    <d v="2026-04-21T00:00:00"/>
    <s v="PAYMENT"/>
    <s v="ASHA RAAM GOLD JEWELLERY SHOP"/>
    <m/>
    <m/>
    <n v="0"/>
    <e v="#DIV/0!"/>
    <m/>
    <s v="0"/>
    <s v="0"/>
    <s v="0"/>
    <s v="0"/>
    <n v="0"/>
    <n v="0"/>
    <s v="0"/>
    <s v="0"/>
    <s v="0"/>
    <s v="0"/>
    <n v="0"/>
    <s v="0"/>
    <m/>
    <m/>
    <n v="8000"/>
    <m/>
    <m/>
    <m/>
  </r>
  <r>
    <d v="2026-04-22T00:00:00"/>
    <s v="SALES"/>
    <s v="BADSHAH JEWELLERY SHOP"/>
    <n v="2169.5"/>
    <n v="0.88"/>
    <n v="1909.16"/>
    <n v="4.5834985019589762"/>
    <n v="9943.9"/>
    <n v="2169.5"/>
    <s v="0"/>
    <n v="1909.16"/>
    <s v="0"/>
    <n v="10441.094999999999"/>
    <n v="0"/>
    <s v="0"/>
    <s v="0"/>
    <s v="0"/>
    <s v="0"/>
    <n v="0"/>
    <s v="0"/>
    <m/>
    <m/>
    <m/>
    <m/>
    <m/>
    <m/>
  </r>
  <r>
    <d v="2026-04-22T00:00:00"/>
    <s v="SALES"/>
    <s v="BHARAT JEWELLERY LLC"/>
    <n v="1833.8"/>
    <n v="0.88"/>
    <n v="1613.7439999999999"/>
    <n v="7"/>
    <n v="12836.6"/>
    <n v="1833.8"/>
    <s v="0"/>
    <n v="1613.7439999999999"/>
    <s v="0"/>
    <n v="13478.43"/>
    <n v="0"/>
    <s v="0"/>
    <s v="0"/>
    <s v="0"/>
    <s v="0"/>
    <n v="0"/>
    <s v="0"/>
    <m/>
    <m/>
    <m/>
    <m/>
    <m/>
    <m/>
  </r>
  <r>
    <d v="2026-04-22T00:00:00"/>
    <s v="SALES"/>
    <s v="ABBAS GOLD CENTER LLC"/>
    <n v="782.06"/>
    <n v="0.88"/>
    <n v="688.2127999999999"/>
    <n v="10.516354243919904"/>
    <n v="8224.42"/>
    <n v="782.06"/>
    <s v="0"/>
    <n v="688.2127999999999"/>
    <s v="0"/>
    <n v="8635.6409999999996"/>
    <n v="0"/>
    <s v="0"/>
    <s v="0"/>
    <s v="0"/>
    <s v="0"/>
    <n v="0"/>
    <s v="0"/>
    <m/>
    <m/>
    <m/>
    <m/>
    <m/>
    <m/>
  </r>
  <r>
    <d v="2026-04-22T00:00:00"/>
    <s v="SALES"/>
    <s v="INDIA STAR JEWELLERY"/>
    <n v="1875.8"/>
    <n v="0.88"/>
    <n v="1650.704"/>
    <n v="9.9666009169421041"/>
    <n v="18695.349999999999"/>
    <n v="1875.8"/>
    <s v="0"/>
    <n v="1650.704"/>
    <s v="0"/>
    <n v="19630.1175"/>
    <n v="0"/>
    <s v="0"/>
    <s v="0"/>
    <s v="0"/>
    <s v="0"/>
    <n v="0"/>
    <s v="0"/>
    <m/>
    <m/>
    <m/>
    <m/>
    <m/>
    <m/>
  </r>
  <r>
    <d v="2026-04-22T00:00:00"/>
    <s v="PURCHASE"/>
    <s v="BHARAT JEWELLERY LLC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4-22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23T00:00:00"/>
    <s v="SALES"/>
    <s v="SONIYA JI GOLD HOUSE"/>
    <n v="0"/>
    <n v="0.88"/>
    <n v="0"/>
    <e v="#DIV/0!"/>
    <m/>
    <n v="0"/>
    <s v="0"/>
    <n v="0"/>
    <s v="0"/>
    <n v="0"/>
    <n v="0"/>
    <s v="0"/>
    <s v="0"/>
    <s v="0"/>
    <s v="0"/>
    <n v="0"/>
    <s v="0"/>
    <m/>
    <m/>
    <m/>
    <m/>
    <m/>
    <m/>
  </r>
  <r>
    <d v="2026-04-23T00:00:00"/>
    <s v="SALES"/>
    <s v="INDIA STAR JEWELLERY"/>
    <n v="2169.5"/>
    <n v="0.88"/>
    <n v="1909.16"/>
    <n v="3.2265038027195203"/>
    <n v="6999.9"/>
    <n v="2169.5"/>
    <s v="0"/>
    <n v="1909.16"/>
    <s v="0"/>
    <n v="7349.8949999999995"/>
    <n v="0"/>
    <s v="0"/>
    <s v="0"/>
    <s v="0"/>
    <s v="0"/>
    <n v="0"/>
    <s v="0"/>
    <m/>
    <m/>
    <m/>
    <m/>
    <m/>
    <m/>
  </r>
  <r>
    <d v="2026-04-23T00:00:00"/>
    <s v="SALES"/>
    <s v="BADSHAH JEWELLERY SHOP"/>
    <n v="1833.8"/>
    <n v="0.88"/>
    <n v="1613.7439999999999"/>
    <n v="5.5062711309848398"/>
    <n v="10097.4"/>
    <n v="1833.8"/>
    <s v="0"/>
    <n v="1613.7439999999999"/>
    <s v="0"/>
    <n v="10602.27"/>
    <n v="0"/>
    <s v="0"/>
    <s v="0"/>
    <s v="0"/>
    <s v="0"/>
    <n v="0"/>
    <s v="0"/>
    <m/>
    <m/>
    <m/>
    <m/>
    <m/>
    <m/>
  </r>
  <r>
    <d v="2026-04-23T00:00:00"/>
    <s v="SALES"/>
    <s v="UMAR GOLD SHOP"/>
    <n v="782.06"/>
    <n v="0.88"/>
    <n v="688.2127999999999"/>
    <n v="10.483850343963379"/>
    <n v="8199"/>
    <n v="782.06"/>
    <s v="0"/>
    <n v="688.2127999999999"/>
    <s v="0"/>
    <n v="8608.9500000000007"/>
    <n v="0"/>
    <s v="0"/>
    <s v="0"/>
    <s v="0"/>
    <s v="0"/>
    <n v="0"/>
    <s v="0"/>
    <m/>
    <m/>
    <m/>
    <m/>
    <n v="104.69"/>
    <n v="19.190000000000001"/>
  </r>
  <r>
    <d v="2026-04-23T00:00:00"/>
    <s v="PURCHASE"/>
    <s v="DHANANJAY JEWELLERY L.L.C"/>
    <n v="1875.8"/>
    <n v="0.995"/>
    <n v="1866.421"/>
    <n v="0"/>
    <m/>
    <s v="0"/>
    <s v="0"/>
    <s v="0"/>
    <s v="0"/>
    <n v="0"/>
    <n v="0"/>
    <n v="1875.8"/>
    <s v="0"/>
    <n v="1866.421"/>
    <s v="0"/>
    <n v="0"/>
    <s v="0"/>
    <m/>
    <m/>
    <m/>
    <m/>
    <m/>
    <m/>
  </r>
  <r>
    <d v="2026-04-23T00:00:00"/>
    <s v="PURCHASE"/>
    <s v="UMAR GOLD SHOP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4-23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23T00:00:00"/>
    <s v="PURCHASE"/>
    <s v="ABBAS GOLD CENTER LLC"/>
    <n v="495.69"/>
    <n v="0.995"/>
    <n v="493.21154999999999"/>
    <n v="0"/>
    <m/>
    <s v="0"/>
    <s v="0"/>
    <s v="0"/>
    <s v="0"/>
    <n v="0"/>
    <n v="0"/>
    <n v="495.69"/>
    <s v="0"/>
    <n v="493.21154999999999"/>
    <s v="0"/>
    <n v="0"/>
    <s v="0"/>
    <m/>
    <m/>
    <m/>
    <m/>
    <m/>
    <m/>
  </r>
  <r>
    <d v="2026-04-24T00:00:00"/>
    <s v="PURCHASE"/>
    <s v="BADSHAH JEWELLERY SHOP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24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5000"/>
    <m/>
    <m/>
    <m/>
    <m/>
    <m/>
  </r>
  <r>
    <d v="2026-04-25T00:00:00"/>
    <s v="SALES"/>
    <s v="INDIA STAR JEWELLERY"/>
    <n v="1613.7439999999999"/>
    <n v="0.88"/>
    <n v="1420.0947199999998"/>
    <n v="15.079281472154195"/>
    <n v="24334.1"/>
    <n v="1613.7439999999999"/>
    <s v="0"/>
    <n v="1420.0947199999998"/>
    <s v="0"/>
    <n v="25550.805"/>
    <n v="0"/>
    <s v="0"/>
    <s v="0"/>
    <s v="0"/>
    <s v="0"/>
    <n v="0"/>
    <s v="0"/>
    <m/>
    <m/>
    <m/>
    <m/>
    <m/>
    <m/>
  </r>
  <r>
    <d v="2026-04-25T00:00:00"/>
    <s v="SALES"/>
    <s v="HINDUSTAN JEWELLERY LLC"/>
    <n v="688.2127999999999"/>
    <n v="0.88"/>
    <n v="605.62726399999997"/>
    <n v="4.0749024139045371"/>
    <n v="2804.4"/>
    <n v="688.2127999999999"/>
    <s v="0"/>
    <n v="605.62726399999997"/>
    <s v="0"/>
    <n v="2944.62"/>
    <n v="0"/>
    <s v="0"/>
    <s v="0"/>
    <s v="0"/>
    <s v="0"/>
    <n v="0"/>
    <s v="0"/>
    <m/>
    <m/>
    <m/>
    <m/>
    <m/>
    <m/>
  </r>
  <r>
    <d v="2026-04-25T00:00:00"/>
    <s v="SALES"/>
    <s v="BHARAT JEWELLERY LLC"/>
    <n v="1866.421"/>
    <n v="0.88"/>
    <n v="1642.45048"/>
    <n v="2.7071062745222005"/>
    <n v="5052.6000000000004"/>
    <n v="1866.421"/>
    <s v="0"/>
    <n v="1642.45048"/>
    <s v="0"/>
    <n v="5305.2300000000005"/>
    <n v="0"/>
    <s v="0"/>
    <s v="0"/>
    <s v="0"/>
    <s v="0"/>
    <n v="0"/>
    <s v="0"/>
    <m/>
    <m/>
    <m/>
    <m/>
    <m/>
    <m/>
  </r>
  <r>
    <d v="2026-04-25T00:00:00"/>
    <s v="PURCHASE"/>
    <s v="BHARAT JEWELLERY LLC"/>
    <n v="1990"/>
    <n v="0.995"/>
    <n v="1980.05"/>
    <m/>
    <m/>
    <s v="0"/>
    <s v="0"/>
    <s v="0"/>
    <s v="0"/>
    <n v="0"/>
    <n v="0"/>
    <n v="1990"/>
    <s v="0"/>
    <n v="1980.05"/>
    <s v="0"/>
    <n v="0"/>
    <s v="0"/>
    <m/>
    <m/>
    <m/>
    <m/>
    <m/>
    <m/>
  </r>
  <r>
    <d v="2026-04-25T00:00:00"/>
    <s v="PURCHASE"/>
    <s v="HINDUSTAN JEWELLERY LLC"/>
    <n v="995"/>
    <n v="0.995"/>
    <n v="990.02499999999998"/>
    <m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4-25T00:00:00"/>
    <s v="PURCHASE"/>
    <s v="INDIA STAR JEWELLERY"/>
    <n v="493.21154999999999"/>
    <n v="0.995"/>
    <n v="490.74549224999998"/>
    <m/>
    <m/>
    <s v="0"/>
    <s v="0"/>
    <s v="0"/>
    <s v="0"/>
    <n v="0"/>
    <n v="0"/>
    <n v="493.21154999999999"/>
    <s v="0"/>
    <n v="490.74549224999998"/>
    <s v="0"/>
    <n v="0"/>
    <s v="0"/>
    <m/>
    <m/>
    <m/>
    <m/>
    <m/>
    <m/>
  </r>
  <r>
    <d v="2026-04-25T00:00:00"/>
    <s v="PURCHASE"/>
    <s v="ASHA RAAM GOLD JEWELLERY SHOP"/>
    <n v="328.25"/>
    <n v="0.88"/>
    <n v="288.86"/>
    <n v="2.7500076161462301"/>
    <n v="902.69"/>
    <s v="0"/>
    <s v="0"/>
    <s v="0"/>
    <s v="0"/>
    <n v="0"/>
    <n v="0"/>
    <n v="328.25"/>
    <s v="0"/>
    <n v="288.86"/>
    <s v="0"/>
    <n v="947.82450000000006"/>
    <s v="0"/>
    <m/>
    <m/>
    <m/>
    <m/>
    <m/>
    <m/>
  </r>
  <r>
    <d v="2026-04-25T00:00:00"/>
    <s v="PURCHASE"/>
    <s v="HINDUSTAN JEWELLERY LLC"/>
    <n v="425.5"/>
    <n v="0.88"/>
    <n v="374.44"/>
    <n v="5"/>
    <n v="2127.5"/>
    <s v="0"/>
    <s v="0"/>
    <s v="0"/>
    <s v="0"/>
    <n v="0"/>
    <n v="0"/>
    <n v="425.5"/>
    <s v="0"/>
    <n v="374.44"/>
    <s v="0"/>
    <n v="2233.875"/>
    <s v="0"/>
    <m/>
    <m/>
    <m/>
    <m/>
    <m/>
    <m/>
  </r>
  <r>
    <d v="2026-04-25T00:00:00"/>
    <s v="SALES RETURN"/>
    <s v="INDIA STAR JEWELLERY"/>
    <n v="214.2"/>
    <n v="0.88"/>
    <n v="188.49599999999998"/>
    <n v="10"/>
    <n v="2142"/>
    <s v="0"/>
    <n v="214.2"/>
    <s v="0"/>
    <n v="188.49599999999998"/>
    <n v="0"/>
    <n v="2249.1"/>
    <s v="0"/>
    <s v="0"/>
    <s v="0"/>
    <s v="0"/>
    <n v="0"/>
    <s v="0"/>
    <m/>
    <m/>
    <m/>
    <m/>
    <m/>
    <m/>
  </r>
  <r>
    <d v="2026-04-25T00:00:00"/>
    <s v="METAL PAYMENT"/>
    <s v="ASHA RAAM GOLD JEWELLERY SHOP"/>
    <n v="255"/>
    <n v="0.995"/>
    <n v="253.72499999999999"/>
    <n v="0"/>
    <m/>
    <s v="0"/>
    <s v="0"/>
    <s v="0"/>
    <s v="0"/>
    <n v="0"/>
    <n v="0"/>
    <s v="0"/>
    <n v="255"/>
    <s v="0"/>
    <n v="253.72499999999999"/>
    <n v="0"/>
    <n v="0"/>
    <m/>
    <m/>
    <m/>
    <m/>
    <m/>
    <m/>
  </r>
  <r>
    <d v="2026-04-25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5000"/>
    <m/>
    <m/>
    <m/>
    <m/>
    <m/>
  </r>
  <r>
    <d v="2026-04-27T00:00:00"/>
    <s v="SALES"/>
    <s v="SUMIT GOLD HUB LLC"/>
    <n v="2030.57"/>
    <n v="0.92"/>
    <n v="1868.1243999999999"/>
    <n v="3.2499987688186081"/>
    <n v="6599.35"/>
    <n v="2030.57"/>
    <s v="0"/>
    <n v="1868.1243999999999"/>
    <s v="0"/>
    <n v="6929.3175000000001"/>
    <n v="0"/>
    <s v="0"/>
    <s v="0"/>
    <s v="0"/>
    <s v="0"/>
    <n v="0"/>
    <s v="0"/>
    <m/>
    <m/>
    <m/>
    <m/>
    <m/>
    <m/>
  </r>
  <r>
    <d v="2026-04-27T00:00:00"/>
    <s v="SALES"/>
    <s v="BHARAT JEWELLERY LLC"/>
    <n v="493.7"/>
    <n v="0.88"/>
    <n v="434.45600000000002"/>
    <n v="8"/>
    <n v="3949.6"/>
    <n v="493.7"/>
    <s v="0"/>
    <n v="434.45600000000002"/>
    <s v="0"/>
    <n v="4147.08"/>
    <n v="0"/>
    <s v="0"/>
    <s v="0"/>
    <s v="0"/>
    <s v="0"/>
    <n v="0"/>
    <s v="0"/>
    <m/>
    <m/>
    <m/>
    <m/>
    <m/>
    <m/>
  </r>
  <r>
    <d v="2026-04-27T00:00:00"/>
    <s v="SALES"/>
    <s v="BADSHAH JEWELLERY SHOP"/>
    <n v="128.1"/>
    <n v="0.88"/>
    <n v="112.72799999999999"/>
    <n v="5"/>
    <n v="640.5"/>
    <n v="128.1"/>
    <s v="0"/>
    <n v="112.72799999999999"/>
    <s v="0"/>
    <n v="672.52499999999998"/>
    <n v="0"/>
    <s v="0"/>
    <s v="0"/>
    <s v="0"/>
    <s v="0"/>
    <n v="0"/>
    <s v="0"/>
    <m/>
    <m/>
    <m/>
    <m/>
    <m/>
    <m/>
  </r>
  <r>
    <d v="2026-04-27T00:00:00"/>
    <s v="SALES"/>
    <s v="VISHAL JEWELLERY LLC"/>
    <n v="1868.1243999999999"/>
    <n v="0.88"/>
    <n v="1643.949472"/>
    <n v="2.0734165240815869"/>
    <n v="3873.4"/>
    <n v="1868.1243999999999"/>
    <s v="0"/>
    <n v="1643.949472"/>
    <s v="0"/>
    <n v="4067.07"/>
    <n v="0"/>
    <s v="0"/>
    <s v="0"/>
    <s v="0"/>
    <s v="0"/>
    <n v="0"/>
    <s v="0"/>
    <m/>
    <m/>
    <m/>
    <m/>
    <m/>
    <m/>
  </r>
  <r>
    <d v="2026-04-27T00:00:00"/>
    <s v="SALES"/>
    <s v="INDIA STAR JEWELLERY"/>
    <n v="434.45600000000002"/>
    <n v="0.88"/>
    <n v="382.32128"/>
    <n v="39.817610989375218"/>
    <n v="17299"/>
    <n v="434.45600000000002"/>
    <s v="0"/>
    <n v="382.32128"/>
    <s v="0"/>
    <n v="18163.95"/>
    <n v="0"/>
    <s v="0"/>
    <s v="0"/>
    <s v="0"/>
    <s v="0"/>
    <n v="0"/>
    <s v="0"/>
    <m/>
    <m/>
    <m/>
    <m/>
    <m/>
    <m/>
  </r>
  <r>
    <d v="2026-04-27T00:00:00"/>
    <s v="SALES"/>
    <s v="VISHAL JEWELLERY LLC"/>
    <n v="112.72799999999999"/>
    <n v="0.88"/>
    <n v="99.200639999999993"/>
    <n v="45.099709034135266"/>
    <n v="5084"/>
    <n v="112.72799999999999"/>
    <s v="0"/>
    <n v="99.200639999999993"/>
    <s v="0"/>
    <n v="5338.2"/>
    <n v="0"/>
    <s v="0"/>
    <s v="0"/>
    <s v="0"/>
    <s v="0"/>
    <n v="0"/>
    <s v="0"/>
    <m/>
    <m/>
    <m/>
    <m/>
    <m/>
    <m/>
  </r>
  <r>
    <d v="2026-04-27T00:00:00"/>
    <s v="SALES"/>
    <s v="HINDUSTAN JEWELLERY LLC"/>
    <n v="566.98399999999992"/>
    <n v="0.88"/>
    <n v="498.94591999999994"/>
    <n v="3.5654445275351692"/>
    <n v="2021.55"/>
    <n v="566.98399999999992"/>
    <s v="0"/>
    <n v="498.94591999999994"/>
    <s v="0"/>
    <n v="2122.6275000000001"/>
    <n v="0"/>
    <s v="0"/>
    <s v="0"/>
    <s v="0"/>
    <s v="0"/>
    <n v="0"/>
    <s v="0"/>
    <m/>
    <m/>
    <m/>
    <m/>
    <m/>
    <m/>
  </r>
  <r>
    <d v="2026-04-27T00:00:00"/>
    <s v="SALES"/>
    <s v="OM NATH JEWELLERY LLC"/>
    <n v="1581.184"/>
    <n v="0.88"/>
    <n v="1391.44192"/>
    <n v="2.9079474621549424"/>
    <n v="4598"/>
    <n v="1581.184"/>
    <s v="0"/>
    <n v="1391.44192"/>
    <s v="0"/>
    <n v="4827.8999999999996"/>
    <n v="0"/>
    <s v="0"/>
    <s v="0"/>
    <s v="0"/>
    <s v="0"/>
    <n v="0"/>
    <s v="0"/>
    <m/>
    <m/>
    <m/>
    <m/>
    <m/>
    <m/>
  </r>
  <r>
    <d v="2026-04-27T00:00:00"/>
    <s v="PURCHASE"/>
    <s v="SUMIT GOLD HUB LLC"/>
    <n v="559.24"/>
    <n v="1"/>
    <n v="559.24"/>
    <n v="0"/>
    <m/>
    <s v="0"/>
    <s v="0"/>
    <s v="0"/>
    <s v="0"/>
    <n v="0"/>
    <n v="0"/>
    <n v="559.24"/>
    <s v="0"/>
    <n v="559.24"/>
    <s v="0"/>
    <n v="0"/>
    <s v="0"/>
    <m/>
    <m/>
    <m/>
    <m/>
    <m/>
    <m/>
  </r>
  <r>
    <d v="2026-04-27T00:00:00"/>
    <s v="PURCHASE"/>
    <s v="ABBAS GOLD CENTER LLC"/>
    <n v="324.28000000000003"/>
    <n v="0.995"/>
    <n v="322.65860000000004"/>
    <n v="0"/>
    <m/>
    <s v="0"/>
    <s v="0"/>
    <s v="0"/>
    <s v="0"/>
    <n v="0"/>
    <n v="0"/>
    <n v="324.28000000000003"/>
    <s v="0"/>
    <n v="322.65860000000004"/>
    <s v="0"/>
    <n v="0"/>
    <s v="0"/>
    <m/>
    <m/>
    <m/>
    <m/>
    <m/>
    <m/>
  </r>
  <r>
    <d v="2026-04-27T00:00:00"/>
    <s v="PURCHASE"/>
    <s v="INDIA STAR JEWELLERY"/>
    <n v="703.6"/>
    <n v="0.995"/>
    <n v="700.08199999999999"/>
    <n v="0"/>
    <m/>
    <s v="0"/>
    <s v="0"/>
    <s v="0"/>
    <s v="0"/>
    <n v="0"/>
    <n v="0"/>
    <n v="703.6"/>
    <s v="0"/>
    <n v="700.08199999999999"/>
    <s v="0"/>
    <n v="0"/>
    <s v="0"/>
    <m/>
    <m/>
    <m/>
    <m/>
    <m/>
    <m/>
  </r>
  <r>
    <d v="2026-04-27T00:00:00"/>
    <s v="PURCHASE"/>
    <s v="VISHAL JEWELLERY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27T00:00:00"/>
    <s v="PURCHASE"/>
    <s v="HINDUSTAN JEWELLERY LLC"/>
    <n v="418.5"/>
    <n v="0.995"/>
    <n v="416.40749999999997"/>
    <n v="0"/>
    <m/>
    <s v="0"/>
    <s v="0"/>
    <s v="0"/>
    <s v="0"/>
    <n v="0"/>
    <n v="0"/>
    <n v="418.5"/>
    <s v="0"/>
    <n v="416.40749999999997"/>
    <s v="0"/>
    <n v="0"/>
    <s v="0"/>
    <m/>
    <m/>
    <m/>
    <m/>
    <m/>
    <m/>
  </r>
  <r>
    <d v="2026-04-27T00:00:00"/>
    <s v="PURCHASE"/>
    <s v="OM NATH JEWELLERY LLC"/>
    <n v="359.5"/>
    <n v="0.995"/>
    <n v="357.70249999999999"/>
    <n v="0"/>
    <m/>
    <s v="0"/>
    <s v="0"/>
    <s v="0"/>
    <s v="0"/>
    <n v="0"/>
    <n v="0"/>
    <n v="359.5"/>
    <s v="0"/>
    <n v="357.70249999999999"/>
    <s v="0"/>
    <n v="0"/>
    <s v="0"/>
    <m/>
    <m/>
    <m/>
    <m/>
    <m/>
    <m/>
  </r>
  <r>
    <d v="2026-04-27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15000"/>
    <m/>
    <m/>
    <m/>
    <m/>
    <m/>
  </r>
  <r>
    <d v="2026-04-27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6930"/>
    <m/>
    <m/>
    <m/>
    <m/>
    <m/>
  </r>
  <r>
    <d v="2026-04-28T00:00:00"/>
    <s v="SALES"/>
    <s v="INDIA STAR JEWELLERY"/>
    <n v="2438.04"/>
    <n v="0.88"/>
    <n v="2145.4751999999999"/>
    <n v="10.785384981378485"/>
    <n v="26295.200000000001"/>
    <n v="2438.04"/>
    <s v="0"/>
    <n v="2145.4751999999999"/>
    <s v="0"/>
    <n v="27609.96"/>
    <n v="0"/>
    <s v="0"/>
    <s v="0"/>
    <s v="0"/>
    <s v="0"/>
    <n v="0"/>
    <s v="0"/>
    <m/>
    <m/>
    <m/>
    <m/>
    <m/>
    <m/>
  </r>
  <r>
    <d v="2026-04-28T00:00:00"/>
    <s v="SALES"/>
    <s v="SUMIT GOLD HUB LLC"/>
    <n v="944.8216000000001"/>
    <n v="0.92"/>
    <n v="869.23587200000009"/>
    <n v="3.5326139876565055"/>
    <n v="3337.69"/>
    <n v="944.8216000000001"/>
    <s v="0"/>
    <n v="869.23587200000009"/>
    <s v="0"/>
    <n v="3504.5745000000002"/>
    <n v="0"/>
    <s v="0"/>
    <s v="0"/>
    <s v="0"/>
    <s v="0"/>
    <n v="0"/>
    <s v="0"/>
    <m/>
    <m/>
    <m/>
    <m/>
    <m/>
    <m/>
  </r>
  <r>
    <d v="2026-04-28T00:00:00"/>
    <s v="PURCHASE"/>
    <s v="BADSHAH JEWELLERY SHOP"/>
    <n v="497.5"/>
    <n v="0.995"/>
    <n v="495.01249999999999"/>
    <n v="0"/>
    <m/>
    <s v="0"/>
    <s v="0"/>
    <s v="0"/>
    <s v="0"/>
    <n v="0"/>
    <n v="0"/>
    <n v="497.5"/>
    <s v="0"/>
    <n v="495.01249999999999"/>
    <s v="0"/>
    <n v="0"/>
    <s v="0"/>
    <m/>
    <m/>
    <m/>
    <m/>
    <m/>
    <m/>
  </r>
  <r>
    <d v="2026-04-28T00:00:00"/>
    <s v="PURCHASE"/>
    <s v="INDIA STAR JEWELLERY"/>
    <n v="2985"/>
    <n v="0.995"/>
    <n v="2970.0749999999998"/>
    <n v="0"/>
    <m/>
    <s v="0"/>
    <s v="0"/>
    <s v="0"/>
    <s v="0"/>
    <n v="0"/>
    <n v="0"/>
    <n v="2985"/>
    <s v="0"/>
    <n v="2970.0749999999998"/>
    <s v="0"/>
    <n v="0"/>
    <s v="0"/>
    <m/>
    <m/>
    <m/>
    <m/>
    <m/>
    <m/>
  </r>
  <r>
    <d v="2026-04-28T00:00:00"/>
    <s v="PURCHASE"/>
    <s v="SUMIT GOLD HUB LLC"/>
    <n v="944.82"/>
    <n v="1"/>
    <n v="944.82"/>
    <n v="0"/>
    <m/>
    <s v="0"/>
    <s v="0"/>
    <s v="0"/>
    <s v="0"/>
    <n v="0"/>
    <n v="0"/>
    <n v="944.82"/>
    <s v="0"/>
    <n v="944.82"/>
    <s v="0"/>
    <n v="0"/>
    <s v="0"/>
    <m/>
    <m/>
    <m/>
    <m/>
    <m/>
    <m/>
  </r>
  <r>
    <d v="2026-04-28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3505"/>
    <m/>
    <m/>
    <m/>
    <m/>
    <m/>
  </r>
  <r>
    <d v="2026-04-29T00:00:00"/>
    <s v="SALES"/>
    <s v="SUMIT GOLD HUB LLC"/>
    <n v="1166.4000000000001"/>
    <n v="0.92"/>
    <n v="1073.0880000000002"/>
    <n v="3.25"/>
    <n v="3790.8"/>
    <n v="1166.4000000000001"/>
    <s v="0"/>
    <n v="1073.0880000000002"/>
    <s v="0"/>
    <n v="3980.34"/>
    <n v="0"/>
    <s v="0"/>
    <s v="0"/>
    <s v="0"/>
    <s v="0"/>
    <n v="0"/>
    <s v="0"/>
    <m/>
    <m/>
    <m/>
    <m/>
    <m/>
    <m/>
  </r>
  <r>
    <d v="2026-04-29T00:00:00"/>
    <s v="SALES"/>
    <s v="INDIA STAR JEWELLERY"/>
    <n v="1898.7"/>
    <n v="0.88"/>
    <n v="1670.856"/>
    <n v="8.9767209143097908"/>
    <n v="17044.099999999999"/>
    <n v="1898.7"/>
    <s v="0"/>
    <n v="1670.856"/>
    <s v="0"/>
    <n v="17896.305"/>
    <n v="0"/>
    <s v="0"/>
    <s v="0"/>
    <s v="0"/>
    <s v="0"/>
    <n v="0"/>
    <s v="0"/>
    <m/>
    <m/>
    <m/>
    <m/>
    <m/>
    <m/>
  </r>
  <r>
    <d v="2026-04-29T00:00:00"/>
    <s v="PURCHASE"/>
    <s v="SUMIT GOLD HUB LL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4-29T00:00:00"/>
    <s v="PURCHASE"/>
    <s v="INDIA STAR JEWELLERY"/>
    <n v="2000"/>
    <n v="0.995"/>
    <n v="1990"/>
    <n v="0"/>
    <m/>
    <s v="0"/>
    <s v="0"/>
    <s v="0"/>
    <s v="0"/>
    <n v="0"/>
    <n v="0"/>
    <n v="2000"/>
    <s v="0"/>
    <n v="1990"/>
    <s v="0"/>
    <n v="0"/>
    <s v="0"/>
    <m/>
    <m/>
    <m/>
    <m/>
    <m/>
    <m/>
  </r>
  <r>
    <d v="2026-04-29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3980"/>
    <m/>
    <m/>
    <m/>
    <m/>
    <m/>
  </r>
  <r>
    <d v="2026-04-29T00:00:00"/>
    <s v="RECEIPT"/>
    <s v="ABBAS GOLD CENTER LLC"/>
    <m/>
    <m/>
    <n v="0"/>
    <e v="#DIV/0!"/>
    <m/>
    <s v="0"/>
    <s v="0"/>
    <s v="0"/>
    <s v="0"/>
    <n v="0"/>
    <n v="0"/>
    <s v="0"/>
    <s v="0"/>
    <s v="0"/>
    <s v="0"/>
    <n v="0"/>
    <s v="0"/>
    <m/>
    <n v="30000"/>
    <m/>
    <m/>
    <m/>
    <m/>
  </r>
  <r>
    <d v="2026-04-29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5000"/>
    <m/>
    <m/>
    <m/>
    <m/>
    <m/>
  </r>
  <r>
    <d v="2026-04-30T00:00:00"/>
    <s v="SALES"/>
    <s v="BHARAT JEWELLERY LLC"/>
    <n v="1746.4744000000001"/>
    <n v="0.88"/>
    <n v="1536.8974720000001"/>
    <n v="7.9552268272583895"/>
    <n v="13893.6"/>
    <n v="1746.4744000000001"/>
    <s v="0"/>
    <n v="1536.8974720000001"/>
    <s v="0"/>
    <n v="14588.28"/>
    <n v="0"/>
    <s v="0"/>
    <s v="0"/>
    <s v="0"/>
    <s v="0"/>
    <n v="0"/>
    <s v="0"/>
    <m/>
    <m/>
    <m/>
    <m/>
    <m/>
    <m/>
  </r>
  <r>
    <d v="2026-04-30T00:00:00"/>
    <s v="SALES"/>
    <s v="INDIA STAR JEWELLERY"/>
    <n v="2066.2400000000002"/>
    <n v="0.88"/>
    <n v="1818.2912000000001"/>
    <n v="11.667303894997676"/>
    <n v="24107.45"/>
    <n v="2066.2400000000002"/>
    <s v="0"/>
    <n v="1818.2912000000001"/>
    <s v="0"/>
    <n v="25312.822500000002"/>
    <n v="0"/>
    <s v="0"/>
    <s v="0"/>
    <s v="0"/>
    <s v="0"/>
    <n v="0"/>
    <s v="0"/>
    <m/>
    <m/>
    <m/>
    <m/>
    <m/>
    <m/>
  </r>
  <r>
    <d v="2026-04-30T00:00:00"/>
    <s v="SALES"/>
    <s v="BHARAT JEWELLERY LLC"/>
    <n v="271.04000000000002"/>
    <n v="0.88"/>
    <n v="238.51520000000002"/>
    <n v="13.052685950413222"/>
    <n v="3537.8"/>
    <n v="271.04000000000002"/>
    <s v="0"/>
    <n v="238.51520000000002"/>
    <s v="0"/>
    <n v="3714.69"/>
    <n v="0"/>
    <s v="0"/>
    <s v="0"/>
    <s v="0"/>
    <s v="0"/>
    <n v="0"/>
    <s v="0"/>
    <m/>
    <m/>
    <m/>
    <m/>
    <m/>
    <m/>
  </r>
  <r>
    <d v="2026-04-30T00:00:00"/>
    <s v="PURCHASE"/>
    <s v="ABBAS GOLD CENTER LLC"/>
    <n v="349.36439999999999"/>
    <n v="0.995"/>
    <n v="347.61757799999998"/>
    <n v="0"/>
    <m/>
    <s v="0"/>
    <s v="0"/>
    <s v="0"/>
    <s v="0"/>
    <n v="0"/>
    <n v="0"/>
    <n v="349.36439999999999"/>
    <s v="0"/>
    <n v="347.61757799999998"/>
    <s v="0"/>
    <n v="0"/>
    <s v="0"/>
    <m/>
    <m/>
    <m/>
    <m/>
    <m/>
    <m/>
  </r>
  <r>
    <d v="2026-04-30T00:00:00"/>
    <s v="PURCHASE"/>
    <s v="BHARAT JEWELLERY LLC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4-30T00:00:00"/>
    <s v="PURCHASE"/>
    <s v="HINDUSTAN JEWELLERY LLC"/>
    <n v="527.6484999999999"/>
    <n v="0.995"/>
    <n v="525.01025749999985"/>
    <n v="0"/>
    <m/>
    <s v="0"/>
    <s v="0"/>
    <s v="0"/>
    <s v="0"/>
    <n v="0"/>
    <n v="0"/>
    <n v="527.6484999999999"/>
    <s v="0"/>
    <n v="525.01025749999985"/>
    <s v="0"/>
    <n v="0"/>
    <s v="0"/>
    <m/>
    <m/>
    <m/>
    <m/>
    <m/>
    <m/>
  </r>
  <r>
    <d v="2026-04-30T00:00:00"/>
    <s v="PURCHASE"/>
    <s v="INDIA STAR JEWELLERY"/>
    <n v="3000"/>
    <n v="0.995"/>
    <n v="2985"/>
    <n v="0"/>
    <m/>
    <s v="0"/>
    <s v="0"/>
    <s v="0"/>
    <s v="0"/>
    <n v="0"/>
    <n v="0"/>
    <n v="3000"/>
    <s v="0"/>
    <n v="2985"/>
    <s v="0"/>
    <n v="0"/>
    <s v="0"/>
    <m/>
    <m/>
    <m/>
    <m/>
    <m/>
    <m/>
  </r>
  <r>
    <d v="2026-04-30T00:00:00"/>
    <s v="PURCHASE"/>
    <s v="SUMIT GOLD HUB LLC"/>
    <n v="78.53"/>
    <n v="0.995"/>
    <n v="78.137349999999998"/>
    <n v="0"/>
    <m/>
    <s v="0"/>
    <s v="0"/>
    <s v="0"/>
    <s v="0"/>
    <n v="0"/>
    <n v="0"/>
    <n v="78.53"/>
    <s v="0"/>
    <n v="78.137349999999998"/>
    <s v="0"/>
    <n v="0"/>
    <s v="0"/>
    <m/>
    <m/>
    <m/>
    <m/>
    <m/>
    <m/>
  </r>
  <r>
    <d v="2026-04-30T00:00:00"/>
    <s v="RECEIPT"/>
    <s v="BHARAT JEWELLERY LLC"/>
    <m/>
    <m/>
    <n v="0"/>
    <e v="#DIV/0!"/>
    <m/>
    <s v="0"/>
    <s v="0"/>
    <s v="0"/>
    <s v="0"/>
    <n v="0"/>
    <n v="0"/>
    <s v="0"/>
    <s v="0"/>
    <s v="0"/>
    <s v="0"/>
    <n v="0"/>
    <s v="0"/>
    <m/>
    <n v="50000"/>
    <m/>
    <m/>
    <m/>
    <m/>
  </r>
  <r>
    <d v="2026-03-02T00:00:00"/>
    <s v="SALES"/>
    <s v="INDIA STAR JEWELLERY"/>
    <n v="526.94399999999996"/>
    <n v="0.88"/>
    <n v="463.71071999999998"/>
    <n v="23.430003947288515"/>
    <n v="12346.3"/>
    <n v="526.94399999999996"/>
    <s v="0"/>
    <n v="463.71071999999998"/>
    <s v="0"/>
    <n v="12963.615"/>
    <n v="0"/>
    <s v="0"/>
    <s v="0"/>
    <s v="0"/>
    <s v="0"/>
    <n v="0"/>
    <s v="0"/>
    <m/>
    <m/>
    <m/>
    <m/>
    <m/>
    <m/>
  </r>
  <r>
    <d v="2026-03-02T00:00:00"/>
    <s v="SALES"/>
    <s v="SUMIT GOLD HUB LLC"/>
    <n v="995"/>
    <n v="0.92"/>
    <n v="915.40000000000009"/>
    <n v="6.4448040201005021"/>
    <n v="6412.58"/>
    <n v="995"/>
    <s v="0"/>
    <n v="915.40000000000009"/>
    <s v="0"/>
    <n v="6733.2089999999998"/>
    <n v="0"/>
    <s v="0"/>
    <s v="0"/>
    <s v="0"/>
    <s v="0"/>
    <n v="0"/>
    <s v="0"/>
    <m/>
    <m/>
    <m/>
    <m/>
    <m/>
    <m/>
  </r>
  <r>
    <d v="2026-03-02T00:00:00"/>
    <s v="SALES"/>
    <s v="SONIYA JI GOLD HOUSE"/>
    <n v="168.34400000000002"/>
    <n v="0.88"/>
    <n v="148.14272000000003"/>
    <n v="15.031720762248726"/>
    <n v="2530.5"/>
    <n v="168.34400000000002"/>
    <s v="0"/>
    <n v="148.14272000000003"/>
    <s v="0"/>
    <n v="2657.0250000000001"/>
    <n v="0"/>
    <s v="0"/>
    <s v="0"/>
    <s v="0"/>
    <s v="0"/>
    <n v="0"/>
    <s v="0"/>
    <m/>
    <m/>
    <m/>
    <m/>
    <m/>
    <m/>
  </r>
  <r>
    <d v="2026-03-02T00:00:00"/>
    <s v="PURCHASE"/>
    <s v="SUMIT GOLD HUB LLC"/>
    <n v="65.384"/>
    <n v="0.995"/>
    <n v="65.057079999999999"/>
    <n v="0"/>
    <m/>
    <s v="0"/>
    <s v="0"/>
    <s v="0"/>
    <s v="0"/>
    <n v="0"/>
    <n v="0"/>
    <n v="65.384"/>
    <s v="0"/>
    <n v="65.057079999999999"/>
    <s v="0"/>
    <n v="0"/>
    <s v="0"/>
    <m/>
    <m/>
    <m/>
    <m/>
    <m/>
    <m/>
  </r>
  <r>
    <d v="2026-03-02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50000"/>
    <m/>
    <m/>
    <m/>
    <m/>
    <m/>
  </r>
  <r>
    <d v="2026-03-02T00:00:00"/>
    <s v="RECEIPT"/>
    <s v="SUMIT GOLD HUB LLC"/>
    <m/>
    <m/>
    <n v="0"/>
    <e v="#DIV/0!"/>
    <m/>
    <s v="0"/>
    <s v="0"/>
    <s v="0"/>
    <s v="0"/>
    <n v="0"/>
    <n v="0"/>
    <s v="0"/>
    <s v="0"/>
    <s v="0"/>
    <s v="0"/>
    <n v="0"/>
    <s v="0"/>
    <n v="6733"/>
    <m/>
    <m/>
    <m/>
    <m/>
    <m/>
  </r>
  <r>
    <d v="2026-03-03T00:00:00"/>
    <s v="SALES"/>
    <s v="INDIA STAR JEWELLERY"/>
    <n v="598.79999999999995"/>
    <n v="0.88"/>
    <n v="526.94399999999996"/>
    <n v="11.158149632598532"/>
    <n v="6681.5"/>
    <n v="598.79999999999995"/>
    <s v="0"/>
    <n v="526.94399999999996"/>
    <s v="0"/>
    <n v="7015.5749999999998"/>
    <n v="0"/>
    <s v="0"/>
    <s v="0"/>
    <s v="0"/>
    <s v="0"/>
    <n v="0"/>
    <s v="0"/>
    <m/>
    <m/>
    <m/>
    <m/>
    <m/>
    <m/>
  </r>
  <r>
    <d v="2026-03-03T00:00:00"/>
    <s v="PURCHASE"/>
    <s v="INDIA STAR JEWELLERY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3-04T00:00:00"/>
    <s v="SALES"/>
    <s v="INDIA STAR JEWELLERY"/>
    <n v="191.3"/>
    <n v="0.88"/>
    <n v="168.34400000000002"/>
    <n v="12.771040250914792"/>
    <n v="2443.1"/>
    <n v="191.3"/>
    <s v="0"/>
    <n v="168.34400000000002"/>
    <s v="0"/>
    <n v="2565.2550000000001"/>
    <n v="0"/>
    <s v="0"/>
    <s v="0"/>
    <s v="0"/>
    <s v="0"/>
    <n v="0"/>
    <s v="0"/>
    <m/>
    <m/>
    <m/>
    <m/>
    <m/>
    <m/>
  </r>
  <r>
    <d v="2026-03-04T00:00:00"/>
    <s v="SALES"/>
    <s v="DHANANJAY JEWELLERY L.L.C"/>
    <n v="74.3"/>
    <n v="0.88"/>
    <n v="65.384"/>
    <n v="3"/>
    <n v="222.9"/>
    <n v="74.3"/>
    <s v="0"/>
    <n v="65.384"/>
    <s v="0"/>
    <n v="234.04500000000002"/>
    <n v="0"/>
    <s v="0"/>
    <s v="0"/>
    <s v="0"/>
    <s v="0"/>
    <n v="0"/>
    <s v="0"/>
    <m/>
    <m/>
    <m/>
    <m/>
    <m/>
    <m/>
  </r>
  <r>
    <d v="2026-03-04T00:00:00"/>
    <s v="PURCHASE"/>
    <s v="ABBAS GOLD CENTER LLC"/>
    <n v="400.43"/>
    <n v="0.995"/>
    <n v="398.42784999999998"/>
    <n v="0"/>
    <m/>
    <s v="0"/>
    <s v="0"/>
    <s v="0"/>
    <s v="0"/>
    <n v="0"/>
    <n v="0"/>
    <n v="400.43"/>
    <s v="0"/>
    <n v="398.42784999999998"/>
    <s v="0"/>
    <n v="0"/>
    <s v="0"/>
    <m/>
    <m/>
    <m/>
    <m/>
    <m/>
    <m/>
  </r>
  <r>
    <d v="2026-03-04T00:00:00"/>
    <s v="PURCHASE"/>
    <s v="HINDUSTAN JEWELLERY LLC"/>
    <n v="387.4"/>
    <n v="0.995"/>
    <n v="385.46299999999997"/>
    <n v="0"/>
    <m/>
    <s v="0"/>
    <s v="0"/>
    <s v="0"/>
    <s v="0"/>
    <n v="0"/>
    <n v="0"/>
    <n v="387.4"/>
    <s v="0"/>
    <n v="385.46299999999997"/>
    <s v="0"/>
    <n v="0"/>
    <s v="0"/>
    <m/>
    <m/>
    <m/>
    <m/>
    <m/>
    <m/>
  </r>
  <r>
    <d v="2026-03-04T00:00:00"/>
    <s v="RECEIPT"/>
    <s v="SONIYA JI GOLD HOUSE"/>
    <m/>
    <m/>
    <n v="0"/>
    <e v="#DIV/0!"/>
    <m/>
    <s v="0"/>
    <s v="0"/>
    <s v="0"/>
    <s v="0"/>
    <n v="0"/>
    <n v="0"/>
    <s v="0"/>
    <s v="0"/>
    <s v="0"/>
    <s v="0"/>
    <n v="0"/>
    <s v="0"/>
    <n v="20000"/>
    <m/>
    <m/>
    <m/>
    <m/>
    <m/>
  </r>
  <r>
    <d v="2026-03-04T00:00:00"/>
    <s v="RECEIPT"/>
    <s v="HINDUSTAN JEWELLERY LLC"/>
    <m/>
    <m/>
    <n v="0"/>
    <e v="#DIV/0!"/>
    <m/>
    <s v="0"/>
    <s v="0"/>
    <s v="0"/>
    <s v="0"/>
    <n v="0"/>
    <n v="0"/>
    <s v="0"/>
    <s v="0"/>
    <s v="0"/>
    <s v="0"/>
    <n v="0"/>
    <s v="0"/>
    <m/>
    <n v="35000"/>
    <m/>
    <m/>
    <m/>
    <m/>
  </r>
  <r>
    <d v="2026-03-05T00:00:00"/>
    <s v="PURCHASE"/>
    <s v="BADSHAH JEWELLERY SHOP"/>
    <n v="75.389160000000004"/>
    <n v="0.995"/>
    <n v="75.012214200000003"/>
    <n v="0"/>
    <m/>
    <s v="0"/>
    <s v="0"/>
    <s v="0"/>
    <s v="0"/>
    <n v="0"/>
    <n v="0"/>
    <n v="75.389160000000004"/>
    <s v="0"/>
    <n v="75.012214200000003"/>
    <s v="0"/>
    <n v="0"/>
    <s v="0"/>
    <m/>
    <m/>
    <m/>
    <m/>
    <m/>
    <m/>
  </r>
  <r>
    <d v="2026-03-05T00:00:00"/>
    <s v="PURCHASE"/>
    <s v="INDIA STAR JEWELLERY"/>
    <n v="502.47728849999999"/>
    <n v="0.995"/>
    <n v="499.96490205750001"/>
    <n v="0"/>
    <m/>
    <s v="0"/>
    <s v="0"/>
    <s v="0"/>
    <s v="0"/>
    <n v="0"/>
    <n v="0"/>
    <n v="502.47728849999999"/>
    <s v="0"/>
    <n v="499.96490205750001"/>
    <s v="0"/>
    <n v="0"/>
    <s v="0"/>
    <m/>
    <m/>
    <m/>
    <m/>
    <m/>
    <m/>
  </r>
  <r>
    <d v="2026-03-06T00:00:00"/>
    <s v="SALES"/>
    <s v="INDIA STAR JEWELLERY"/>
    <n v="865.24900000000002"/>
    <n v="0.88"/>
    <n v="761.41912000000002"/>
    <n v="21.581128669319465"/>
    <n v="18673.05"/>
    <n v="865.24900000000002"/>
    <s v="0"/>
    <n v="761.41912000000002"/>
    <s v="0"/>
    <n v="19606.702499999999"/>
    <n v="0"/>
    <s v="0"/>
    <s v="0"/>
    <s v="0"/>
    <s v="0"/>
    <n v="0"/>
    <s v="0"/>
    <m/>
    <m/>
    <m/>
    <m/>
    <m/>
    <m/>
  </r>
  <r>
    <d v="2026-03-06T00:00:00"/>
    <s v="SALES"/>
    <s v="INDIA STAR JEWELLERY"/>
    <n v="104.54464999999999"/>
    <n v="0.88"/>
    <n v="91.999291999999997"/>
    <n v="33.317821619757687"/>
    <n v="3483.2"/>
    <n v="104.54464999999999"/>
    <s v="0"/>
    <n v="91.999291999999997"/>
    <s v="0"/>
    <n v="3657.3599999999997"/>
    <n v="0"/>
    <s v="0"/>
    <s v="0"/>
    <s v="0"/>
    <s v="0"/>
    <n v="0"/>
    <s v="0"/>
    <m/>
    <m/>
    <m/>
    <m/>
    <m/>
    <m/>
  </r>
  <r>
    <d v="2026-03-07T00:00:00"/>
    <s v="SALES"/>
    <s v="SONIYA JI GOLD HOUSE"/>
    <n v="995"/>
    <n v="0.88"/>
    <n v="875.6"/>
    <n v="0.60572864321608044"/>
    <n v="602.70000000000005"/>
    <n v="995"/>
    <s v="0"/>
    <n v="875.6"/>
    <s v="0"/>
    <n v="632.83500000000004"/>
    <n v="0"/>
    <s v="0"/>
    <s v="0"/>
    <s v="0"/>
    <s v="0"/>
    <n v="0"/>
    <s v="0"/>
    <m/>
    <m/>
    <m/>
    <m/>
    <m/>
    <m/>
  </r>
  <r>
    <d v="2026-03-07T00:00:00"/>
    <s v="PURCHASE"/>
    <s v="YOGI JI PURE GOLD SHOP"/>
    <n v="1662.76"/>
    <n v="0.995"/>
    <n v="1654.4462000000001"/>
    <n v="0"/>
    <m/>
    <s v="0"/>
    <s v="0"/>
    <s v="0"/>
    <s v="0"/>
    <n v="0"/>
    <n v="0"/>
    <n v="1662.76"/>
    <s v="0"/>
    <n v="1654.4462000000001"/>
    <s v="0"/>
    <n v="0"/>
    <s v="0"/>
    <m/>
    <m/>
    <m/>
    <m/>
    <m/>
    <m/>
  </r>
  <r>
    <d v="2026-03-09T00:00:00"/>
    <s v="SALES"/>
    <s v="INDIA STAR JEWELLERY"/>
    <n v="263.64800000000002"/>
    <n v="0.88"/>
    <n v="232.01024000000001"/>
    <n v="57.169407695108625"/>
    <n v="15072.6"/>
    <n v="263.64800000000002"/>
    <s v="0"/>
    <n v="232.01024000000001"/>
    <s v="0"/>
    <n v="15826.23"/>
    <n v="0"/>
    <s v="0"/>
    <s v="0"/>
    <s v="0"/>
    <s v="0"/>
    <n v="0"/>
    <s v="0"/>
    <m/>
    <m/>
    <m/>
    <m/>
    <m/>
    <m/>
  </r>
  <r>
    <d v="2026-03-09T00:00:00"/>
    <s v="PURCHASE"/>
    <s v="BHARAT JEWELLERY LLC"/>
    <n v="75.768000000000001"/>
    <n v="0.995"/>
    <n v="75.389160000000004"/>
    <n v="0"/>
    <m/>
    <s v="0"/>
    <s v="0"/>
    <s v="0"/>
    <s v="0"/>
    <n v="0"/>
    <n v="0"/>
    <n v="75.768000000000001"/>
    <s v="0"/>
    <n v="75.389160000000004"/>
    <s v="0"/>
    <n v="0"/>
    <s v="0"/>
    <m/>
    <m/>
    <m/>
    <m/>
    <m/>
    <m/>
  </r>
  <r>
    <d v="2026-03-09T00:00:00"/>
    <s v="PURCHASE"/>
    <s v="HINDUSTAN JEWELLERY LLC"/>
    <n v="505.00229999999999"/>
    <n v="0.995"/>
    <n v="502.47728849999999"/>
    <n v="0"/>
    <m/>
    <s v="0"/>
    <s v="0"/>
    <s v="0"/>
    <s v="0"/>
    <n v="0"/>
    <n v="0"/>
    <n v="505.00229999999999"/>
    <s v="0"/>
    <n v="502.47728849999999"/>
    <s v="0"/>
    <n v="0"/>
    <s v="0"/>
    <m/>
    <m/>
    <m/>
    <m/>
    <m/>
    <m/>
  </r>
  <r>
    <d v="2026-03-09T00:00:00"/>
    <s v="PURCHASE"/>
    <s v="OSAMA BIN LADEN GOLD SHOP"/>
    <n v="988.85599999999999"/>
    <n v="0.875"/>
    <n v="865.24900000000002"/>
    <n v="1.2082649040911921"/>
    <n v="1194.8"/>
    <s v="0"/>
    <s v="0"/>
    <s v="0"/>
    <s v="0"/>
    <n v="0"/>
    <n v="0"/>
    <n v="988.85599999999999"/>
    <s v="0"/>
    <n v="865.24900000000002"/>
    <s v="0"/>
    <n v="1254.54"/>
    <s v="0"/>
    <m/>
    <m/>
    <m/>
    <m/>
    <m/>
    <m/>
  </r>
  <r>
    <d v="2026-03-09T00:00:00"/>
    <s v="METAL PAYMENT"/>
    <s v="OSAMA BIN LADEN GOLD SHOP"/>
    <n v="105.07"/>
    <n v="0.995"/>
    <n v="104.54464999999999"/>
    <n v="0"/>
    <m/>
    <s v="0"/>
    <s v="0"/>
    <s v="0"/>
    <s v="0"/>
    <n v="0"/>
    <n v="0"/>
    <s v="0"/>
    <n v="105.07"/>
    <s v="0"/>
    <n v="104.54464999999999"/>
    <n v="0"/>
    <n v="0"/>
    <m/>
    <m/>
    <m/>
    <m/>
    <m/>
    <m/>
  </r>
  <r>
    <d v="2026-03-09T00:00:00"/>
    <s v="RECEIPT"/>
    <s v="INDIA STAR JEWELLERY"/>
    <m/>
    <m/>
    <n v="0"/>
    <e v="#DIV/0!"/>
    <m/>
    <s v="0"/>
    <s v="0"/>
    <s v="0"/>
    <s v="0"/>
    <n v="0"/>
    <n v="0"/>
    <s v="0"/>
    <s v="0"/>
    <s v="0"/>
    <s v="0"/>
    <n v="0"/>
    <s v="0"/>
    <n v="50000"/>
    <m/>
    <m/>
    <m/>
    <m/>
    <m/>
  </r>
  <r>
    <d v="2026-03-10T00:00:00"/>
    <s v="SALES"/>
    <s v="SONIYA JI GOLD HOUSE"/>
    <n v="159.69999999999999"/>
    <n v="0.88"/>
    <n v="140.536"/>
    <n v="10"/>
    <n v="1597"/>
    <n v="159.69999999999999"/>
    <s v="0"/>
    <n v="140.536"/>
    <s v="0"/>
    <n v="1676.85"/>
    <n v="0"/>
    <s v="0"/>
    <s v="0"/>
    <s v="0"/>
    <s v="0"/>
    <n v="0"/>
    <s v="0"/>
    <m/>
    <m/>
    <m/>
    <m/>
    <m/>
    <m/>
  </r>
  <r>
    <d v="2026-03-10T00:00:00"/>
    <s v="PURCHASE"/>
    <s v="ABBAS GOLD CENTER LLC"/>
    <n v="301.68"/>
    <n v="0.995"/>
    <n v="300.17160000000001"/>
    <n v="0"/>
    <m/>
    <s v="0"/>
    <s v="0"/>
    <s v="0"/>
    <s v="0"/>
    <n v="0"/>
    <n v="0"/>
    <n v="301.68"/>
    <s v="0"/>
    <n v="300.17160000000001"/>
    <s v="0"/>
    <n v="0"/>
    <s v="0"/>
    <m/>
    <m/>
    <m/>
    <m/>
    <m/>
    <m/>
  </r>
  <r>
    <d v="2026-03-10T00:00:00"/>
    <s v="PURCHASE"/>
    <s v="INDIA STAR JEWELLERY"/>
    <n v="567.9"/>
    <n v="0.995"/>
    <n v="565.06049999999993"/>
    <n v="0"/>
    <m/>
    <s v="0"/>
    <s v="0"/>
    <s v="0"/>
    <s v="0"/>
    <n v="0"/>
    <n v="0"/>
    <n v="567.9"/>
    <s v="0"/>
    <n v="565.06049999999993"/>
    <s v="0"/>
    <n v="0"/>
    <s v="0"/>
    <m/>
    <m/>
    <m/>
    <m/>
    <m/>
    <m/>
  </r>
  <r>
    <d v="2026-03-11T00:00:00"/>
    <s v="SALES"/>
    <s v="SONIYA JI GOLD HOUSE"/>
    <n v="78.8"/>
    <n v="0.88"/>
    <n v="69.343999999999994"/>
    <n v="4"/>
    <n v="315.2"/>
    <n v="78.8"/>
    <s v="0"/>
    <n v="69.343999999999994"/>
    <s v="0"/>
    <n v="330.96"/>
    <n v="0"/>
    <s v="0"/>
    <s v="0"/>
    <s v="0"/>
    <s v="0"/>
    <n v="0"/>
    <s v="0"/>
    <m/>
    <m/>
    <m/>
    <m/>
    <m/>
    <m/>
  </r>
  <r>
    <d v="2026-03-11T00:00:00"/>
    <s v="PURCHASE"/>
    <s v="OSAMA BIN LADEN GOLD SHOP"/>
    <n v="20.52"/>
    <n v="0.995"/>
    <n v="20.417400000000001"/>
    <n v="0"/>
    <m/>
    <s v="0"/>
    <s v="0"/>
    <s v="0"/>
    <s v="0"/>
    <n v="0"/>
    <n v="0"/>
    <n v="20.52"/>
    <s v="0"/>
    <n v="20.417400000000001"/>
    <s v="0"/>
    <n v="0"/>
    <s v="0"/>
    <m/>
    <m/>
    <m/>
    <m/>
    <m/>
    <m/>
  </r>
  <r>
    <d v="2026-03-11T00:00:00"/>
    <s v="PURCHASE"/>
    <s v="DHANANJAY JEWELLERY L.L.C"/>
    <n v="1000"/>
    <n v="0.995"/>
    <n v="995"/>
    <n v="0"/>
    <m/>
    <s v="0"/>
    <s v="0"/>
    <s v="0"/>
    <s v="0"/>
    <n v="0"/>
    <n v="0"/>
    <n v="1000"/>
    <s v="0"/>
    <n v="995"/>
    <s v="0"/>
    <n v="0"/>
    <s v="0"/>
    <m/>
    <m/>
    <m/>
    <m/>
    <m/>
    <m/>
  </r>
  <r>
    <d v="2026-03-11T00:00:00"/>
    <s v="PAYMENT"/>
    <s v="OSAMA BIN LADEN GOLD SHOP"/>
    <m/>
    <m/>
    <n v="0"/>
    <e v="#DIV/0!"/>
    <m/>
    <s v="0"/>
    <s v="0"/>
    <s v="0"/>
    <s v="0"/>
    <n v="0"/>
    <n v="0"/>
    <s v="0"/>
    <s v="0"/>
    <s v="0"/>
    <s v="0"/>
    <n v="0"/>
    <s v="0"/>
    <m/>
    <m/>
    <n v="2350"/>
    <m/>
    <m/>
    <m/>
  </r>
  <r>
    <d v="2026-03-12T00:00:00"/>
    <s v="PURCHASE"/>
    <s v="HINDUSTAN JEWELLERY LLC"/>
    <n v="399.61369100000002"/>
    <n v="0.995"/>
    <n v="397.61562254500001"/>
    <n v="0"/>
    <m/>
    <s v="0"/>
    <s v="0"/>
    <s v="0"/>
    <s v="0"/>
    <n v="0"/>
    <n v="0"/>
    <n v="399.61369100000002"/>
    <s v="0"/>
    <n v="397.61562254500001"/>
    <s v="0"/>
    <n v="0"/>
    <s v="0"/>
    <m/>
    <m/>
    <m/>
    <m/>
    <m/>
    <m/>
  </r>
  <r>
    <d v="2026-03-14T00:00:00"/>
    <s v="SALES"/>
    <s v="OM NATH JEWELLERY LLC"/>
    <n v="497.9975"/>
    <n v="0.88"/>
    <n v="438.23779999999999"/>
    <n v="4.0421889668120823"/>
    <n v="2013"/>
    <n v="497.9975"/>
    <s v="0"/>
    <n v="438.23779999999999"/>
    <s v="0"/>
    <n v="2113.65"/>
    <n v="0"/>
    <s v="0"/>
    <s v="0"/>
    <s v="0"/>
    <s v="0"/>
    <n v="0"/>
    <s v="0"/>
    <m/>
    <m/>
    <m/>
    <m/>
    <m/>
    <m/>
  </r>
  <r>
    <d v="2026-03-14T00:00:00"/>
    <s v="SALES RETURN"/>
    <s v="INDIA STAR JEWELLERY"/>
    <n v="177.14400000000001"/>
    <n v="0.88"/>
    <n v="155.88672"/>
    <n v="25.317538273946621"/>
    <n v="4484.8500000000004"/>
    <s v="0"/>
    <n v="177.14400000000001"/>
    <s v="0"/>
    <n v="155.88672"/>
    <n v="0"/>
    <n v="4709.0925000000007"/>
    <s v="0"/>
    <s v="0"/>
    <s v="0"/>
    <s v="0"/>
    <n v="0"/>
    <s v="0"/>
    <m/>
    <m/>
    <m/>
    <m/>
    <m/>
    <m/>
  </r>
  <r>
    <d v="2026-03-16T00:00:00"/>
    <s v="SALES"/>
    <s v="INDIA STAR JEWELLERY"/>
    <n v="382.00800000000004"/>
    <n v="0.88"/>
    <n v="336.16704000000004"/>
    <n v="10.697158174697911"/>
    <n v="4086.4"/>
    <n v="382.00800000000004"/>
    <s v="0"/>
    <n v="336.16704000000004"/>
    <s v="0"/>
    <n v="4290.72"/>
    <n v="0"/>
    <s v="0"/>
    <s v="0"/>
    <s v="0"/>
    <s v="0"/>
    <n v="0"/>
    <s v="0"/>
    <m/>
    <m/>
    <m/>
    <m/>
    <m/>
    <m/>
  </r>
  <r>
    <d v="2026-03-16T00:00:00"/>
    <s v="PURCHASE"/>
    <s v="INDIA STAR JEWELLERY"/>
    <n v="519.20000000000005"/>
    <n v="0.995"/>
    <n v="516.60400000000004"/>
    <n v="0"/>
    <m/>
    <s v="0"/>
    <s v="0"/>
    <s v="0"/>
    <s v="0"/>
    <n v="0"/>
    <n v="0"/>
    <n v="519.20000000000005"/>
    <s v="0"/>
    <n v="516.60400000000004"/>
    <s v="0"/>
    <n v="0"/>
    <s v="0"/>
    <m/>
    <m/>
    <m/>
    <m/>
    <m/>
    <m/>
  </r>
  <r>
    <d v="2026-03-16T00:00:00"/>
    <s v="PURCHASE"/>
    <s v="ABBAS GOLD CENTER LLC"/>
    <n v="995"/>
    <n v="0.995"/>
    <n v="990.02499999999998"/>
    <n v="0"/>
    <m/>
    <s v="0"/>
    <s v="0"/>
    <s v="0"/>
    <s v="0"/>
    <n v="0"/>
    <n v="0"/>
    <n v="995"/>
    <s v="0"/>
    <n v="990.02499999999998"/>
    <s v="0"/>
    <n v="0"/>
    <s v="0"/>
    <m/>
    <m/>
    <m/>
    <m/>
    <m/>
    <m/>
  </r>
  <r>
    <d v="2026-03-17T00:00:00"/>
    <s v="PURCHASE"/>
    <s v="BADSHAH JEWELLERY SHOP"/>
    <n v="401.62180000000001"/>
    <n v="0.995"/>
    <n v="399.61369100000002"/>
    <n v="0"/>
    <m/>
    <s v="0"/>
    <s v="0"/>
    <s v="0"/>
    <s v="0"/>
    <n v="0"/>
    <n v="0"/>
    <n v="401.62180000000001"/>
    <s v="0"/>
    <n v="399.61369100000002"/>
    <s v="0"/>
    <n v="0"/>
    <s v="0"/>
    <m/>
    <m/>
    <m/>
    <m/>
    <m/>
    <m/>
  </r>
  <r>
    <d v="2026-03-05T00:00:00"/>
    <s v="RECEIPT"/>
    <s v="DHANANJAY JEWELLERY L.L.C"/>
    <m/>
    <m/>
    <n v="0"/>
    <e v="#DIV/0!"/>
    <m/>
    <s v="0"/>
    <s v="0"/>
    <s v="0"/>
    <s v="0"/>
    <n v="0"/>
    <n v="0"/>
    <s v="0"/>
    <s v="0"/>
    <s v="0"/>
    <s v="0"/>
    <n v="0"/>
    <s v="0"/>
    <m/>
    <n v="30000"/>
    <m/>
    <m/>
    <m/>
    <m/>
  </r>
  <r>
    <d v="2026-03-05T00:00:00"/>
    <s v="RECEIPT"/>
    <s v="BADSHAH JEWELLERY SHOP"/>
    <m/>
    <m/>
    <n v="0"/>
    <e v="#DIV/0!"/>
    <m/>
    <s v="0"/>
    <s v="0"/>
    <s v="0"/>
    <s v="0"/>
    <n v="0"/>
    <n v="0"/>
    <s v="0"/>
    <s v="0"/>
    <s v="0"/>
    <s v="0"/>
    <n v="0"/>
    <s v="0"/>
    <m/>
    <n v="25000"/>
    <m/>
    <m/>
    <m/>
    <m/>
  </r>
  <r>
    <d v="2026-03-05T00:00:00"/>
    <s v="RECEIPT"/>
    <s v="BAGPAT GOLD HUB"/>
    <m/>
    <m/>
    <n v="0"/>
    <e v="#DIV/0!"/>
    <m/>
    <s v="0"/>
    <s v="0"/>
    <s v="0"/>
    <s v="0"/>
    <n v="0"/>
    <n v="0"/>
    <s v="0"/>
    <s v="0"/>
    <s v="0"/>
    <s v="0"/>
    <n v="0"/>
    <s v="0"/>
    <m/>
    <n v="3000"/>
    <m/>
    <m/>
    <m/>
    <m/>
  </r>
  <r>
    <d v="2026-03-05T00:00:00"/>
    <s v="RECEIPT"/>
    <s v="ALI ABBAS GOLD SHOP"/>
    <m/>
    <m/>
    <n v="0"/>
    <e v="#DIV/0!"/>
    <m/>
    <s v="0"/>
    <s v="0"/>
    <s v="0"/>
    <s v="0"/>
    <n v="0"/>
    <n v="0"/>
    <s v="0"/>
    <s v="0"/>
    <s v="0"/>
    <s v="0"/>
    <n v="0"/>
    <s v="0"/>
    <m/>
    <n v="15000"/>
    <m/>
    <m/>
    <m/>
    <m/>
  </r>
  <r>
    <d v="2026-03-05T00:00:00"/>
    <s v="RECEIPT"/>
    <s v="UMAR GOLD SHOP"/>
    <m/>
    <m/>
    <n v="0"/>
    <e v="#DIV/0!"/>
    <m/>
    <s v="0"/>
    <s v="0"/>
    <s v="0"/>
    <s v="0"/>
    <n v="0"/>
    <n v="0"/>
    <s v="0"/>
    <s v="0"/>
    <s v="0"/>
    <s v="0"/>
    <n v="0"/>
    <s v="0"/>
    <m/>
    <n v="29400"/>
    <m/>
    <m/>
    <m/>
    <m/>
  </r>
  <r>
    <d v="2026-03-07T00:00:00"/>
    <s v="RECEIPT"/>
    <s v="VISHAL JEWELLERY LLC"/>
    <m/>
    <m/>
    <n v="0"/>
    <e v="#DIV/0!"/>
    <m/>
    <s v="0"/>
    <s v="0"/>
    <s v="0"/>
    <s v="0"/>
    <n v="0"/>
    <n v="0"/>
    <s v="0"/>
    <s v="0"/>
    <s v="0"/>
    <s v="0"/>
    <n v="0"/>
    <s v="0"/>
    <m/>
    <n v="10000"/>
    <m/>
    <m/>
    <m/>
    <m/>
  </r>
  <r>
    <d v="2026-03-18T00:00:00"/>
    <s v="RECEIPT"/>
    <s v="ABBAS GOLD CENTER LLC"/>
    <m/>
    <m/>
    <n v="0"/>
    <e v="#DIV/0!"/>
    <m/>
    <s v="0"/>
    <s v="0"/>
    <s v="0"/>
    <s v="0"/>
    <n v="0"/>
    <n v="0"/>
    <s v="0"/>
    <s v="0"/>
    <s v="0"/>
    <s v="0"/>
    <n v="0"/>
    <s v="0"/>
    <m/>
    <n v="20000"/>
    <m/>
    <m/>
    <m/>
    <m/>
  </r>
  <r>
    <d v="2026-03-18T00:00:00"/>
    <s v="RECEIPT"/>
    <s v="ALI ABBAS GOLD SHOP"/>
    <m/>
    <m/>
    <n v="0"/>
    <e v="#DIV/0!"/>
    <m/>
    <s v="0"/>
    <s v="0"/>
    <s v="0"/>
    <s v="0"/>
    <n v="0"/>
    <n v="0"/>
    <s v="0"/>
    <s v="0"/>
    <s v="0"/>
    <s v="0"/>
    <n v="0"/>
    <s v="0"/>
    <m/>
    <n v="10000"/>
    <m/>
    <m/>
    <m/>
    <m/>
  </r>
  <r>
    <d v="2026-03-23T00:00:00"/>
    <s v="SALES"/>
    <s v="SONIYA JI GOLD HOUSE"/>
    <n v="248.3"/>
    <n v="0.88"/>
    <n v="218.50400000000002"/>
    <n v="8.7442609746274655"/>
    <n v="2171.1999999999998"/>
    <n v="248.3"/>
    <s v="0"/>
    <n v="218.50400000000002"/>
    <s v="0"/>
    <n v="2279.7599999999998"/>
    <n v="0"/>
    <s v="0"/>
    <s v="0"/>
    <s v="0"/>
    <s v="0"/>
    <n v="0"/>
    <s v="0"/>
    <m/>
    <m/>
    <m/>
    <m/>
    <m/>
    <m/>
  </r>
  <r>
    <d v="2026-03-24T00:00:00"/>
    <s v="PURCHASE"/>
    <s v="ABBAS GOLD CENTER LLC"/>
    <n v="302.04000000000002"/>
    <n v="0.995"/>
    <n v="300.52980000000002"/>
    <n v="0"/>
    <m/>
    <s v="0"/>
    <s v="0"/>
    <s v="0"/>
    <s v="0"/>
    <n v="0"/>
    <n v="0"/>
    <n v="302.04000000000002"/>
    <s v="0"/>
    <n v="300.52980000000002"/>
    <s v="0"/>
    <n v="0"/>
    <s v="0"/>
    <m/>
    <m/>
    <m/>
    <m/>
    <m/>
    <m/>
  </r>
  <r>
    <d v="2026-03-25T00:00:00"/>
    <s v="RECEIPT"/>
    <s v="BABA RAMDEV AYURVEDIC GOLD"/>
    <m/>
    <m/>
    <n v="0"/>
    <e v="#DIV/0!"/>
    <m/>
    <s v="0"/>
    <s v="0"/>
    <s v="0"/>
    <s v="0"/>
    <n v="0"/>
    <n v="0"/>
    <s v="0"/>
    <s v="0"/>
    <s v="0"/>
    <s v="0"/>
    <n v="0"/>
    <s v="0"/>
    <m/>
    <n v="9749"/>
    <m/>
    <m/>
    <m/>
    <m/>
  </r>
  <r>
    <d v="2026-03-26T00:00:00"/>
    <s v="PURCHASE"/>
    <s v="BHARAT JEWELLERY LLC"/>
    <n v="352"/>
    <n v="0.995"/>
    <n v="350.24"/>
    <n v="0"/>
    <m/>
    <s v="0"/>
    <s v="0"/>
    <s v="0"/>
    <s v="0"/>
    <n v="0"/>
    <n v="0"/>
    <n v="352"/>
    <s v="0"/>
    <n v="350.24"/>
    <s v="0"/>
    <n v="0"/>
    <s v="0"/>
    <m/>
    <m/>
    <m/>
    <m/>
    <m/>
    <m/>
  </r>
  <r>
    <d v="2026-03-26T00:00:00"/>
    <s v="PURCHASE"/>
    <s v="BADSHAH JEWELLERY SHOP"/>
    <n v="45.408000000000001"/>
    <n v="0.995"/>
    <n v="45.180959999999999"/>
    <n v="0"/>
    <m/>
    <s v="0"/>
    <s v="0"/>
    <s v="0"/>
    <s v="0"/>
    <n v="0"/>
    <n v="0"/>
    <n v="45.408000000000001"/>
    <s v="0"/>
    <n v="45.180959999999999"/>
    <s v="0"/>
    <n v="0"/>
    <s v="0"/>
    <m/>
    <m/>
    <m/>
    <m/>
    <m/>
    <m/>
  </r>
  <r>
    <d v="2026-03-28T00:00:00"/>
    <s v="SALES"/>
    <s v="ABBAS GOLD CENTER LLC"/>
    <n v="287.76"/>
    <n v="0.88"/>
    <n v="253.22880000000001"/>
    <n v="23.472616068946344"/>
    <n v="6754.48"/>
    <n v="287.76"/>
    <s v="0"/>
    <n v="253.22880000000001"/>
    <s v="0"/>
    <n v="7092.2039999999997"/>
    <n v="0"/>
    <s v="0"/>
    <s v="0"/>
    <s v="0"/>
    <s v="0"/>
    <n v="0"/>
    <s v="0"/>
    <m/>
    <m/>
    <m/>
    <m/>
    <m/>
    <m/>
  </r>
  <r>
    <d v="2026-03-28T00:00:00"/>
    <s v="PURCHASE"/>
    <s v="ABBAS GOLD CENTER LLC"/>
    <n v="766.83199999999999"/>
    <n v="0.995"/>
    <n v="762.99784"/>
    <n v="0"/>
    <m/>
    <s v="0"/>
    <s v="0"/>
    <s v="0"/>
    <s v="0"/>
    <n v="0"/>
    <n v="0"/>
    <n v="766.83199999999999"/>
    <s v="0"/>
    <n v="762.99784"/>
    <s v="0"/>
    <n v="0"/>
    <s v="0"/>
    <m/>
    <m/>
    <m/>
    <m/>
    <m/>
    <m/>
  </r>
  <r>
    <d v="2026-03-28T00:00:00"/>
    <s v="PURCHASE"/>
    <s v="HINDUSTAN JEWELLERY LLC"/>
    <n v="75.944000000000003"/>
    <n v="0.995"/>
    <n v="75.564279999999997"/>
    <n v="0"/>
    <m/>
    <s v="0"/>
    <s v="0"/>
    <s v="0"/>
    <s v="0"/>
    <n v="0"/>
    <n v="0"/>
    <n v="75.944000000000003"/>
    <s v="0"/>
    <n v="75.564279999999997"/>
    <s v="0"/>
    <n v="0"/>
    <s v="0"/>
    <m/>
    <m/>
    <m/>
    <m/>
    <m/>
    <m/>
  </r>
  <r>
    <d v="2026-03-30T00:00:00"/>
    <s v="SALES"/>
    <s v="HINDUSTAN JEWELLERY LLC"/>
    <n v="287.75399999999996"/>
    <n v="0.88"/>
    <n v="253.22351999999998"/>
    <n v="15.19492344155077"/>
    <n v="4372.3999999999996"/>
    <n v="287.75399999999996"/>
    <s v="0"/>
    <n v="253.22351999999998"/>
    <s v="0"/>
    <n v="4591.0199999999995"/>
    <n v="0"/>
    <s v="0"/>
    <s v="0"/>
    <s v="0"/>
    <s v="0"/>
    <n v="0"/>
    <s v="0"/>
    <m/>
    <m/>
    <m/>
    <m/>
    <m/>
    <m/>
  </r>
  <r>
    <d v="2026-03-30T00:00:00"/>
    <s v="SALES"/>
    <s v="INDIA STAR JEWELLERY"/>
    <n v="732.15440000000012"/>
    <n v="0.88"/>
    <n v="644.29587200000014"/>
    <n v="14.121952965112275"/>
    <n v="10339.450000000001"/>
    <n v="732.15440000000012"/>
    <s v="0"/>
    <n v="644.29587200000014"/>
    <s v="0"/>
    <n v="10856.422500000001"/>
    <n v="0"/>
    <s v="0"/>
    <s v="0"/>
    <s v="0"/>
    <s v="0"/>
    <n v="0"/>
    <s v="0"/>
    <m/>
    <m/>
    <m/>
    <m/>
    <m/>
    <m/>
  </r>
  <r>
    <d v="2026-03-30T00:00:00"/>
    <s v="PURCHASE"/>
    <s v="DHANANJAY JEWELLERY L.L.C"/>
    <n v="732.15383499999996"/>
    <n v="0.995"/>
    <n v="728.49306582499992"/>
    <m/>
    <m/>
    <s v="0"/>
    <s v="0"/>
    <s v="0"/>
    <s v="0"/>
    <n v="0"/>
    <n v="0"/>
    <n v="732.15383499999996"/>
    <s v="0"/>
    <n v="728.49306582499992"/>
    <s v="0"/>
    <n v="0"/>
    <s v="0"/>
    <m/>
    <m/>
    <m/>
    <m/>
    <m/>
    <m/>
  </r>
  <r>
    <d v="2026-03-30T00:00:00"/>
    <s v="PURCHASE"/>
    <s v="HINDUSTAN JEWELLERY LLC"/>
    <n v="503.41030000000001"/>
    <n v="0.88"/>
    <n v="443.00106399999999"/>
    <n v="3.9729024217422646"/>
    <n v="2000"/>
    <s v="0"/>
    <s v="0"/>
    <s v="0"/>
    <s v="0"/>
    <n v="0"/>
    <n v="0"/>
    <n v="503.41030000000001"/>
    <s v="0"/>
    <n v="443.00106399999999"/>
    <s v="0"/>
    <n v="2100"/>
    <s v="0"/>
    <m/>
    <m/>
    <m/>
    <m/>
    <m/>
    <m/>
  </r>
  <r>
    <d v="2026-03-30T00:00:00"/>
    <s v="SALES RETURN"/>
    <s v="INDIA STAR JEWELLERY"/>
    <n v="443.00106399999999"/>
    <n v="0.88"/>
    <n v="389.84093631999997"/>
    <n v="1.4559784443316823"/>
    <n v="645"/>
    <s v="0"/>
    <n v="443.00106399999999"/>
    <s v="0"/>
    <n v="389.84093631999997"/>
    <n v="0"/>
    <n v="677.25"/>
    <s v="0"/>
    <s v="0"/>
    <s v="0"/>
    <s v="0"/>
    <n v="0"/>
    <s v="0"/>
    <m/>
    <m/>
    <m/>
    <m/>
    <m/>
    <m/>
  </r>
  <r>
    <d v="2026-03-31T00:00:00"/>
    <s v="SALES"/>
    <s v="GORAKHPUR GOLD SHOP"/>
    <n v="174.68219999999999"/>
    <n v="0.88"/>
    <n v="153.720336"/>
    <n v="5.6159127833288114"/>
    <n v="981"/>
    <n v="174.68219999999999"/>
    <s v="0"/>
    <n v="153.720336"/>
    <s v="0"/>
    <n v="1030.05"/>
    <n v="0"/>
    <s v="0"/>
    <s v="0"/>
    <s v="0"/>
    <s v="0"/>
    <n v="0"/>
    <s v="0"/>
    <m/>
    <m/>
    <m/>
    <m/>
    <m/>
    <m/>
  </r>
  <r>
    <d v="2026-03-31T00:00:00"/>
    <s v="SALES"/>
    <s v="HINDUSTAN JEWELLERY LLC"/>
    <n v="287.76"/>
    <n v="0.88"/>
    <n v="253.22880000000001"/>
    <n v="24.22574367528496"/>
    <n v="6971.2"/>
    <n v="287.76"/>
    <s v="0"/>
    <n v="253.22880000000001"/>
    <s v="0"/>
    <n v="7319.76"/>
    <n v="0"/>
    <s v="0"/>
    <s v="0"/>
    <s v="0"/>
    <s v="0"/>
    <n v="0"/>
    <s v="0"/>
    <m/>
    <m/>
    <m/>
    <m/>
    <m/>
    <m/>
  </r>
  <r>
    <d v="2026-03-31T00:00:00"/>
    <s v="SALES"/>
    <s v="DHANANJAY JEWELLERY L.L.C"/>
    <n v="766.83199999999999"/>
    <n v="0.88"/>
    <n v="674.81215999999995"/>
    <n v="0.78778663383896341"/>
    <n v="604.1"/>
    <n v="766.83199999999999"/>
    <s v="0"/>
    <n v="674.81215999999995"/>
    <s v="0"/>
    <n v="634.30500000000006"/>
    <n v="0"/>
    <s v="0"/>
    <s v="0"/>
    <s v="0"/>
    <s v="0"/>
    <n v="0"/>
    <s v="0"/>
    <m/>
    <m/>
    <m/>
    <m/>
    <m/>
    <m/>
  </r>
  <r>
    <d v="2026-03-31T00:00:00"/>
    <s v="PURCHASE"/>
    <s v="GORAKHPUR GOLD SHOP"/>
    <n v="75.944000000000003"/>
    <n v="0.995"/>
    <n v="75.564279999999997"/>
    <n v="0"/>
    <m/>
    <s v="0"/>
    <s v="0"/>
    <s v="0"/>
    <s v="0"/>
    <n v="0"/>
    <n v="0"/>
    <n v="75.944000000000003"/>
    <s v="0"/>
    <n v="75.564279999999997"/>
    <s v="0"/>
    <n v="0"/>
    <s v="0"/>
    <m/>
    <m/>
    <m/>
    <m/>
    <m/>
    <m/>
  </r>
  <r>
    <d v="2026-02-02T00:00:00"/>
    <s v="SALES"/>
    <s v="SUMIT GOLD HUB LLC"/>
    <n v="287.75399999999996"/>
    <n v="0.92"/>
    <n v="264.73367999999999"/>
    <n v="8.9883025083925876"/>
    <n v="2586.42"/>
    <n v="287.75399999999996"/>
    <s v="0"/>
    <n v="264.73367999999999"/>
    <s v="0"/>
    <n v="2715.741"/>
    <n v="0"/>
    <s v="0"/>
    <s v="0"/>
    <s v="0"/>
    <s v="0"/>
    <n v="0"/>
    <s v="0"/>
    <m/>
    <m/>
    <m/>
    <m/>
    <m/>
    <m/>
  </r>
  <r>
    <d v="2026-02-02T00:00:00"/>
    <s v="PURCHASE"/>
    <s v="SUMIT GOLD HUB LLC"/>
    <n v="732.15440000000012"/>
    <n v="0.995"/>
    <n v="728.49362800000017"/>
    <m/>
    <n v="0"/>
    <s v="0"/>
    <s v="0"/>
    <s v="0"/>
    <s v="0"/>
    <n v="0"/>
    <n v="0"/>
    <n v="732.15440000000012"/>
    <s v="0"/>
    <n v="728.49362800000017"/>
    <s v="0"/>
    <n v="0"/>
    <s v="0"/>
    <m/>
    <m/>
    <m/>
    <m/>
    <m/>
    <m/>
  </r>
  <r>
    <d v="2026-02-02T00:00:00"/>
    <s v="PURCHASE"/>
    <s v="ABBAS GOLD CENTER LLC"/>
    <n v="732.15383499999996"/>
    <n v="0.995"/>
    <n v="728.49306582499992"/>
    <m/>
    <n v="0"/>
    <s v="0"/>
    <s v="0"/>
    <s v="0"/>
    <s v="0"/>
    <n v="0"/>
    <n v="0"/>
    <n v="732.15383499999996"/>
    <s v="0"/>
    <n v="728.49306582499992"/>
    <s v="0"/>
    <n v="0"/>
    <s v="0"/>
    <m/>
    <m/>
    <m/>
    <m/>
    <m/>
    <m/>
  </r>
  <r>
    <d v="2026-02-02T00:00:00"/>
    <s v="PURCHASE"/>
    <s v="BAGPAT GOLD HUB"/>
    <n v="652"/>
    <n v="0.995"/>
    <n v="648.74"/>
    <m/>
    <n v="0"/>
    <s v="0"/>
    <s v="0"/>
    <s v="0"/>
    <s v="0"/>
    <n v="0"/>
    <n v="0"/>
    <n v="652"/>
    <s v="0"/>
    <n v="648.74"/>
    <s v="0"/>
    <n v="0"/>
    <s v="0"/>
    <m/>
    <m/>
    <m/>
    <m/>
    <m/>
    <m/>
  </r>
  <r>
    <d v="2026-02-02T00:00:00"/>
    <s v="RECEIPT"/>
    <s v="SUMIT GOLD HUB LLC"/>
    <m/>
    <m/>
    <n v="0"/>
    <m/>
    <n v="0"/>
    <s v="0"/>
    <s v="0"/>
    <s v="0"/>
    <s v="0"/>
    <n v="0"/>
    <n v="0"/>
    <s v="0"/>
    <s v="0"/>
    <s v="0"/>
    <s v="0"/>
    <n v="0"/>
    <s v="0"/>
    <n v="2715"/>
    <m/>
    <m/>
    <m/>
    <m/>
    <m/>
  </r>
  <r>
    <d v="2026-02-02T00:00:00"/>
    <s v="RECEIPT"/>
    <s v="RAHUL BABA GOLD HUB"/>
    <m/>
    <m/>
    <n v="0"/>
    <m/>
    <n v="0"/>
    <s v="0"/>
    <s v="0"/>
    <s v="0"/>
    <s v="0"/>
    <n v="0"/>
    <n v="0"/>
    <s v="0"/>
    <s v="0"/>
    <s v="0"/>
    <s v="0"/>
    <n v="0"/>
    <s v="0"/>
    <n v="2830"/>
    <m/>
    <m/>
    <m/>
    <m/>
    <m/>
  </r>
  <r>
    <d v="2026-02-03T00:00:00"/>
    <s v="SALES"/>
    <s v="BHARAT JEWELLERY LLC"/>
    <n v="537.20000000000005"/>
    <n v="0.88"/>
    <n v="472.73600000000005"/>
    <n v="7"/>
    <n v="3760.4"/>
    <n v="537.20000000000005"/>
    <s v="0"/>
    <n v="472.73600000000005"/>
    <s v="0"/>
    <n v="3948.42"/>
    <n v="0"/>
    <s v="0"/>
    <s v="0"/>
    <s v="0"/>
    <s v="0"/>
    <n v="0"/>
    <s v="0"/>
    <m/>
    <m/>
    <m/>
    <m/>
    <m/>
    <m/>
  </r>
  <r>
    <d v="2026-02-03T00:00:00"/>
    <s v="SALES"/>
    <s v="SONIYA JI GOLD HOUSE"/>
    <n v="177.9"/>
    <n v="0.88"/>
    <n v="156.55199999999999"/>
    <n v="6.9999999999999991"/>
    <n v="1245.3"/>
    <n v="177.9"/>
    <s v="0"/>
    <n v="156.55199999999999"/>
    <s v="0"/>
    <n v="1307.5650000000001"/>
    <n v="0"/>
    <s v="0"/>
    <s v="0"/>
    <s v="0"/>
    <s v="0"/>
    <n v="0"/>
    <s v="0"/>
    <m/>
    <m/>
    <m/>
    <m/>
    <m/>
    <m/>
  </r>
  <r>
    <d v="2026-02-03T00:00:00"/>
    <s v="PURCHASE"/>
    <s v="BHARAT JEWELLERY LLC"/>
    <n v="459.8"/>
    <n v="0.995"/>
    <n v="457.50100000000003"/>
    <m/>
    <n v="0"/>
    <s v="0"/>
    <s v="0"/>
    <s v="0"/>
    <s v="0"/>
    <n v="0"/>
    <n v="0"/>
    <n v="459.8"/>
    <s v="0"/>
    <n v="457.50100000000003"/>
    <s v="0"/>
    <n v="0"/>
    <s v="0"/>
    <m/>
    <m/>
    <m/>
    <m/>
    <m/>
    <m/>
  </r>
  <r>
    <d v="2026-02-03T00:00:00"/>
    <s v="PURCHASE"/>
    <s v="RAM RAHEEM GOLD SHOP"/>
    <n v="977.91"/>
    <n v="0.995"/>
    <n v="973.02044999999998"/>
    <m/>
    <n v="0"/>
    <s v="0"/>
    <s v="0"/>
    <s v="0"/>
    <s v="0"/>
    <n v="0"/>
    <n v="0"/>
    <n v="977.91"/>
    <s v="0"/>
    <n v="973.02044999999998"/>
    <s v="0"/>
    <n v="0"/>
    <s v="0"/>
    <m/>
    <m/>
    <m/>
    <m/>
    <m/>
    <m/>
  </r>
  <r>
    <d v="2026-02-03T00:00:00"/>
    <s v="METAL PAYMENT"/>
    <s v="ASHA RAAM GOLD JEWELLERY SHOP"/>
    <n v="233.28"/>
    <n v="0.999"/>
    <n v="233.04671999999999"/>
    <m/>
    <n v="0"/>
    <s v="0"/>
    <s v="0"/>
    <s v="0"/>
    <s v="0"/>
    <n v="0"/>
    <n v="0"/>
    <s v="0"/>
    <n v="233.28"/>
    <s v="0"/>
    <n v="233.04671999999999"/>
    <n v="0"/>
    <n v="0"/>
    <m/>
    <m/>
    <m/>
    <m/>
    <m/>
    <m/>
  </r>
  <r>
    <d v="2026-02-03T00:00:00"/>
    <s v="RECEIPT"/>
    <s v="BAGPAT GOLD HUB"/>
    <m/>
    <m/>
    <n v="0"/>
    <m/>
    <n v="0"/>
    <s v="0"/>
    <s v="0"/>
    <s v="0"/>
    <s v="0"/>
    <n v="0"/>
    <n v="0"/>
    <s v="0"/>
    <s v="0"/>
    <s v="0"/>
    <s v="0"/>
    <n v="0"/>
    <s v="0"/>
    <m/>
    <n v="10000"/>
    <m/>
    <m/>
    <m/>
    <m/>
  </r>
  <r>
    <d v="2026-02-04T00:00:00"/>
    <s v="RECEIPT"/>
    <s v="BHARAT JEWELLERY LLC"/>
    <m/>
    <m/>
    <m/>
    <m/>
    <m/>
    <m/>
    <m/>
    <m/>
    <m/>
    <m/>
    <m/>
    <m/>
    <m/>
    <m/>
    <m/>
    <m/>
    <m/>
    <n v="15000"/>
    <m/>
    <m/>
    <m/>
    <m/>
    <m/>
  </r>
  <r>
    <d v="2026-02-04T00:00:00"/>
    <s v="SALES"/>
    <s v="ABBAS GOLD CENTER LLC"/>
    <n v="2771.13"/>
    <n v="0.88"/>
    <n v="2438.5944"/>
    <n v="7.4051307589322768"/>
    <n v="20520.580000000002"/>
    <n v="2771.13"/>
    <s v="0"/>
    <n v="2438.5944"/>
    <s v="0"/>
    <n v="21546.609"/>
    <n v="0"/>
    <s v="0"/>
    <s v="0"/>
    <s v="0"/>
    <s v="0"/>
    <n v="0"/>
    <s v="0"/>
    <m/>
    <m/>
    <m/>
    <m/>
    <m/>
    <m/>
  </r>
  <r>
    <d v="2026-02-04T00:00:00"/>
    <s v="RECEIPT"/>
    <s v="ABBAS GOLD CENTER LLC"/>
    <m/>
    <m/>
    <m/>
    <m/>
    <m/>
    <m/>
    <m/>
    <m/>
    <m/>
    <m/>
    <m/>
    <m/>
    <m/>
    <m/>
    <m/>
    <m/>
    <m/>
    <n v="30000"/>
    <m/>
    <m/>
    <m/>
    <m/>
    <m/>
  </r>
  <r>
    <d v="2026-02-04T00:00:00"/>
    <s v="SALES"/>
    <s v="SONIYA JI GOLD HOUSE"/>
    <n v="2325.1999999999998"/>
    <n v="0.88"/>
    <n v="2046.1759999999999"/>
    <n v="7.1980044727335288"/>
    <n v="16736.8"/>
    <n v="2325.1999999999998"/>
    <s v="0"/>
    <n v="2046.1759999999999"/>
    <s v="0"/>
    <n v="17573.64"/>
    <n v="0"/>
    <s v="0"/>
    <s v="0"/>
    <s v="0"/>
    <s v="0"/>
    <n v="0"/>
    <s v="0"/>
    <m/>
    <m/>
    <m/>
    <m/>
    <m/>
    <m/>
  </r>
  <r>
    <d v="2026-02-04T00:00:00"/>
    <s v="RECEIPT"/>
    <s v="SONIYA JI GOLD HOUSE"/>
    <m/>
    <m/>
    <m/>
    <m/>
    <m/>
    <m/>
    <m/>
    <m/>
    <m/>
    <m/>
    <m/>
    <m/>
    <m/>
    <m/>
    <m/>
    <m/>
    <m/>
    <n v="50000"/>
    <m/>
    <m/>
    <m/>
    <m/>
    <m/>
  </r>
  <r>
    <d v="2026-02-04T00:00:00"/>
    <s v="SALES"/>
    <s v="SONIYA JI GOLD HOUSE"/>
    <n v="146.30000000000001"/>
    <n v="0.88"/>
    <n v="128.744"/>
    <n v="4.5635680109364314"/>
    <n v="667.65"/>
    <n v="146.30000000000001"/>
    <s v="0"/>
    <n v="128.744"/>
    <s v="0"/>
    <n v="701.03250000000003"/>
    <n v="0"/>
    <s v="0"/>
    <s v="0"/>
    <s v="0"/>
    <s v="0"/>
    <n v="0"/>
    <s v="0"/>
    <m/>
    <m/>
    <m/>
    <m/>
    <m/>
    <m/>
  </r>
  <r>
    <d v="2026-02-04T00:00:00"/>
    <s v="SALES"/>
    <s v="SUMIT GOLD HUB LLC"/>
    <n v="1229.6199999999999"/>
    <n v="0.92"/>
    <n v="1131.2503999999999"/>
    <n v="3.250004066296905"/>
    <n v="3996.27"/>
    <n v="1229.6199999999999"/>
    <s v="0"/>
    <n v="1131.2503999999999"/>
    <s v="0"/>
    <n v="4196.0834999999997"/>
    <n v="0"/>
    <s v="0"/>
    <s v="0"/>
    <s v="0"/>
    <s v="0"/>
    <n v="0"/>
    <s v="0"/>
    <m/>
    <m/>
    <m/>
    <m/>
    <m/>
    <m/>
  </r>
  <r>
    <d v="2026-02-04T00:00:00"/>
    <s v="PURCHASE"/>
    <s v="ABBAS GOLD CENTER LLC"/>
    <n v="1000"/>
    <n v="1"/>
    <n v="1000"/>
    <m/>
    <n v="0"/>
    <s v="0"/>
    <s v="0"/>
    <s v="0"/>
    <s v="0"/>
    <n v="0"/>
    <n v="0"/>
    <n v="1000"/>
    <s v="0"/>
    <n v="1000"/>
    <s v="0"/>
    <n v="0"/>
    <s v="0"/>
    <m/>
    <m/>
    <m/>
    <m/>
    <m/>
    <m/>
  </r>
  <r>
    <d v="2026-02-04T00:00:00"/>
    <s v="PURCHASE"/>
    <s v="PANNE  LAL GOLD SHOP"/>
    <n v="345.4"/>
    <n v="0.995"/>
    <n v="343.673"/>
    <m/>
    <n v="0"/>
    <s v="0"/>
    <s v="0"/>
    <s v="0"/>
    <s v="0"/>
    <n v="0"/>
    <n v="0"/>
    <n v="345.4"/>
    <s v="0"/>
    <n v="343.673"/>
    <s v="0"/>
    <n v="0"/>
    <s v="0"/>
    <m/>
    <m/>
    <m/>
    <m/>
    <m/>
    <m/>
  </r>
  <r>
    <d v="2026-02-04T00:00:00"/>
    <s v="RECEIPT"/>
    <s v="PANNE  LAL GOLD SHOP"/>
    <m/>
    <m/>
    <m/>
    <m/>
    <m/>
    <m/>
    <m/>
    <m/>
    <m/>
    <m/>
    <m/>
    <m/>
    <m/>
    <m/>
    <m/>
    <m/>
    <m/>
    <m/>
    <n v="10000"/>
    <m/>
    <m/>
    <m/>
    <m/>
  </r>
  <r>
    <d v="2026-02-04T00:00:00"/>
    <s v="PURCHASE"/>
    <s v="SUMIT GOLD HUB LLC"/>
    <n v="1136.95"/>
    <n v="0.995"/>
    <n v="1131.2652500000002"/>
    <m/>
    <n v="0"/>
    <s v="0"/>
    <s v="0"/>
    <s v="0"/>
    <s v="0"/>
    <n v="0"/>
    <n v="0"/>
    <n v="1136.95"/>
    <s v="0"/>
    <n v="1131.2652500000002"/>
    <s v="0"/>
    <n v="0"/>
    <s v="0"/>
    <m/>
    <m/>
    <m/>
    <m/>
    <m/>
    <m/>
  </r>
  <r>
    <d v="2026-02-04T00:00:00"/>
    <s v="RECEIPT"/>
    <s v="SUMIT GOLD HUB LLC"/>
    <m/>
    <m/>
    <m/>
    <m/>
    <n v="0"/>
    <s v="0"/>
    <s v="0"/>
    <s v="0"/>
    <m/>
    <n v="0"/>
    <n v="0"/>
    <s v="0"/>
    <m/>
    <m/>
    <m/>
    <m/>
    <m/>
    <n v="4196"/>
    <m/>
    <m/>
    <m/>
    <m/>
    <m/>
  </r>
  <r>
    <d v="2026-02-04T00:00:00"/>
    <s v="RECEIPT"/>
    <s v="ABU BAKAR AL BAGDADI GOLD"/>
    <m/>
    <m/>
    <n v="0"/>
    <m/>
    <n v="0"/>
    <s v="0"/>
    <s v="0"/>
    <s v="0"/>
    <s v="0"/>
    <n v="0"/>
    <n v="0"/>
    <s v="0"/>
    <s v="0"/>
    <s v="0"/>
    <s v="0"/>
    <n v="0"/>
    <s v="0"/>
    <n v="16115"/>
    <m/>
    <m/>
    <m/>
    <m/>
    <m/>
  </r>
  <r>
    <d v="2026-02-05T00:00:00"/>
    <s v="SALES"/>
    <s v="SONIYA JI GOLD HOUSE"/>
    <n v="2697.5520000000001"/>
    <n v="0.88"/>
    <n v="2373.8457600000002"/>
    <n v="0.12066495845121798"/>
    <n v="325.5"/>
    <n v="2697.5520000000001"/>
    <s v="0"/>
    <n v="2373.8457600000002"/>
    <s v="0"/>
    <n v="341.77499999999998"/>
    <n v="0"/>
    <s v="0"/>
    <s v="0"/>
    <s v="0"/>
    <s v="0"/>
    <n v="0"/>
    <s v="0"/>
    <m/>
    <m/>
    <m/>
    <m/>
    <m/>
    <m/>
  </r>
  <r>
    <d v="2026-02-05T00:00:00"/>
    <s v="SALES"/>
    <s v="INDIA STAR JEWELLERY"/>
    <n v="1285.8296"/>
    <n v="0.88"/>
    <n v="1131.5300480000001"/>
    <n v="25.382095730258502"/>
    <n v="32637.05"/>
    <n v="1285.8296"/>
    <s v="0"/>
    <n v="1131.5300480000001"/>
    <s v="0"/>
    <n v="34268.902499999997"/>
    <n v="0"/>
    <s v="0"/>
    <s v="0"/>
    <s v="0"/>
    <s v="0"/>
    <n v="0"/>
    <s v="0"/>
    <m/>
    <m/>
    <m/>
    <m/>
    <m/>
    <m/>
  </r>
  <r>
    <d v="2026-02-05T00:00:00"/>
    <s v="SALES"/>
    <s v="ABBAS GOLD CENTER LLC"/>
    <n v="2457.9279999999999"/>
    <n v="0.88"/>
    <n v="2162.9766399999999"/>
    <n v="1.7834167640386538"/>
    <n v="4383.51"/>
    <n v="2457.9279999999999"/>
    <s v="0"/>
    <n v="2162.9766399999999"/>
    <s v="0"/>
    <n v="4602.6855000000005"/>
    <n v="0"/>
    <s v="0"/>
    <s v="0"/>
    <s v="0"/>
    <s v="0"/>
    <n v="0"/>
    <s v="0"/>
    <m/>
    <m/>
    <m/>
    <m/>
    <m/>
    <m/>
  </r>
  <r>
    <d v="2026-02-05T00:00:00"/>
    <s v="SALES"/>
    <s v="DHANANJAY JEWELLERY L.L.C"/>
    <n v="1199.1760000000002"/>
    <n v="0.88"/>
    <n v="1055.2748800000002"/>
    <n v="13.670970733236823"/>
    <n v="16393.900000000001"/>
    <n v="1199.1760000000002"/>
    <s v="0"/>
    <n v="1055.2748800000002"/>
    <s v="0"/>
    <n v="17213.595000000001"/>
    <n v="0"/>
    <s v="0"/>
    <s v="0"/>
    <s v="0"/>
    <s v="0"/>
    <n v="0"/>
    <s v="0"/>
    <m/>
    <m/>
    <m/>
    <m/>
    <m/>
    <m/>
  </r>
  <r>
    <d v="2026-02-05T00:00:00"/>
    <s v="SALES"/>
    <s v="UMAR GOLD SHOP"/>
    <n v="500"/>
    <n v="0.88"/>
    <n v="440"/>
    <n v="20.010000000000002"/>
    <n v="10005"/>
    <n v="500"/>
    <s v="0"/>
    <n v="440"/>
    <s v="0"/>
    <n v="10505.25"/>
    <n v="0"/>
    <s v="0"/>
    <s v="0"/>
    <s v="0"/>
    <s v="0"/>
    <n v="0"/>
    <s v="0"/>
    <m/>
    <m/>
    <m/>
    <m/>
    <m/>
    <m/>
  </r>
  <r>
    <d v="2026-02-05T00:00:00"/>
    <s v="PURCHASE"/>
    <s v="ABBAS GOLD CENTER LLC"/>
    <n v="500"/>
    <n v="1"/>
    <n v="500"/>
    <m/>
    <m/>
    <s v="0"/>
    <s v="0"/>
    <s v="0"/>
    <s v="0"/>
    <n v="0"/>
    <n v="0"/>
    <n v="500"/>
    <s v="0"/>
    <n v="500"/>
    <s v="0"/>
    <n v="0"/>
    <s v="0"/>
    <m/>
    <m/>
    <m/>
    <m/>
    <m/>
    <m/>
  </r>
  <r>
    <d v="2026-02-05T00:00:00"/>
    <s v="PURCHASE"/>
    <s v="YOGI JI PURE GOLD SHOP"/>
    <n v="304.5"/>
    <n v="0.995"/>
    <n v="302.97750000000002"/>
    <m/>
    <m/>
    <s v="0"/>
    <s v="0"/>
    <s v="0"/>
    <s v="0"/>
    <n v="0"/>
    <n v="0"/>
    <n v="304.5"/>
    <s v="0"/>
    <n v="302.97750000000002"/>
    <s v="0"/>
    <n v="0"/>
    <s v="0"/>
    <m/>
    <m/>
    <m/>
    <m/>
    <m/>
    <m/>
  </r>
  <r>
    <d v="2026-02-05T00:00:00"/>
    <s v="RECEIPT"/>
    <s v="RAM RAHEEM GOLD SHOP"/>
    <m/>
    <m/>
    <n v="0"/>
    <m/>
    <n v="0"/>
    <s v="0"/>
    <s v="0"/>
    <s v="0"/>
    <s v="0"/>
    <n v="0"/>
    <n v="0"/>
    <s v="0"/>
    <s v="0"/>
    <s v="0"/>
    <s v="0"/>
    <n v="0"/>
    <s v="0"/>
    <m/>
    <n v="35500"/>
    <m/>
    <m/>
    <m/>
    <m/>
  </r>
  <r>
    <d v="2026-02-06T00:00:00"/>
    <s v="SALES"/>
    <s v="ABBAS GOLD CENTER LLC"/>
    <n v="73.358912000000004"/>
    <n v="0.88"/>
    <n v="64.555842560000002"/>
    <n v="10.330578512396695"/>
    <n v="757.84"/>
    <n v="73.358912000000004"/>
    <s v="0"/>
    <n v="64.555842560000002"/>
    <s v="0"/>
    <n v="795.73200000000008"/>
    <n v="0"/>
    <s v="0"/>
    <s v="0"/>
    <s v="0"/>
    <s v="0"/>
    <n v="0"/>
    <s v="0"/>
    <m/>
    <m/>
    <m/>
    <m/>
    <m/>
    <m/>
  </r>
  <r>
    <d v="2026-02-06T00:00:00"/>
    <s v="SALES"/>
    <s v="ABBAS GOLD CENTER LLC"/>
    <n v="1868.89824"/>
    <n v="0.88"/>
    <n v="1644.6304511999999"/>
    <n v="6.327685342568464"/>
    <n v="11825.8"/>
    <n v="1868.89824"/>
    <s v="0"/>
    <n v="1644.6304511999999"/>
    <s v="0"/>
    <n v="12417.09"/>
    <n v="0"/>
    <s v="0"/>
    <s v="0"/>
    <s v="0"/>
    <s v="0"/>
    <n v="0"/>
    <s v="0"/>
    <m/>
    <m/>
    <m/>
    <m/>
    <m/>
    <m/>
  </r>
  <r>
    <d v="2026-02-06T00:00:00"/>
    <s v="PURCHASE"/>
    <s v="ABBAS GOLD CENTER LLC"/>
    <n v="990.02499999999998"/>
    <n v="0.995"/>
    <n v="985.07487500000002"/>
    <m/>
    <m/>
    <s v="0"/>
    <s v="0"/>
    <s v="0"/>
    <s v="0"/>
    <n v="0"/>
    <n v="0"/>
    <n v="990.02499999999998"/>
    <s v="0"/>
    <n v="985.07487500000002"/>
    <s v="0"/>
    <n v="0"/>
    <s v="0"/>
    <m/>
    <m/>
    <m/>
    <m/>
    <m/>
    <m/>
  </r>
  <r>
    <d v="2026-02-06T00:00:00"/>
    <s v="PURCHASE"/>
    <s v="INDIA STAR JEWELLERY"/>
    <n v="452.65923050000004"/>
    <n v="0.995"/>
    <n v="450.39593434750003"/>
    <m/>
    <m/>
    <s v="0"/>
    <s v="0"/>
    <s v="0"/>
    <s v="0"/>
    <n v="0"/>
    <n v="0"/>
    <n v="452.65923050000004"/>
    <s v="0"/>
    <n v="450.39593434750003"/>
    <s v="0"/>
    <n v="0"/>
    <s v="0"/>
    <m/>
    <m/>
    <m/>
    <m/>
    <m/>
    <m/>
  </r>
  <r>
    <d v="2026-02-06T00:00:00"/>
    <s v="METAL PAYMENT"/>
    <s v="SONIYA JI GOLD HOUSE"/>
    <n v="875.6"/>
    <n v="0.995"/>
    <n v="871.22199999999998"/>
    <m/>
    <m/>
    <s v="0"/>
    <s v="0"/>
    <s v="0"/>
    <s v="0"/>
    <n v="0"/>
    <n v="0"/>
    <s v="0"/>
    <n v="875.6"/>
    <s v="0"/>
    <n v="871.22199999999998"/>
    <n v="0"/>
    <n v="0"/>
    <m/>
    <m/>
    <m/>
    <m/>
    <m/>
    <m/>
  </r>
  <r>
    <d v="2026-02-07T00:00:00"/>
    <s v="PURCHASE"/>
    <s v="HINDUSTAN JEWELLERY LLC"/>
    <n v="329.66340000000002"/>
    <n v="0.995"/>
    <n v="328.015083"/>
    <m/>
    <n v="0"/>
    <s v="0"/>
    <s v="0"/>
    <s v="0"/>
    <s v="0"/>
    <n v="0"/>
    <n v="0"/>
    <n v="329.66340000000002"/>
    <s v="0"/>
    <n v="328.015083"/>
    <s v="0"/>
    <n v="0"/>
    <s v="0"/>
    <m/>
    <m/>
    <m/>
    <m/>
    <m/>
    <m/>
  </r>
  <r>
    <d v="2026-02-10T00:00:00"/>
    <s v="PURCHASE"/>
    <s v="BHARAT JEWELLERY LLC"/>
    <n v="875.6"/>
    <n v="0.995"/>
    <n v="871.22199999999998"/>
    <m/>
    <n v="0"/>
    <s v="0"/>
    <s v="0"/>
    <s v="0"/>
    <s v="0"/>
    <n v="0"/>
    <n v="0"/>
    <n v="875.6"/>
    <s v="0"/>
    <n v="871.22199999999998"/>
    <s v="0"/>
    <n v="0"/>
    <s v="0"/>
    <m/>
    <m/>
    <m/>
    <m/>
    <m/>
    <m/>
  </r>
  <r>
    <d v="2026-02-09T00:00:00"/>
    <s v="SALES"/>
    <s v="SUMIT GOLD HUB LLC"/>
    <n v="1870.4508960000001"/>
    <n v="0.92"/>
    <n v="1720.8148243200001"/>
    <n v="3.8397907239153741"/>
    <n v="7182.14"/>
    <n v="1870.4508960000001"/>
    <s v="0"/>
    <n v="1720.8148243200001"/>
    <s v="0"/>
    <n v="7541.2470000000003"/>
    <n v="0"/>
    <s v="0"/>
    <s v="0"/>
    <s v="0"/>
    <s v="0"/>
    <n v="0"/>
    <s v="0"/>
    <m/>
    <m/>
    <m/>
    <m/>
    <m/>
    <m/>
  </r>
  <r>
    <d v="2026-02-09T00:00:00"/>
    <s v="PURCHASE"/>
    <s v="SUMIT GOLD HUB LLC"/>
    <n v="1789.1222359999999"/>
    <n v="0.995"/>
    <n v="1780.1766248199999"/>
    <m/>
    <m/>
    <s v="0"/>
    <s v="0"/>
    <s v="0"/>
    <s v="0"/>
    <n v="0"/>
    <n v="0"/>
    <n v="1789.1222359999999"/>
    <s v="0"/>
    <n v="1780.1766248199999"/>
    <s v="0"/>
    <n v="0"/>
    <s v="0"/>
    <m/>
    <m/>
    <m/>
    <m/>
    <m/>
    <m/>
  </r>
  <r>
    <d v="2026-02-09T00:00:00"/>
    <s v="PURCHASE"/>
    <s v="ABBAS GOLD CENTER LLC"/>
    <n v="405.14793075"/>
    <n v="0.995"/>
    <n v="403.12219109624999"/>
    <m/>
    <m/>
    <s v="0"/>
    <s v="0"/>
    <s v="0"/>
    <s v="0"/>
    <n v="0"/>
    <n v="0"/>
    <n v="405.14793075"/>
    <s v="0"/>
    <n v="403.12219109624999"/>
    <s v="0"/>
    <n v="0"/>
    <s v="0"/>
    <m/>
    <m/>
    <m/>
    <m/>
    <m/>
    <m/>
  </r>
  <r>
    <d v="2026-02-09T00:00:00"/>
    <s v="PURCHASE"/>
    <s v="UMAR GOLD SHOP"/>
    <n v="299.95529943750006"/>
    <n v="0.995"/>
    <n v="298.45552294031256"/>
    <m/>
    <m/>
    <s v="0"/>
    <s v="0"/>
    <s v="0"/>
    <s v="0"/>
    <n v="0"/>
    <n v="0"/>
    <n v="299.95529943750006"/>
    <s v="0"/>
    <n v="298.45552294031256"/>
    <s v="0"/>
    <n v="0"/>
    <s v="0"/>
    <m/>
    <m/>
    <m/>
    <m/>
    <m/>
    <m/>
  </r>
  <r>
    <d v="2026-02-10T00:00:00"/>
    <s v="SALES"/>
    <s v="BHARAT JEWELLERY LLC"/>
    <n v="982.86099999999999"/>
    <n v="0.88"/>
    <n v="864.91768000000002"/>
    <n v="7.9945180447693014"/>
    <n v="7857.5"/>
    <n v="982.86099999999999"/>
    <s v="0"/>
    <n v="864.91768000000002"/>
    <s v="0"/>
    <n v="8250.375"/>
    <n v="0"/>
    <s v="0"/>
    <s v="0"/>
    <s v="0"/>
    <s v="0"/>
    <n v="0"/>
    <s v="0"/>
    <m/>
    <m/>
    <m/>
    <m/>
    <m/>
    <m/>
  </r>
  <r>
    <d v="2026-02-10T00:00:00"/>
    <s v="SALES"/>
    <s v="SONIYA JI GOLD HOUSE"/>
    <n v="237.72539999999998"/>
    <n v="0.88"/>
    <n v="209.19835199999997"/>
    <n v="8.2208295790016557"/>
    <n v="1954.3"/>
    <n v="237.72539999999998"/>
    <s v="0"/>
    <n v="209.19835199999997"/>
    <s v="0"/>
    <n v="2052.0149999999999"/>
    <n v="0"/>
    <s v="0"/>
    <s v="0"/>
    <s v="0"/>
    <s v="0"/>
    <n v="0"/>
    <s v="0"/>
    <m/>
    <m/>
    <m/>
    <m/>
    <m/>
    <m/>
  </r>
  <r>
    <d v="2026-02-11T00:00:00"/>
    <s v="SALES"/>
    <s v="DHANANJAY JEWELLERY L.L.C"/>
    <n v="417.63391999999993"/>
    <n v="0.88"/>
    <n v="367.51784959999992"/>
    <n v="6.8775543902181138"/>
    <n v="2872.3"/>
    <n v="417.63391999999993"/>
    <s v="0"/>
    <n v="367.51784959999992"/>
    <s v="0"/>
    <n v="3015.915"/>
    <n v="0"/>
    <s v="0"/>
    <s v="0"/>
    <s v="0"/>
    <s v="0"/>
    <n v="0"/>
    <s v="0"/>
    <m/>
    <m/>
    <m/>
    <m/>
    <m/>
    <m/>
  </r>
  <r>
    <d v="2026-02-11T00:00:00"/>
    <s v="SALES"/>
    <s v="BHARAT JEWELLERY LLC"/>
    <n v="765.10720000000003"/>
    <n v="0.88"/>
    <n v="673.29433600000004"/>
    <n v="12.353301602703516"/>
    <n v="9451.6"/>
    <n v="765.10720000000003"/>
    <s v="0"/>
    <n v="673.29433600000004"/>
    <s v="0"/>
    <n v="9924.18"/>
    <n v="0"/>
    <s v="0"/>
    <s v="0"/>
    <s v="0"/>
    <s v="0"/>
    <n v="0"/>
    <s v="0"/>
    <m/>
    <m/>
    <m/>
    <m/>
    <m/>
    <m/>
  </r>
  <r>
    <d v="2026-02-11T00:00:00"/>
    <s v="PURCHASE"/>
    <s v="BHARAT JEWELLERY LLC"/>
    <n v="779.37156000000004"/>
    <n v="0.995"/>
    <n v="775.47470220000002"/>
    <m/>
    <n v="0"/>
    <s v="0"/>
    <s v="0"/>
    <s v="0"/>
    <s v="0"/>
    <n v="0"/>
    <n v="0"/>
    <n v="779.37156000000004"/>
    <s v="0"/>
    <n v="775.47470220000002"/>
    <s v="0"/>
    <n v="0"/>
    <s v="0"/>
    <m/>
    <m/>
    <m/>
    <m/>
    <m/>
    <m/>
  </r>
  <r>
    <d v="2026-02-12T00:00:00"/>
    <s v="SALES"/>
    <s v="DHANANJAY JEWELLERY L.L.C"/>
    <n v="375.57344000000001"/>
    <n v="0.88"/>
    <n v="330.50462720000002"/>
    <n v="6.4951344802230961"/>
    <n v="2439.4"/>
    <n v="375.57344000000001"/>
    <s v="0"/>
    <n v="330.50462720000002"/>
    <s v="0"/>
    <n v="2561.37"/>
    <n v="0"/>
    <s v="0"/>
    <s v="0"/>
    <s v="0"/>
    <s v="0"/>
    <n v="0"/>
    <s v="0"/>
    <m/>
    <m/>
    <m/>
    <m/>
    <m/>
    <m/>
  </r>
  <r>
    <d v="2026-02-12T00:00:00"/>
    <s v="PURCHASE"/>
    <s v="DHANANJAY JEWELLERY L.L.C"/>
    <n v="880"/>
    <n v="1"/>
    <n v="880"/>
    <m/>
    <m/>
    <s v="0"/>
    <s v="0"/>
    <s v="0"/>
    <s v="0"/>
    <n v="0"/>
    <n v="0"/>
    <n v="880"/>
    <s v="0"/>
    <n v="880"/>
    <s v="0"/>
    <n v="0"/>
    <s v="0"/>
    <m/>
    <m/>
    <m/>
    <m/>
    <m/>
    <m/>
  </r>
  <r>
    <d v="2026-02-12T00:00:00"/>
    <s v="PURCHASE"/>
    <s v="INDIA STAR JEWELLERY"/>
    <n v="441.45214749999997"/>
    <n v="0.995"/>
    <n v="439.24488676249996"/>
    <m/>
    <m/>
    <s v="0"/>
    <s v="0"/>
    <s v="0"/>
    <s v="0"/>
    <n v="0"/>
    <n v="0"/>
    <n v="441.45214749999997"/>
    <s v="0"/>
    <n v="439.24488676249996"/>
    <s v="0"/>
    <n v="0"/>
    <s v="0"/>
    <m/>
    <m/>
    <m/>
    <m/>
    <m/>
    <m/>
  </r>
  <r>
    <d v="2026-02-12T00:00:00"/>
    <s v="PURCHASE"/>
    <s v="ASHA RAAM GOLD JEWELLERY SHOP"/>
    <n v="347.67449199999999"/>
    <n v="0.88"/>
    <n v="305.95355295999997"/>
    <n v="3.1406963269540062"/>
    <n v="1091.94"/>
    <s v="0"/>
    <s v="0"/>
    <s v="0"/>
    <s v="0"/>
    <n v="0"/>
    <n v="0"/>
    <n v="347.67449199999999"/>
    <s v="0"/>
    <n v="305.95355295999997"/>
    <s v="0"/>
    <n v="1146.537"/>
    <s v="0"/>
    <m/>
    <m/>
    <m/>
    <m/>
    <m/>
    <m/>
  </r>
  <r>
    <d v="2026-02-13T00:00:00"/>
    <s v="PURCHASE"/>
    <s v="ABBAS GOLD CENTER LLC"/>
    <n v="428.77982750000001"/>
    <n v="0.995"/>
    <n v="426.63592836250001"/>
    <m/>
    <n v="0"/>
    <s v="0"/>
    <s v="0"/>
    <s v="0"/>
    <s v="0"/>
    <n v="0"/>
    <n v="0"/>
    <n v="428.77982750000001"/>
    <s v="0"/>
    <n v="426.63592836250001"/>
    <s v="0"/>
    <n v="0"/>
    <s v="0"/>
    <m/>
    <m/>
    <m/>
    <m/>
    <m/>
    <m/>
  </r>
  <r>
    <d v="2026-02-13T00:00:00"/>
    <s v="PURCHASE"/>
    <s v="DHANANJAY JEWELLERY L.L.C"/>
    <n v="242.24270000000001"/>
    <n v="0.995"/>
    <n v="241.0314865"/>
    <m/>
    <n v="0"/>
    <s v="0"/>
    <s v="0"/>
    <s v="0"/>
    <s v="0"/>
    <n v="0"/>
    <n v="0"/>
    <n v="242.24270000000001"/>
    <s v="0"/>
    <n v="241.0314865"/>
    <s v="0"/>
    <n v="0"/>
    <s v="0"/>
    <m/>
    <m/>
    <m/>
    <m/>
    <m/>
    <m/>
  </r>
  <r>
    <d v="2026-02-13T00:00:00"/>
    <s v="SALES"/>
    <s v="BADSHAH JEWELLERY SHOP"/>
    <n v="23.05415"/>
    <n v="0.88"/>
    <n v="20.287652000000001"/>
    <n v="300.73544242576713"/>
    <n v="6933.2"/>
    <n v="23.05415"/>
    <s v="0"/>
    <n v="20.287652000000001"/>
    <s v="0"/>
    <n v="7279.86"/>
    <n v="0"/>
    <s v="0"/>
    <s v="0"/>
    <s v="0"/>
    <s v="0"/>
    <n v="0"/>
    <s v="0"/>
    <m/>
    <m/>
    <m/>
    <m/>
    <m/>
    <m/>
  </r>
  <r>
    <d v="2026-02-14T00:00:00"/>
    <s v="SALES"/>
    <s v="BHARAT JEWELLERY LLC"/>
    <n v="424.23039999999997"/>
    <n v="0.88"/>
    <n v="373.32275199999998"/>
    <n v="16.241410327972726"/>
    <n v="6890.1"/>
    <n v="424.23039999999997"/>
    <s v="0"/>
    <n v="373.32275199999998"/>
    <s v="0"/>
    <n v="7234.6050000000005"/>
    <n v="0"/>
    <s v="0"/>
    <s v="0"/>
    <s v="0"/>
    <s v="0"/>
    <n v="0"/>
    <s v="0"/>
    <m/>
    <m/>
    <m/>
    <m/>
    <m/>
    <m/>
  </r>
  <r>
    <d v="2026-02-14T00:00:00"/>
    <s v="PURCHASE"/>
    <s v="BHARAT JEWELLERY LLC"/>
    <n v="1330.1200000000001"/>
    <n v="0.995"/>
    <n v="1323.4694000000002"/>
    <m/>
    <n v="0"/>
    <s v="0"/>
    <s v="0"/>
    <s v="0"/>
    <s v="0"/>
    <n v="0"/>
    <n v="0"/>
    <n v="1330.1200000000001"/>
    <s v="0"/>
    <n v="1323.4694000000002"/>
    <s v="0"/>
    <n v="0"/>
    <s v="0"/>
    <m/>
    <m/>
    <m/>
    <m/>
    <m/>
    <m/>
  </r>
  <r>
    <d v="2026-02-14T00:00:00"/>
    <s v="PURCHASE"/>
    <s v="YOGI JI PURE GOLD SHOP"/>
    <n v="386.49779999999998"/>
    <n v="0.995"/>
    <n v="384.56531100000001"/>
    <m/>
    <n v="0"/>
    <s v="0"/>
    <s v="0"/>
    <s v="0"/>
    <s v="0"/>
    <n v="0"/>
    <n v="0"/>
    <n v="386.49779999999998"/>
    <s v="0"/>
    <n v="384.56531100000001"/>
    <s v="0"/>
    <n v="0"/>
    <s v="0"/>
    <m/>
    <m/>
    <m/>
    <m/>
    <m/>
    <m/>
  </r>
  <r>
    <d v="2026-02-16T00:00:00"/>
    <s v="SALES"/>
    <s v="DHANANJAY JEWELLERY L.L.C"/>
    <n v="390.04"/>
    <n v="0.88"/>
    <n v="343.23520000000002"/>
    <n v="9.1240641985437385"/>
    <n v="3558.75"/>
    <n v="390.04"/>
    <s v="0"/>
    <n v="343.23520000000002"/>
    <s v="0"/>
    <n v="3736.6875"/>
    <n v="0"/>
    <s v="0"/>
    <s v="0"/>
    <s v="0"/>
    <s v="0"/>
    <n v="0"/>
    <s v="0"/>
    <m/>
    <m/>
    <m/>
    <m/>
    <m/>
    <m/>
  </r>
  <r>
    <d v="2026-02-16T00:00:00"/>
    <s v="SALES"/>
    <s v="SONIYA JI GOLD HOUSE"/>
    <n v="1381.856"/>
    <n v="0.88"/>
    <n v="1216.0332800000001"/>
    <n v="1.4480162911330847"/>
    <n v="2000.95"/>
    <n v="1381.856"/>
    <s v="0"/>
    <n v="1216.0332800000001"/>
    <s v="0"/>
    <n v="2100.9974999999999"/>
    <n v="0"/>
    <s v="0"/>
    <s v="0"/>
    <s v="0"/>
    <s v="0"/>
    <n v="0"/>
    <s v="0"/>
    <m/>
    <m/>
    <m/>
    <m/>
    <m/>
    <m/>
  </r>
  <r>
    <d v="2026-02-16T00:00:00"/>
    <s v="SALES"/>
    <s v="BHARAT JEWELLERY LLC"/>
    <n v="492.09715"/>
    <n v="0.88"/>
    <n v="433.04549200000002"/>
    <n v="14.10595448480041"/>
    <n v="6941.5"/>
    <n v="492.09715"/>
    <s v="0"/>
    <n v="433.04549200000002"/>
    <s v="0"/>
    <n v="7288.5749999999998"/>
    <n v="0"/>
    <s v="0"/>
    <s v="0"/>
    <s v="0"/>
    <s v="0"/>
    <n v="0"/>
    <s v="0"/>
    <m/>
    <m/>
    <m/>
    <m/>
    <m/>
    <m/>
  </r>
  <r>
    <d v="2026-02-16T00:00:00"/>
    <s v="SALES"/>
    <s v="SUMIT GOLD HUB LLC"/>
    <n v="2033.0988"/>
    <n v="0.92"/>
    <n v="1870.4508960000001"/>
    <n v="2.2771101925789341"/>
    <n v="4629.59"/>
    <n v="2033.0988"/>
    <s v="0"/>
    <n v="1870.4508960000001"/>
    <s v="0"/>
    <n v="4861.0695000000005"/>
    <n v="0"/>
    <s v="0"/>
    <s v="0"/>
    <s v="0"/>
    <s v="0"/>
    <n v="0"/>
    <s v="0"/>
    <m/>
    <m/>
    <m/>
    <m/>
    <m/>
    <m/>
  </r>
  <r>
    <d v="2026-02-16T00:00:00"/>
    <s v="SALES"/>
    <s v="HINDUSTAN JEWELLERY LLC"/>
    <n v="2033.0934499999998"/>
    <n v="0.88"/>
    <n v="1789.1222359999999"/>
    <n v="2.0650305080664149"/>
    <n v="4198.3999999999996"/>
    <n v="2033.0934499999998"/>
    <s v="0"/>
    <n v="1789.1222359999999"/>
    <s v="0"/>
    <n v="4408.32"/>
    <n v="0"/>
    <s v="0"/>
    <s v="0"/>
    <s v="0"/>
    <s v="0"/>
    <n v="0"/>
    <s v="0"/>
    <m/>
    <m/>
    <m/>
    <m/>
    <m/>
    <m/>
  </r>
  <r>
    <d v="2026-02-16T00:00:00"/>
    <s v="PURCHASE"/>
    <s v="BHARAT JEWELLERY LLC"/>
    <n v="407.18385000000001"/>
    <n v="0.995"/>
    <n v="405.14793075"/>
    <m/>
    <n v="0"/>
    <s v="0"/>
    <s v="0"/>
    <s v="0"/>
    <s v="0"/>
    <n v="0"/>
    <n v="0"/>
    <n v="407.18385000000001"/>
    <s v="0"/>
    <n v="405.14793075"/>
    <s v="0"/>
    <n v="0"/>
    <s v="0"/>
    <m/>
    <m/>
    <m/>
    <m/>
    <m/>
    <m/>
  </r>
  <r>
    <d v="2026-02-16T00:00:00"/>
    <s v="PURCHASE"/>
    <s v="ABBAS GOLD CENTER LLC"/>
    <n v="301.46261250000003"/>
    <n v="0.995"/>
    <n v="299.95529943750006"/>
    <m/>
    <n v="0"/>
    <s v="0"/>
    <s v="0"/>
    <s v="0"/>
    <s v="0"/>
    <n v="0"/>
    <n v="0"/>
    <n v="301.46261250000003"/>
    <s v="0"/>
    <n v="299.95529943750006"/>
    <s v="0"/>
    <n v="0"/>
    <s v="0"/>
    <m/>
    <m/>
    <m/>
    <m/>
    <m/>
    <m/>
  </r>
  <r>
    <d v="2026-02-16T00:00:00"/>
    <s v="PURCHASE"/>
    <s v="SUMIT GOLD HUB LLC"/>
    <n v="987.8"/>
    <n v="0.995"/>
    <n v="982.86099999999999"/>
    <m/>
    <n v="0"/>
    <s v="0"/>
    <s v="0"/>
    <s v="0"/>
    <s v="0"/>
    <n v="0"/>
    <n v="0"/>
    <n v="987.8"/>
    <s v="0"/>
    <n v="982.86099999999999"/>
    <s v="0"/>
    <n v="0"/>
    <s v="0"/>
    <m/>
    <m/>
    <m/>
    <m/>
    <m/>
    <m/>
  </r>
  <r>
    <d v="2026-02-16T00:00:00"/>
    <s v="METAL PAYMENT"/>
    <s v="ASHA RAAM GOLD JEWELLERY SHOP"/>
    <n v="238.92"/>
    <n v="0.995"/>
    <n v="237.72539999999998"/>
    <m/>
    <n v="0"/>
    <s v="0"/>
    <s v="0"/>
    <s v="0"/>
    <s v="0"/>
    <n v="0"/>
    <n v="0"/>
    <s v="0"/>
    <n v="238.92"/>
    <s v="0"/>
    <n v="237.72539999999998"/>
    <n v="0"/>
    <n v="0"/>
    <m/>
    <m/>
    <m/>
    <m/>
    <m/>
    <m/>
  </r>
  <r>
    <d v="2026-02-17T00:00:00"/>
    <s v="SALES"/>
    <s v="HINDUSTAN JEWELLERY LLC"/>
    <n v="474.58399999999995"/>
    <n v="0.88"/>
    <n v="417.63391999999993"/>
    <n v="12.140316571987258"/>
    <n v="5761.6"/>
    <n v="474.58399999999995"/>
    <s v="0"/>
    <n v="417.63391999999993"/>
    <s v="0"/>
    <n v="6049.68"/>
    <n v="0"/>
    <s v="0"/>
    <s v="0"/>
    <s v="0"/>
    <s v="0"/>
    <n v="0"/>
    <s v="0"/>
    <m/>
    <m/>
    <m/>
    <m/>
    <m/>
    <m/>
  </r>
  <r>
    <d v="2026-02-17T00:00:00"/>
    <s v="SALES"/>
    <s v="DHANANJAY JEWELLERY L.L.C"/>
    <n v="869.44"/>
    <n v="0.88"/>
    <n v="765.10720000000003"/>
    <n v="1.9795500552079497"/>
    <n v="1721.1"/>
    <n v="869.44"/>
    <s v="0"/>
    <n v="765.10720000000003"/>
    <s v="0"/>
    <n v="1807.155"/>
    <n v="0"/>
    <s v="0"/>
    <s v="0"/>
    <s v="0"/>
    <s v="0"/>
    <n v="0"/>
    <s v="0"/>
    <m/>
    <m/>
    <m/>
    <m/>
    <m/>
    <m/>
  </r>
  <r>
    <d v="2026-02-18T00:00:00"/>
    <s v="SALES"/>
    <s v="UMAR GOLD SHOP"/>
    <n v="885.64949999999999"/>
    <n v="0.88"/>
    <n v="779.37156000000004"/>
    <n v="9.6697395527237351"/>
    <n v="8564"/>
    <n v="885.64949999999999"/>
    <s v="0"/>
    <n v="779.37156000000004"/>
    <s v="0"/>
    <n v="8992.2000000000007"/>
    <n v="0"/>
    <s v="0"/>
    <s v="0"/>
    <s v="0"/>
    <s v="0"/>
    <n v="0"/>
    <s v="0"/>
    <m/>
    <m/>
    <m/>
    <m/>
    <m/>
    <m/>
  </r>
  <r>
    <d v="2026-02-18T00:00:00"/>
    <s v="SALES"/>
    <s v="SUMIT GOLD HUB LLC"/>
    <n v="408.23199999999997"/>
    <n v="0.92"/>
    <n v="375.57344000000001"/>
    <n v="8.8528091869329213"/>
    <n v="3614"/>
    <n v="408.23199999999997"/>
    <s v="0"/>
    <n v="375.57344000000001"/>
    <s v="0"/>
    <n v="3794.7"/>
    <n v="0"/>
    <s v="0"/>
    <s v="0"/>
    <s v="0"/>
    <s v="0"/>
    <n v="0"/>
    <s v="0"/>
    <m/>
    <m/>
    <m/>
    <m/>
    <m/>
    <m/>
  </r>
  <r>
    <d v="2026-02-18T00:00:00"/>
    <s v="SALES"/>
    <s v="RAM RAHEEM GOLD SHOP"/>
    <n v="386.49779999999998"/>
    <n v="0.88"/>
    <n v="340.118064"/>
    <n v="1.391495630764263"/>
    <n v="537.80999999999995"/>
    <n v="386.49779999999998"/>
    <s v="0"/>
    <n v="340.118064"/>
    <s v="0"/>
    <n v="564.70049999999992"/>
    <n v="0"/>
    <s v="0"/>
    <s v="0"/>
    <s v="0"/>
    <s v="0"/>
    <n v="0"/>
    <s v="0"/>
    <m/>
    <m/>
    <m/>
    <m/>
    <m/>
    <m/>
  </r>
  <r>
    <d v="2026-02-18T00:00:00"/>
    <s v="PURCHASE"/>
    <s v="INDIA STAR JEWELLERY"/>
    <n v="390.04"/>
    <n v="0.995"/>
    <n v="388.08980000000003"/>
    <m/>
    <n v="0"/>
    <s v="0"/>
    <s v="0"/>
    <s v="0"/>
    <s v="0"/>
    <n v="0"/>
    <n v="0"/>
    <n v="390.04"/>
    <s v="0"/>
    <n v="388.08980000000003"/>
    <s v="0"/>
    <n v="0"/>
    <s v="0"/>
    <m/>
    <m/>
    <m/>
    <m/>
    <m/>
    <m/>
  </r>
  <r>
    <d v="2026-02-18T00:00:00"/>
    <s v="PURCHASE"/>
    <s v="UMAR GOLD SHOP"/>
    <n v="1381.856"/>
    <n v="0.995"/>
    <n v="1374.9467199999999"/>
    <m/>
    <n v="0"/>
    <s v="0"/>
    <s v="0"/>
    <s v="0"/>
    <s v="0"/>
    <n v="0"/>
    <n v="0"/>
    <n v="1381.856"/>
    <s v="0"/>
    <n v="1374.9467199999999"/>
    <s v="0"/>
    <n v="0"/>
    <s v="0"/>
    <m/>
    <m/>
    <m/>
    <m/>
    <m/>
    <m/>
  </r>
  <r>
    <d v="2026-02-18T00:00:00"/>
    <s v="PURCHASE"/>
    <s v="DHANANJAY JEWELLERY L.L.C"/>
    <n v="492.09715"/>
    <n v="0.995"/>
    <n v="489.63666425000002"/>
    <m/>
    <n v="0"/>
    <s v="0"/>
    <s v="0"/>
    <s v="0"/>
    <s v="0"/>
    <n v="0"/>
    <n v="0"/>
    <n v="492.09715"/>
    <s v="0"/>
    <n v="489.63666425000002"/>
    <s v="0"/>
    <n v="0"/>
    <s v="0"/>
    <m/>
    <m/>
    <m/>
    <m/>
    <m/>
    <m/>
  </r>
  <r>
    <d v="2026-02-18T00:00:00"/>
    <s v="PURCHASE"/>
    <s v="SUMIT GOLD HUB LLC"/>
    <n v="467.53519999999997"/>
    <n v="1"/>
    <n v="467.53519999999997"/>
    <m/>
    <n v="0"/>
    <s v="0"/>
    <s v="0"/>
    <s v="0"/>
    <s v="0"/>
    <n v="0"/>
    <n v="0"/>
    <n v="467.53519999999997"/>
    <s v="0"/>
    <n v="467.53519999999997"/>
    <s v="0"/>
    <n v="0"/>
    <s v="0"/>
    <m/>
    <m/>
    <m/>
    <m/>
    <m/>
    <m/>
  </r>
  <r>
    <d v="2026-02-18T00:00:00"/>
    <s v="PURCHASE"/>
    <s v="SUMIT GOLD HUB LLC"/>
    <n v="386.49779999999998"/>
    <n v="0.995"/>
    <n v="384.56531100000001"/>
    <m/>
    <n v="0"/>
    <s v="0"/>
    <s v="0"/>
    <s v="0"/>
    <s v="0"/>
    <n v="0"/>
    <n v="0"/>
    <n v="386.49779999999998"/>
    <s v="0"/>
    <n v="384.56531100000001"/>
    <s v="0"/>
    <n v="0"/>
    <s v="0"/>
    <m/>
    <m/>
    <m/>
    <m/>
    <m/>
    <m/>
  </r>
  <r>
    <d v="2026-02-19T00:00:00"/>
    <s v="SALES"/>
    <s v="RAM RAHEEM GOLD SHOP"/>
    <n v="262.15199999999999"/>
    <n v="0.88"/>
    <n v="230.69376"/>
    <n v="14.520736061521561"/>
    <n v="3806.64"/>
    <n v="262.15199999999999"/>
    <s v="0"/>
    <n v="230.69376"/>
    <s v="0"/>
    <n v="3996.9719999999998"/>
    <n v="0"/>
    <s v="0"/>
    <s v="0"/>
    <s v="0"/>
    <s v="0"/>
    <n v="0"/>
    <s v="0"/>
    <m/>
    <m/>
    <m/>
    <m/>
    <m/>
    <m/>
  </r>
  <r>
    <d v="2026-02-19T00:00:00"/>
    <s v="SALES"/>
    <s v="BHARAT JEWELLERY LLC"/>
    <n v="319.59399999999999"/>
    <n v="0.88"/>
    <n v="281.24272000000002"/>
    <n v="33.106065821010411"/>
    <n v="10580.5"/>
    <n v="319.59399999999999"/>
    <s v="0"/>
    <n v="281.24272000000002"/>
    <s v="0"/>
    <n v="11109.525"/>
    <n v="0"/>
    <s v="0"/>
    <s v="0"/>
    <s v="0"/>
    <s v="0"/>
    <n v="0"/>
    <s v="0"/>
    <m/>
    <m/>
    <m/>
    <m/>
    <m/>
    <m/>
  </r>
  <r>
    <d v="2026-02-19T00:00:00"/>
    <s v="PURCHASE"/>
    <s v="ABBAS GOLD CENTER LLC"/>
    <n v="200.464"/>
    <n v="0.995"/>
    <n v="199.46168"/>
    <m/>
    <n v="0"/>
    <s v="0"/>
    <s v="0"/>
    <s v="0"/>
    <s v="0"/>
    <n v="0"/>
    <n v="0"/>
    <n v="200.464"/>
    <s v="0"/>
    <n v="199.46168"/>
    <s v="0"/>
    <n v="0"/>
    <s v="0"/>
    <m/>
    <m/>
    <m/>
    <m/>
    <m/>
    <m/>
  </r>
  <r>
    <d v="2026-02-19T00:00:00"/>
    <s v="PURCHASE"/>
    <s v="HINDUSTAN JEWELLERY LLC"/>
    <n v="489.63666425000002"/>
    <n v="0.995"/>
    <n v="487.18848092875004"/>
    <m/>
    <n v="0"/>
    <s v="0"/>
    <s v="0"/>
    <s v="0"/>
    <s v="0"/>
    <n v="0"/>
    <n v="0"/>
    <n v="489.63666425000002"/>
    <s v="0"/>
    <n v="487.18848092875004"/>
    <s v="0"/>
    <n v="0"/>
    <s v="0"/>
    <m/>
    <m/>
    <m/>
    <m/>
    <m/>
    <m/>
  </r>
  <r>
    <d v="2026-02-19T00:00:00"/>
    <s v="PURCHASE"/>
    <s v="BHARAT JEWELLERY LLC"/>
    <n v="467.53519999999997"/>
    <n v="0.995"/>
    <n v="465.19752399999999"/>
    <m/>
    <n v="0"/>
    <s v="0"/>
    <s v="0"/>
    <s v="0"/>
    <s v="0"/>
    <n v="0"/>
    <n v="0"/>
    <n v="467.53519999999997"/>
    <s v="0"/>
    <n v="465.19752399999999"/>
    <s v="0"/>
    <n v="0"/>
    <s v="0"/>
    <m/>
    <m/>
    <m/>
    <m/>
    <m/>
    <m/>
  </r>
  <r>
    <d v="2026-02-19T00:00:00"/>
    <s v="PURCHASE"/>
    <s v="RAM RAHEEM GOLD SHOP"/>
    <n v="384.56531100000001"/>
    <n v="0.995"/>
    <n v="382.64248444499998"/>
    <m/>
    <m/>
    <s v="0"/>
    <s v="0"/>
    <s v="0"/>
    <s v="0"/>
    <n v="0"/>
    <n v="0"/>
    <n v="384.56531100000001"/>
    <s v="0"/>
    <n v="382.64248444499998"/>
    <s v="0"/>
    <n v="0"/>
    <s v="0"/>
    <m/>
    <m/>
    <m/>
    <m/>
    <m/>
    <m/>
  </r>
  <r>
    <d v="2026-02-19T00:00:00"/>
    <s v="PURCHASE"/>
    <s v="ASHA RAAM GOLD JEWELLERY SHOP"/>
    <n v="230.69376"/>
    <n v="0.88"/>
    <n v="203.0105088"/>
    <n v="6.3332879051431643"/>
    <n v="1461.05"/>
    <s v="0"/>
    <s v="0"/>
    <s v="0"/>
    <s v="0"/>
    <n v="0"/>
    <n v="0"/>
    <n v="230.69376"/>
    <s v="0"/>
    <n v="203.0105088"/>
    <s v="0"/>
    <n v="1534.1025"/>
    <s v="0"/>
    <m/>
    <m/>
    <m/>
    <m/>
    <m/>
    <m/>
  </r>
  <r>
    <d v="2026-02-19T00:00:00"/>
    <s v="METAL PAYMENT"/>
    <s v="ASHA RAAM GOLD JEWELLERY SHOP"/>
    <n v="281.24272000000002"/>
    <n v="0.995"/>
    <n v="279.83650640000002"/>
    <m/>
    <n v="0"/>
    <s v="0"/>
    <s v="0"/>
    <s v="0"/>
    <s v="0"/>
    <n v="0"/>
    <n v="0"/>
    <s v="0"/>
    <n v="281.24272000000002"/>
    <s v="0"/>
    <n v="279.83650640000002"/>
    <n v="0"/>
    <n v="0"/>
    <m/>
    <m/>
    <m/>
    <m/>
    <m/>
    <m/>
  </r>
  <r>
    <d v="2026-02-21T00:00:00"/>
    <s v="SALES"/>
    <s v="BHARAT JEWELLERY LLC"/>
    <n v="199.46168"/>
    <n v="0.88"/>
    <n v="175.5262784"/>
    <n v="11.201399687398602"/>
    <n v="2234.25"/>
    <n v="199.46168"/>
    <s v="0"/>
    <n v="175.5262784"/>
    <s v="0"/>
    <n v="2345.9625000000001"/>
    <n v="0"/>
    <s v="0"/>
    <s v="0"/>
    <s v="0"/>
    <s v="0"/>
    <n v="0"/>
    <s v="0"/>
    <m/>
    <m/>
    <m/>
    <m/>
    <m/>
    <m/>
  </r>
  <r>
    <d v="2026-02-21T00:00:00"/>
    <s v="PURCHASE"/>
    <s v="DHANANJAY JEWELLERY L.L.C"/>
    <n v="355.58116000000001"/>
    <n v="0.995"/>
    <n v="353.80325420000003"/>
    <m/>
    <n v="0"/>
    <s v="0"/>
    <s v="0"/>
    <s v="0"/>
    <s v="0"/>
    <n v="0"/>
    <n v="0"/>
    <n v="355.58116000000001"/>
    <s v="0"/>
    <n v="353.80325420000003"/>
    <s v="0"/>
    <n v="0"/>
    <s v="0"/>
    <m/>
    <m/>
    <m/>
    <m/>
    <m/>
    <m/>
  </r>
  <r>
    <d v="2026-02-21T00:00:00"/>
    <s v="SALES RETURN"/>
    <s v="INDIA STAR JEWELLERY"/>
    <n v="677.18903999999998"/>
    <n v="0.88"/>
    <n v="595.92635519999999"/>
    <n v="4.0460637106589914"/>
    <n v="2739.95"/>
    <s v="0"/>
    <n v="677.18903999999998"/>
    <s v="0"/>
    <n v="595.92635519999999"/>
    <n v="0"/>
    <n v="2876.9474999999998"/>
    <s v="0"/>
    <s v="0"/>
    <s v="0"/>
    <s v="0"/>
    <n v="0"/>
    <s v="0"/>
    <m/>
    <m/>
    <m/>
    <m/>
    <m/>
    <m/>
  </r>
  <r>
    <d v="2026-02-23T00:00:00"/>
    <s v="SALES"/>
    <s v="DHANANJAY JEWELLERY L.L.C"/>
    <n v="248.29827000000003"/>
    <n v="0.88"/>
    <n v="218.50247760000002"/>
    <n v="7.3903052163835046"/>
    <n v="1835"/>
    <n v="248.29827000000003"/>
    <s v="0"/>
    <n v="218.50247760000002"/>
    <s v="0"/>
    <n v="1926.75"/>
    <n v="0"/>
    <s v="0"/>
    <s v="0"/>
    <s v="0"/>
    <s v="0"/>
    <n v="0"/>
    <s v="0"/>
    <m/>
    <m/>
    <m/>
    <m/>
    <m/>
    <m/>
  </r>
  <r>
    <d v="2026-02-23T00:00:00"/>
    <s v="SALES"/>
    <s v="BHARAT JEWELLERY LLC"/>
    <n v="451.41557999999992"/>
    <n v="0.88"/>
    <n v="397.24571039999995"/>
    <n v="13.706217228922407"/>
    <n v="6187.2"/>
    <n v="451.41557999999992"/>
    <s v="0"/>
    <n v="397.24571039999995"/>
    <s v="0"/>
    <n v="6496.5599999999995"/>
    <n v="0"/>
    <s v="0"/>
    <s v="0"/>
    <s v="0"/>
    <s v="0"/>
    <n v="0"/>
    <s v="0"/>
    <m/>
    <m/>
    <m/>
    <m/>
    <m/>
    <m/>
  </r>
  <r>
    <d v="2026-02-23T00:00:00"/>
    <s v="PURCHASE"/>
    <s v="OM NATH JEWELLERY LLC"/>
    <n v="383.13967500000001"/>
    <n v="0.995"/>
    <n v="381.22397662500003"/>
    <m/>
    <n v="0"/>
    <s v="0"/>
    <s v="0"/>
    <s v="0"/>
    <s v="0"/>
    <n v="0"/>
    <n v="0"/>
    <n v="383.13967500000001"/>
    <s v="0"/>
    <n v="381.22397662500003"/>
    <s v="0"/>
    <n v="0"/>
    <s v="0"/>
    <m/>
    <m/>
    <m/>
    <m/>
    <m/>
    <m/>
  </r>
  <r>
    <d v="2026-02-23T00:00:00"/>
    <s v="PURCHASE"/>
    <s v="ABBAS GOLD CENTER LLC"/>
    <n v="875.6"/>
    <n v="0.995"/>
    <n v="871.22199999999998"/>
    <m/>
    <n v="0"/>
    <s v="0"/>
    <s v="0"/>
    <s v="0"/>
    <s v="0"/>
    <n v="0"/>
    <n v="0"/>
    <n v="875.6"/>
    <s v="0"/>
    <n v="871.22199999999998"/>
    <s v="0"/>
    <n v="0"/>
    <s v="0"/>
    <m/>
    <m/>
    <m/>
    <m/>
    <m/>
    <m/>
  </r>
  <r>
    <d v="2026-02-23T00:00:00"/>
    <s v="PURCHASE"/>
    <s v="HINDUSTAN JEWELLERY LLC"/>
    <n v="23.466079999999998"/>
    <n v="0.995"/>
    <n v="23.348749599999998"/>
    <m/>
    <n v="0"/>
    <s v="0"/>
    <s v="0"/>
    <s v="0"/>
    <s v="0"/>
    <n v="0"/>
    <n v="0"/>
    <n v="23.466079999999998"/>
    <s v="0"/>
    <n v="23.348749599999998"/>
    <s v="0"/>
    <n v="0"/>
    <s v="0"/>
    <m/>
    <m/>
    <m/>
    <m/>
    <m/>
    <m/>
  </r>
  <r>
    <d v="2026-02-23T00:00:00"/>
    <s v="PURCHASE"/>
    <s v="BHARAT JEWELLERY LLC"/>
    <n v="1652.1823999999999"/>
    <n v="0.995"/>
    <n v="1643.921488"/>
    <m/>
    <n v="0"/>
    <s v="0"/>
    <s v="0"/>
    <s v="0"/>
    <s v="0"/>
    <n v="0"/>
    <n v="0"/>
    <n v="1652.1823999999999"/>
    <s v="0"/>
    <n v="1643.921488"/>
    <s v="0"/>
    <n v="0"/>
    <s v="0"/>
    <m/>
    <m/>
    <m/>
    <m/>
    <m/>
    <m/>
  </r>
  <r>
    <d v="2026-02-24T00:00:00"/>
    <s v="SALES"/>
    <s v="DHANANJAY JEWELLERY L.L.C"/>
    <n v="293.03295999999995"/>
    <n v="0.88"/>
    <n v="257.86900479999997"/>
    <n v="0.36582915450876252"/>
    <n v="107.2"/>
    <n v="293.03295999999995"/>
    <s v="0"/>
    <n v="257.86900479999997"/>
    <s v="0"/>
    <n v="112.56"/>
    <n v="0"/>
    <s v="0"/>
    <s v="0"/>
    <s v="0"/>
    <s v="0"/>
    <n v="0"/>
    <s v="0"/>
    <m/>
    <m/>
    <m/>
    <m/>
    <m/>
    <m/>
  </r>
  <r>
    <d v="2026-02-24T00:00:00"/>
    <s v="SALES"/>
    <s v="HINDUSTAN JEWELLERY LLC"/>
    <n v="426.24207999999999"/>
    <n v="0.88"/>
    <n v="375.09303039999998"/>
    <n v="25.199412502866913"/>
    <n v="10741.05"/>
    <n v="426.24207999999999"/>
    <s v="0"/>
    <n v="375.09303039999998"/>
    <s v="0"/>
    <n v="11278.102499999999"/>
    <n v="0"/>
    <s v="0"/>
    <s v="0"/>
    <s v="0"/>
    <s v="0"/>
    <n v="0"/>
    <s v="0"/>
    <m/>
    <m/>
    <m/>
    <m/>
    <m/>
    <m/>
  </r>
  <r>
    <d v="2026-02-25T00:00:00"/>
    <s v="SALES"/>
    <s v="BABA RAMDEV AYURVEDIC GOLD"/>
    <n v="403.26688324999998"/>
    <n v="0.88"/>
    <n v="354.87485726"/>
    <n v="7.5066912899052189"/>
    <n v="3027.2"/>
    <n v="403.26688324999998"/>
    <s v="0"/>
    <n v="354.87485726"/>
    <s v="0"/>
    <n v="3178.56"/>
    <n v="0"/>
    <s v="0"/>
    <s v="0"/>
    <s v="0"/>
    <s v="0"/>
    <n v="0"/>
    <s v="0"/>
    <m/>
    <m/>
    <m/>
    <m/>
    <m/>
    <m/>
  </r>
  <r>
    <d v="2026-02-25T00:00:00"/>
    <s v="PURCHASE"/>
    <s v="DHANANJAY JEWELLERY L.L.C"/>
    <n v="806.34003999999993"/>
    <n v="0.995"/>
    <n v="802.30833979999989"/>
    <m/>
    <n v="0"/>
    <s v="0"/>
    <s v="0"/>
    <s v="0"/>
    <s v="0"/>
    <n v="0"/>
    <n v="0"/>
    <n v="806.34003999999993"/>
    <s v="0"/>
    <n v="802.30833979999989"/>
    <s v="0"/>
    <n v="0"/>
    <s v="0"/>
    <m/>
    <m/>
    <m/>
    <m/>
    <m/>
    <m/>
  </r>
  <r>
    <d v="2026-02-25T00:00:00"/>
    <s v="PURCHASE"/>
    <s v="INDIA STAR JEWELLERY"/>
    <n v="198.63861600000001"/>
    <n v="0.995"/>
    <n v="197.64542292000002"/>
    <m/>
    <n v="0"/>
    <s v="0"/>
    <s v="0"/>
    <s v="0"/>
    <s v="0"/>
    <n v="0"/>
    <n v="0"/>
    <n v="198.63861600000001"/>
    <s v="0"/>
    <n v="197.64542292000002"/>
    <s v="0"/>
    <n v="0"/>
    <s v="0"/>
    <m/>
    <m/>
    <m/>
    <m/>
    <m/>
    <m/>
  </r>
  <r>
    <d v="2026-02-26T00:00:00"/>
    <s v="SALES"/>
    <s v="BHARAT JEWELLERY LLC"/>
    <n v="218.72488000000001"/>
    <n v="0.88"/>
    <n v="192.47789440000003"/>
    <n v="29.472184417245995"/>
    <n v="6446.3"/>
    <n v="218.72488000000001"/>
    <s v="0"/>
    <n v="192.47789440000003"/>
    <s v="0"/>
    <n v="6768.6149999999998"/>
    <n v="0"/>
    <s v="0"/>
    <s v="0"/>
    <s v="0"/>
    <s v="0"/>
    <n v="0"/>
    <s v="0"/>
    <m/>
    <m/>
    <m/>
    <m/>
    <m/>
    <m/>
  </r>
  <r>
    <d v="2026-02-26T00:00:00"/>
    <s v="SALES"/>
    <s v="RAHUL BABA GOLD HUB"/>
    <n v="688.39671999999996"/>
    <n v="0.88"/>
    <n v="605.78911359999995"/>
    <n v="1.9772900719224813"/>
    <n v="1361.16"/>
    <n v="688.39671999999996"/>
    <s v="0"/>
    <n v="605.78911359999995"/>
    <s v="0"/>
    <n v="1429.2180000000001"/>
    <n v="0"/>
    <s v="0"/>
    <s v="0"/>
    <s v="0"/>
    <s v="0"/>
    <n v="0"/>
    <s v="0"/>
    <m/>
    <m/>
    <m/>
    <m/>
    <m/>
    <m/>
  </r>
  <r>
    <d v="2026-02-26T00:00:00"/>
    <s v="SALES"/>
    <s v="RAJU GOLD STAR"/>
    <n v="351.81608"/>
    <n v="0.88"/>
    <n v="309.59815040000001"/>
    <n v="2.9029372392529642"/>
    <n v="1021.3"/>
    <n v="351.81608"/>
    <s v="0"/>
    <n v="309.59815040000001"/>
    <s v="0"/>
    <n v="1072.365"/>
    <n v="0"/>
    <s v="0"/>
    <s v="0"/>
    <s v="0"/>
    <s v="0"/>
    <n v="0"/>
    <s v="0"/>
    <m/>
    <m/>
    <m/>
    <m/>
    <m/>
    <m/>
  </r>
  <r>
    <d v="2026-02-26T00:00:00"/>
    <s v="PURCHASE"/>
    <s v="BHARAT JEWELLERY LLC"/>
    <n v="214.80219199999999"/>
    <n v="0.995"/>
    <n v="213.72818103999998"/>
    <m/>
    <n v="0"/>
    <s v="0"/>
    <s v="0"/>
    <s v="0"/>
    <s v="0"/>
    <n v="0"/>
    <n v="0"/>
    <n v="214.80219199999999"/>
    <s v="0"/>
    <n v="213.72818103999998"/>
    <s v="0"/>
    <n v="0"/>
    <s v="0"/>
    <m/>
    <m/>
    <m/>
    <m/>
    <m/>
    <m/>
  </r>
  <r>
    <d v="2026-02-26T00:00:00"/>
    <s v="PURCHASE"/>
    <s v="HINDUSTAN JEWELLERY LLC"/>
    <n v="198.35150874999999"/>
    <n v="0.995"/>
    <n v="197.35975120625"/>
    <m/>
    <n v="0"/>
    <s v="0"/>
    <s v="0"/>
    <s v="0"/>
    <s v="0"/>
    <n v="0"/>
    <n v="0"/>
    <n v="198.35150874999999"/>
    <s v="0"/>
    <n v="197.35975120625"/>
    <s v="0"/>
    <n v="0"/>
    <s v="0"/>
    <m/>
    <m/>
    <m/>
    <m/>
    <m/>
    <m/>
  </r>
  <r>
    <d v="2026-02-26T00:00:00"/>
    <s v="PURCHASE"/>
    <s v="GORAKHPUR GOLD SHOP"/>
    <n v="237.34859349999999"/>
    <n v="0.995"/>
    <n v="236.16185053249998"/>
    <m/>
    <n v="0"/>
    <s v="0"/>
    <s v="0"/>
    <s v="0"/>
    <s v="0"/>
    <n v="0"/>
    <n v="0"/>
    <n v="237.34859349999999"/>
    <s v="0"/>
    <n v="236.16185053249998"/>
    <s v="0"/>
    <n v="0"/>
    <s v="0"/>
    <m/>
    <m/>
    <m/>
    <m/>
    <m/>
    <m/>
  </r>
  <r>
    <d v="2026-02-26T00:00:00"/>
    <s v="PURCHASE"/>
    <s v="RAHUL BABA GOLD HUB"/>
    <n v="329.73952000000003"/>
    <n v="0.995"/>
    <n v="328.09082240000004"/>
    <m/>
    <n v="0"/>
    <s v="0"/>
    <s v="0"/>
    <s v="0"/>
    <s v="0"/>
    <n v="0"/>
    <n v="0"/>
    <n v="329.73952000000003"/>
    <s v="0"/>
    <n v="328.09082240000004"/>
    <s v="0"/>
    <n v="0"/>
    <s v="0"/>
    <m/>
    <m/>
    <m/>
    <m/>
    <m/>
    <m/>
  </r>
  <r>
    <d v="2026-02-26T00:00:00"/>
    <s v="PURCHASE"/>
    <s v="RAJU GOLD STAR"/>
    <n v="510.48448000000002"/>
    <n v="0.995"/>
    <n v="507.93205760000001"/>
    <m/>
    <n v="0"/>
    <s v="0"/>
    <s v="0"/>
    <s v="0"/>
    <s v="0"/>
    <n v="0"/>
    <n v="0"/>
    <n v="510.48448000000002"/>
    <s v="0"/>
    <n v="507.93205760000001"/>
    <s v="0"/>
    <n v="0"/>
    <s v="0"/>
    <m/>
    <m/>
    <m/>
    <m/>
    <m/>
    <m/>
  </r>
  <r>
    <d v="2026-02-27T00:00:00"/>
    <s v="SALES"/>
    <s v="DHANANJAY JEWELLERY L.L.C"/>
    <n v="197.35975120625"/>
    <n v="0.88"/>
    <n v="173.6765810615"/>
    <n v="8.3664475147945456"/>
    <n v="1651.2"/>
    <n v="197.35975120625"/>
    <s v="0"/>
    <n v="173.6765810615"/>
    <s v="0"/>
    <n v="1733.76"/>
    <n v="0"/>
    <s v="0"/>
    <s v="0"/>
    <s v="0"/>
    <s v="0"/>
    <n v="0"/>
    <s v="0"/>
    <m/>
    <m/>
    <m/>
    <m/>
    <m/>
    <m/>
  </r>
  <r>
    <d v="2026-02-27T00:00:00"/>
    <s v="SALES"/>
    <s v="HINDUSTAN JEWELLERY LLC"/>
    <n v="236.16185053249998"/>
    <n v="0.88"/>
    <n v="207.82242846859998"/>
    <n v="17.748844661187828"/>
    <n v="4191.6000000000004"/>
    <n v="236.16185053249998"/>
    <s v="0"/>
    <n v="207.82242846859998"/>
    <s v="0"/>
    <n v="4401.18"/>
    <n v="0"/>
    <s v="0"/>
    <s v="0"/>
    <s v="0"/>
    <s v="0"/>
    <n v="0"/>
    <s v="0"/>
    <m/>
    <m/>
    <m/>
    <m/>
    <m/>
    <m/>
  </r>
  <r>
    <d v="2026-02-27T00:00:00"/>
    <s v="PURCHASE"/>
    <s v="BABA RAMDEV AYURVEDIC GOLD"/>
    <n v="328.09082240000004"/>
    <n v="0.995"/>
    <n v="326.45036828800005"/>
    <m/>
    <n v="0"/>
    <s v="0"/>
    <s v="0"/>
    <s v="0"/>
    <s v="0"/>
    <n v="0"/>
    <n v="0"/>
    <n v="328.09082240000004"/>
    <s v="0"/>
    <n v="326.45036828800005"/>
    <s v="0"/>
    <n v="0"/>
    <s v="0"/>
    <m/>
    <m/>
    <m/>
    <m/>
    <m/>
    <m/>
  </r>
  <r>
    <d v="2026-02-27T00:00:00"/>
    <s v="PURCHASE"/>
    <s v="ABBAS GOLD CENTER LLC"/>
    <n v="507.93205760000001"/>
    <n v="0.995"/>
    <n v="505.39239731200001"/>
    <m/>
    <n v="0"/>
    <s v="0"/>
    <s v="0"/>
    <s v="0"/>
    <s v="0"/>
    <n v="0"/>
    <n v="0"/>
    <n v="507.93205760000001"/>
    <s v="0"/>
    <n v="505.39239731200001"/>
    <s v="0"/>
    <n v="0"/>
    <s v="0"/>
    <m/>
    <m/>
    <m/>
    <m/>
    <m/>
    <m/>
  </r>
  <r>
    <d v="2026-02-27T00:00:00"/>
    <s v="PURCHASE"/>
    <s v="UMAR GOLD SHOP"/>
    <n v="257.86490048000002"/>
    <n v="0.995"/>
    <n v="256.57557597760001"/>
    <m/>
    <n v="0"/>
    <s v="0"/>
    <s v="0"/>
    <s v="0"/>
    <s v="0"/>
    <n v="0"/>
    <n v="0"/>
    <n v="257.86490048000002"/>
    <s v="0"/>
    <n v="256.57557597760001"/>
    <s v="0"/>
    <n v="0"/>
    <s v="0"/>
    <m/>
    <m/>
    <m/>
    <m/>
    <m/>
    <m/>
  </r>
  <r>
    <d v="2026-02-27T00:00:00"/>
    <s v="PURCHASE"/>
    <s v="DHANANJAY JEWELLERY L.L.C"/>
    <n v="367.05454082"/>
    <n v="0.995"/>
    <n v="365.21926811589998"/>
    <m/>
    <n v="0"/>
    <s v="0"/>
    <s v="0"/>
    <s v="0"/>
    <s v="0"/>
    <n v="0"/>
    <n v="0"/>
    <n v="367.05454082"/>
    <s v="0"/>
    <n v="365.21926811589998"/>
    <s v="0"/>
    <n v="0"/>
    <s v="0"/>
    <m/>
    <m/>
    <m/>
    <m/>
    <m/>
    <m/>
  </r>
  <r>
    <d v="2026-02-28T00:00:00"/>
    <s v="SALES"/>
    <s v="BABA RAMDEV AYURVEDIC GOLD"/>
    <n v="256.57557597760001"/>
    <n v="0.88"/>
    <n v="225.786506860288"/>
    <n v="24.388915336767329"/>
    <n v="6257.6"/>
    <n v="256.57557597760001"/>
    <s v="0"/>
    <n v="225.786506860288"/>
    <s v="0"/>
    <n v="6570.4800000000005"/>
    <n v="0"/>
    <s v="0"/>
    <s v="0"/>
    <s v="0"/>
    <s v="0"/>
    <n v="0"/>
    <s v="0"/>
    <m/>
    <m/>
    <m/>
    <m/>
    <m/>
    <m/>
  </r>
  <r>
    <d v="2026-02-28T00:00:00"/>
    <s v="SALES"/>
    <s v="DHANANJAY JEWELLERY L.L.C"/>
    <n v="365.21926811589998"/>
    <n v="0.88"/>
    <n v="321.392955941992"/>
    <n v="19.462280937883929"/>
    <n v="7108"/>
    <n v="365.21926811589998"/>
    <s v="0"/>
    <n v="321.392955941992"/>
    <s v="0"/>
    <n v="7463.4"/>
    <n v="0"/>
    <s v="0"/>
    <s v="0"/>
    <s v="0"/>
    <s v="0"/>
    <n v="0"/>
    <s v="0"/>
    <m/>
    <m/>
    <m/>
    <m/>
    <m/>
    <m/>
  </r>
  <r>
    <d v="2026-02-28T00:00:00"/>
    <s v="PURCHASE"/>
    <s v="BABA RAMDEV AYURVEDIC GOLD"/>
    <n v="688.33600000000001"/>
    <n v="0.995"/>
    <n v="684.89431999999999"/>
    <m/>
    <n v="0"/>
    <s v="0"/>
    <s v="0"/>
    <s v="0"/>
    <s v="0"/>
    <n v="0"/>
    <n v="0"/>
    <n v="688.33600000000001"/>
    <s v="0"/>
    <n v="684.89431999999999"/>
    <s v="0"/>
    <n v="0"/>
    <s v="0"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0">
  <r>
    <d v="2026-06-01T00:00:00"/>
    <s v="SALES"/>
    <s v="VIRAT BABA  CRICKET WALE"/>
    <n v="442.11199999999997"/>
    <n v="0.88"/>
    <n v="389.05856"/>
    <n v="7.6035031847133769"/>
    <n v="3361.6000000000004"/>
    <n v="442.11199999999997"/>
    <s v="0"/>
    <n v="389.05856"/>
    <s v="0"/>
    <n v="3361.6000000000004"/>
    <s v="0"/>
    <s v="0"/>
    <s v="0"/>
    <s v="0"/>
    <s v="0"/>
    <s v="0"/>
    <s v="0"/>
    <m/>
    <m/>
    <m/>
    <m/>
    <m/>
    <m/>
  </r>
  <r>
    <d v="2026-06-01T00:00:00"/>
    <s v="PURCHASE"/>
    <s v="VIRAT BABA  CRICKET WALE"/>
    <n v="442.10834999999997"/>
    <n v="0.995"/>
    <n v="439.89780824999997"/>
    <n v="0"/>
    <m/>
    <s v="0"/>
    <s v="0"/>
    <s v="0"/>
    <s v="0"/>
    <s v="0"/>
    <s v="0"/>
    <n v="442.10834999999997"/>
    <s v="0"/>
    <n v="439.89780824999997"/>
    <s v="0"/>
    <n v="0"/>
    <s v="0"/>
    <m/>
    <m/>
    <m/>
    <m/>
    <m/>
    <m/>
  </r>
  <r>
    <d v="2026-06-01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3360"/>
    <m/>
    <m/>
    <m/>
    <m/>
    <m/>
  </r>
  <r>
    <d v="2026-06-02T00:00:00"/>
    <s v="PURCHASE"/>
    <s v="ROHIT BABA CRICKET WALE"/>
    <n v="413.0643"/>
    <n v="0.88"/>
    <n v="363.49658399999998"/>
    <n v="7.444416038858841"/>
    <n v="3075.0225"/>
    <s v="0"/>
    <s v="0"/>
    <s v="0"/>
    <s v="0"/>
    <s v="0"/>
    <s v="0"/>
    <n v="413.0643"/>
    <s v="0"/>
    <n v="363.49658399999998"/>
    <s v="0"/>
    <n v="3075.0225"/>
    <s v="0"/>
    <m/>
    <m/>
    <m/>
    <m/>
    <m/>
    <m/>
  </r>
  <r>
    <d v="2026-06-02T00:00:00"/>
    <s v="METAL PAYMENT"/>
    <s v="HMMAA DEVI"/>
    <n v="452"/>
    <n v="0.995"/>
    <n v="449.74"/>
    <n v="0"/>
    <m/>
    <s v="0"/>
    <s v="0"/>
    <s v="0"/>
    <s v="0"/>
    <s v="0"/>
    <s v="0"/>
    <s v="0"/>
    <n v="452"/>
    <s v="0"/>
    <n v="449.74"/>
    <s v="0"/>
    <n v="0"/>
    <m/>
    <m/>
    <m/>
    <m/>
    <m/>
    <m/>
  </r>
  <r>
    <d v="2026-06-03T00:00:00"/>
    <s v="SALES"/>
    <s v="SURYA BABA WORLD CUP WALE"/>
    <n v="795.77343999999994"/>
    <n v="0.88"/>
    <n v="700.28062719999991"/>
    <n v="12.020255413400076"/>
    <n v="9565.4"/>
    <n v="795.77343999999994"/>
    <s v="0"/>
    <n v="700.28062719999991"/>
    <s v="0"/>
    <n v="9565.4"/>
    <s v="0"/>
    <s v="0"/>
    <s v="0"/>
    <s v="0"/>
    <s v="0"/>
    <s v="0"/>
    <s v="0"/>
    <m/>
    <m/>
    <m/>
    <m/>
    <m/>
    <m/>
  </r>
  <r>
    <d v="2026-06-03T00:00:00"/>
    <s v="SALES"/>
    <s v="MULLA JI GOLD"/>
    <n v="909.14906931200005"/>
    <n v="0.88"/>
    <n v="800.05118099456001"/>
    <n v="4.9884888552237969"/>
    <n v="4535.28"/>
    <n v="909.14906931200005"/>
    <s v="0"/>
    <n v="800.05118099456001"/>
    <s v="0"/>
    <n v="4535.28"/>
    <s v="0"/>
    <s v="0"/>
    <s v="0"/>
    <s v="0"/>
    <s v="0"/>
    <s v="0"/>
    <s v="0"/>
    <m/>
    <m/>
    <m/>
    <m/>
    <m/>
    <m/>
  </r>
  <r>
    <d v="2026-06-03T00:00:00"/>
    <s v="PURCHASE"/>
    <s v="MULLA JI GOLD"/>
    <n v="426.42520114523995"/>
    <n v="0.995"/>
    <n v="424.29307513951375"/>
    <n v="0"/>
    <m/>
    <s v="0"/>
    <s v="0"/>
    <s v="0"/>
    <s v="0"/>
    <s v="0"/>
    <s v="0"/>
    <n v="426.42520114523995"/>
    <s v="0"/>
    <n v="424.29307513951375"/>
    <s v="0"/>
    <n v="0"/>
    <s v="0"/>
    <m/>
    <m/>
    <m/>
    <m/>
    <m/>
    <m/>
  </r>
  <r>
    <d v="2026-06-03T00:00:00"/>
    <s v="PAYMENT"/>
    <s v="HMMAA DEVI"/>
    <n v="662.41766799999994"/>
    <m/>
    <n v="0"/>
    <n v="0"/>
    <m/>
    <s v="0"/>
    <s v="0"/>
    <s v="0"/>
    <s v="0"/>
    <s v="0"/>
    <s v="0"/>
    <s v="0"/>
    <s v="0"/>
    <s v="0"/>
    <s v="0"/>
    <s v="0"/>
    <s v="0"/>
    <m/>
    <m/>
    <n v="3075"/>
    <m/>
    <m/>
    <m/>
  </r>
  <r>
    <d v="2026-06-05T00:00:00"/>
    <s v="SALES"/>
    <s v="VIRAT BABA  CRICKET WALE"/>
    <n v="302.08199999999999"/>
    <n v="0.88"/>
    <n v="265.83215999999999"/>
    <n v="9.6957117603829435"/>
    <n v="2928.9"/>
    <n v="302.08199999999999"/>
    <s v="0"/>
    <n v="265.83215999999999"/>
    <s v="0"/>
    <n v="2928.9"/>
    <s v="0"/>
    <s v="0"/>
    <s v="0"/>
    <s v="0"/>
    <s v="0"/>
    <s v="0"/>
    <s v="0"/>
    <m/>
    <m/>
    <m/>
    <m/>
    <m/>
    <m/>
  </r>
  <r>
    <d v="2026-06-05T00:00:00"/>
    <s v="PURCHASE"/>
    <s v="VIRAT BABA  CRICKET WALE"/>
    <n v="241.01884999999999"/>
    <n v="0.995"/>
    <n v="239.81375574999998"/>
    <n v="0"/>
    <m/>
    <s v="0"/>
    <s v="0"/>
    <s v="0"/>
    <s v="0"/>
    <s v="0"/>
    <s v="0"/>
    <n v="241.01884999999999"/>
    <s v="0"/>
    <n v="239.81375574999998"/>
    <s v="0"/>
    <n v="0"/>
    <s v="0"/>
    <m/>
    <m/>
    <m/>
    <m/>
    <m/>
    <m/>
  </r>
  <r>
    <d v="2026-06-05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2930"/>
    <m/>
    <m/>
    <m/>
    <m/>
    <m/>
  </r>
  <r>
    <d v="2026-06-05T00:00:00"/>
    <s v="RECEIPT"/>
    <s v="OLD KUNFU"/>
    <m/>
    <m/>
    <n v="0"/>
    <e v="#DIV/0!"/>
    <m/>
    <s v="0"/>
    <s v="0"/>
    <s v="0"/>
    <s v="0"/>
    <s v="0"/>
    <s v="0"/>
    <s v="0"/>
    <s v="0"/>
    <s v="0"/>
    <s v="0"/>
    <s v="0"/>
    <s v="0"/>
    <n v="4700"/>
    <m/>
    <m/>
    <m/>
    <m/>
    <m/>
  </r>
  <r>
    <d v="2026-06-05T00:00:00"/>
    <s v="SALES"/>
    <s v="GOLDI BARAR"/>
    <n v="128.78272000000001"/>
    <n v="0.88"/>
    <n v="113.32879360000001"/>
    <n v="36.495579531166911"/>
    <n v="4700"/>
    <n v="128.78272000000001"/>
    <s v="0"/>
    <n v="113.32879360000001"/>
    <s v="0"/>
    <n v="4700"/>
    <s v="0"/>
    <s v="0"/>
    <s v="0"/>
    <s v="0"/>
    <s v="0"/>
    <s v="0"/>
    <s v="0"/>
    <m/>
    <m/>
    <m/>
    <m/>
    <m/>
    <m/>
  </r>
  <r>
    <d v="2026-06-08T00:00:00"/>
    <s v="PURCHASE"/>
    <s v="SURYA BABA WORLD CUP WALE"/>
    <n v="502.11282000000006"/>
    <n v="0.995"/>
    <n v="499.60225590000005"/>
    <n v="0"/>
    <m/>
    <s v="0"/>
    <s v="0"/>
    <s v="0"/>
    <s v="0"/>
    <s v="0"/>
    <s v="0"/>
    <n v="502.11282000000006"/>
    <s v="0"/>
    <n v="499.60225590000005"/>
    <s v="0"/>
    <n v="0"/>
    <s v="0"/>
    <m/>
    <m/>
    <m/>
    <m/>
    <m/>
    <m/>
  </r>
  <r>
    <d v="2026-06-09T00:00:00"/>
    <s v="SALES"/>
    <s v="MUNNA BAJRANGI"/>
    <n v="1174.0044800000001"/>
    <n v="0.88"/>
    <n v="1033.1239424"/>
    <n v="0.94863351799134532"/>
    <n v="1113.7"/>
    <n v="1174.0044800000001"/>
    <s v="0"/>
    <n v="1033.1239424"/>
    <s v="0"/>
    <n v="1113.7"/>
    <s v="0"/>
    <s v="0"/>
    <s v="0"/>
    <s v="0"/>
    <s v="0"/>
    <s v="0"/>
    <s v="0"/>
    <m/>
    <m/>
    <m/>
    <m/>
    <m/>
    <m/>
  </r>
  <r>
    <d v="2026-06-09T00:00:00"/>
    <s v="SALES"/>
    <s v="VIRAT BABA  CRICKET WALE"/>
    <n v="296.47199999999998"/>
    <n v="0.88"/>
    <n v="260.89535999999998"/>
    <n v="9.9611430421759906"/>
    <n v="2953.2"/>
    <n v="296.47199999999998"/>
    <s v="0"/>
    <n v="260.89535999999998"/>
    <s v="0"/>
    <n v="2953.2"/>
    <s v="0"/>
    <s v="0"/>
    <s v="0"/>
    <s v="0"/>
    <s v="0"/>
    <s v="0"/>
    <s v="0"/>
    <m/>
    <m/>
    <m/>
    <m/>
    <m/>
    <m/>
  </r>
  <r>
    <d v="2026-06-09T00:00:00"/>
    <s v="SALES"/>
    <s v="KRISHNA JI "/>
    <n v="437.69831920874998"/>
    <n v="0.88"/>
    <n v="385.1745209037"/>
    <n v="0"/>
    <m/>
    <n v="437.69831920874998"/>
    <s v="0"/>
    <n v="385.1745209037"/>
    <s v="0"/>
    <n v="0"/>
    <s v="0"/>
    <s v="0"/>
    <s v="0"/>
    <s v="0"/>
    <s v="0"/>
    <s v="0"/>
    <s v="0"/>
    <m/>
    <m/>
    <m/>
    <m/>
    <m/>
    <m/>
  </r>
  <r>
    <d v="2026-06-09T00:00:00"/>
    <s v="SALES"/>
    <s v="KRISHNA JI "/>
    <n v="570.59199999999998"/>
    <n v="0.88"/>
    <n v="502.12095999999997"/>
    <n v="1.7788542426111829"/>
    <n v="1015"/>
    <n v="570.59199999999998"/>
    <s v="0"/>
    <n v="502.12095999999997"/>
    <s v="0"/>
    <n v="1015"/>
    <s v="0"/>
    <s v="0"/>
    <s v="0"/>
    <s v="0"/>
    <s v="0"/>
    <s v="0"/>
    <s v="0"/>
    <m/>
    <m/>
    <m/>
    <m/>
    <m/>
    <m/>
  </r>
  <r>
    <d v="2026-06-09T00:00:00"/>
    <s v="PURCHASE"/>
    <s v="MUNNA BAJRANGI"/>
    <n v="5665"/>
    <n v="0.995"/>
    <n v="5636.6750000000002"/>
    <m/>
    <m/>
    <s v="0"/>
    <s v="0"/>
    <s v="0"/>
    <s v="0"/>
    <s v="0"/>
    <s v="0"/>
    <n v="5665"/>
    <s v="0"/>
    <n v="5636.6750000000002"/>
    <s v="0"/>
    <n v="0"/>
    <s v="0"/>
    <m/>
    <m/>
    <m/>
    <m/>
    <m/>
    <m/>
  </r>
  <r>
    <d v="2026-06-09T00:00:00"/>
    <s v="PURCHASE"/>
    <s v="VIRAT BABA  CRICKET WALE"/>
    <n v="1179.904"/>
    <n v="0.995"/>
    <n v="1174.0044800000001"/>
    <m/>
    <m/>
    <s v="0"/>
    <s v="0"/>
    <s v="0"/>
    <s v="0"/>
    <s v="0"/>
    <s v="0"/>
    <n v="1179.904"/>
    <s v="0"/>
    <n v="1174.0044800000001"/>
    <s v="0"/>
    <n v="0"/>
    <s v="0"/>
    <m/>
    <m/>
    <m/>
    <m/>
    <m/>
    <m/>
  </r>
  <r>
    <d v="2026-06-09T00:00:00"/>
    <s v="PURCHASE"/>
    <s v="OBD STUDIO"/>
    <n v="1038.28648"/>
    <n v="0.88"/>
    <n v="913.69210239999995"/>
    <n v="1.2825410189295732"/>
    <n v="1331.645"/>
    <s v="0"/>
    <s v="0"/>
    <s v="0"/>
    <s v="0"/>
    <s v="0"/>
    <s v="0"/>
    <n v="1038.28648"/>
    <s v="0"/>
    <n v="913.69210239999995"/>
    <s v="0"/>
    <n v="1331.645"/>
    <s v="0"/>
    <m/>
    <m/>
    <m/>
    <m/>
    <m/>
    <m/>
  </r>
  <r>
    <d v="2026-06-09T00:00:00"/>
    <s v="METAL PAYMENT"/>
    <s v="RAM JI"/>
    <n v="65"/>
    <n v="0.995"/>
    <n v="64.674999999999997"/>
    <n v="0"/>
    <m/>
    <s v="0"/>
    <s v="0"/>
    <s v="0"/>
    <s v="0"/>
    <s v="0"/>
    <s v="0"/>
    <s v="0"/>
    <n v="65"/>
    <s v="0"/>
    <n v="64.674999999999997"/>
    <s v="0"/>
    <n v="0"/>
    <m/>
    <m/>
    <m/>
    <m/>
    <m/>
    <m/>
  </r>
  <r>
    <d v="2026-06-09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2950"/>
    <m/>
    <m/>
    <m/>
    <m/>
    <m/>
  </r>
  <r>
    <d v="2026-06-09T00:00:00"/>
    <s v="RECEIPT"/>
    <s v="TILUU BABA"/>
    <m/>
    <m/>
    <n v="0"/>
    <e v="#DIV/0!"/>
    <m/>
    <s v="0"/>
    <s v="0"/>
    <s v="0"/>
    <s v="0"/>
    <s v="0"/>
    <s v="0"/>
    <s v="0"/>
    <s v="0"/>
    <s v="0"/>
    <s v="0"/>
    <s v="0"/>
    <s v="0"/>
    <n v="1110"/>
    <m/>
    <m/>
    <m/>
    <m/>
    <m/>
  </r>
  <r>
    <d v="2026-06-09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1325"/>
    <m/>
    <m/>
    <m/>
  </r>
  <r>
    <d v="2026-06-10T00:00:00"/>
    <s v="SALES"/>
    <s v="AYAPPA BAJRANGI BHAI"/>
    <n v="616.24695193599996"/>
    <n v="0.88"/>
    <n v="542.29731770367994"/>
    <n v="11.042975512691463"/>
    <n v="6805.2000000000007"/>
    <n v="616.24695193599996"/>
    <s v="0"/>
    <n v="542.29731770367994"/>
    <s v="0"/>
    <n v="6805.2000000000007"/>
    <s v="0"/>
    <s v="0"/>
    <s v="0"/>
    <s v="0"/>
    <s v="0"/>
    <s v="0"/>
    <s v="0"/>
    <m/>
    <m/>
    <m/>
    <m/>
    <m/>
    <m/>
  </r>
  <r>
    <d v="2026-06-10T00:00:00"/>
    <s v="SALES"/>
    <s v="MULLA JI GOLD"/>
    <n v="752.74734999999998"/>
    <n v="0.88"/>
    <n v="662.41766799999994"/>
    <n v="1.1458824796925555"/>
    <n v="862.56"/>
    <n v="752.74734999999998"/>
    <s v="0"/>
    <n v="662.41766799999994"/>
    <s v="0"/>
    <n v="862.56"/>
    <s v="0"/>
    <s v="0"/>
    <s v="0"/>
    <s v="0"/>
    <s v="0"/>
    <s v="0"/>
    <s v="0"/>
    <m/>
    <m/>
    <m/>
    <m/>
    <m/>
    <m/>
  </r>
  <r>
    <d v="2026-06-10T00:00:00"/>
    <s v="PURCHASE"/>
    <s v="MULLA JI GOLD"/>
    <n v="662.41766799999994"/>
    <n v="0.995"/>
    <n v="659.10557965999988"/>
    <m/>
    <m/>
    <s v="0"/>
    <s v="0"/>
    <s v="0"/>
    <s v="0"/>
    <s v="0"/>
    <s v="0"/>
    <n v="662.41766799999994"/>
    <s v="0"/>
    <n v="659.10557965999988"/>
    <s v="0"/>
    <n v="0"/>
    <s v="0"/>
    <m/>
    <m/>
    <m/>
    <m/>
    <m/>
    <m/>
  </r>
  <r>
    <d v="2026-06-10T00:00:00"/>
    <s v="PURCHASE"/>
    <s v="OBD STUDIO"/>
    <n v="303.59440000000001"/>
    <n v="0.88"/>
    <n v="267.163072"/>
    <n v="3.5"/>
    <n v="1062.5804000000001"/>
    <s v="0"/>
    <s v="0"/>
    <s v="0"/>
    <s v="0"/>
    <s v="0"/>
    <s v="0"/>
    <n v="303.59440000000001"/>
    <s v="0"/>
    <n v="267.163072"/>
    <s v="0"/>
    <n v="1062.5804000000001"/>
    <s v="0"/>
    <m/>
    <m/>
    <m/>
    <m/>
    <m/>
    <m/>
  </r>
  <r>
    <d v="2026-06-10T00:00:00"/>
    <s v="METAL PAYMENT"/>
    <s v="RAM JI"/>
    <n v="2"/>
    <n v="0.995"/>
    <n v="1.99"/>
    <n v="0"/>
    <m/>
    <s v="0"/>
    <s v="0"/>
    <s v="0"/>
    <s v="0"/>
    <s v="0"/>
    <s v="0"/>
    <s v="0"/>
    <n v="2"/>
    <s v="0"/>
    <n v="1.99"/>
    <s v="0"/>
    <n v="0"/>
    <m/>
    <m/>
    <m/>
    <m/>
    <m/>
    <m/>
  </r>
  <r>
    <d v="2026-06-10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1470"/>
    <m/>
    <m/>
    <m/>
  </r>
  <r>
    <d v="2026-06-10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862"/>
    <m/>
    <m/>
    <m/>
    <m/>
    <m/>
  </r>
  <r>
    <d v="2026-06-11T00:00:00"/>
    <s v="SALES"/>
    <s v="MULLA JI GOLD"/>
    <n v="489.45641999999998"/>
    <n v="0.88"/>
    <n v="430.72164959999998"/>
    <n v="2.3563282712687679"/>
    <n v="1153.32"/>
    <n v="489.45641999999998"/>
    <s v="0"/>
    <n v="430.72164959999998"/>
    <s v="0"/>
    <n v="1153.32"/>
    <s v="0"/>
    <s v="0"/>
    <s v="0"/>
    <s v="0"/>
    <s v="0"/>
    <s v="0"/>
    <s v="0"/>
    <m/>
    <m/>
    <m/>
    <m/>
    <m/>
    <m/>
  </r>
  <r>
    <d v="2026-06-11T00:00:00"/>
    <s v="PURCHASE"/>
    <s v="AYAPPA BAJRANGI BHAI"/>
    <n v="350.7"/>
    <n v="0.995"/>
    <n v="348.94650000000001"/>
    <m/>
    <m/>
    <s v="0"/>
    <s v="0"/>
    <s v="0"/>
    <s v="0"/>
    <s v="0"/>
    <s v="0"/>
    <n v="350.7"/>
    <s v="0"/>
    <n v="348.94650000000001"/>
    <s v="0"/>
    <n v="0"/>
    <s v="0"/>
    <m/>
    <m/>
    <m/>
    <m/>
    <m/>
    <m/>
  </r>
  <r>
    <d v="2026-06-11T00:00:00"/>
    <s v="PURCHASE"/>
    <s v="MULLA JI GOLD"/>
    <n v="255"/>
    <n v="0.995"/>
    <n v="253.72499999999999"/>
    <m/>
    <m/>
    <s v="0"/>
    <s v="0"/>
    <s v="0"/>
    <s v="0"/>
    <s v="0"/>
    <s v="0"/>
    <n v="255"/>
    <s v="0"/>
    <n v="253.72499999999999"/>
    <s v="0"/>
    <n v="0"/>
    <s v="0"/>
    <m/>
    <m/>
    <m/>
    <m/>
    <m/>
    <m/>
  </r>
  <r>
    <d v="2026-06-11T00:00:00"/>
    <s v="PURCHASE"/>
    <s v="ROHIT BABA CRICKET WALE"/>
    <n v="363.49658399999998"/>
    <n v="0.88"/>
    <n v="319.87699391999996"/>
    <n v="6.0449123780486476"/>
    <n v="2197.3049999999998"/>
    <s v="0"/>
    <s v="0"/>
    <s v="0"/>
    <s v="0"/>
    <s v="0"/>
    <s v="0"/>
    <n v="363.49658399999998"/>
    <s v="0"/>
    <n v="319.87699391999996"/>
    <s v="0"/>
    <n v="2197.3049999999998"/>
    <s v="0"/>
    <m/>
    <m/>
    <m/>
    <m/>
    <m/>
    <m/>
  </r>
  <r>
    <d v="2026-06-11T00:00:00"/>
    <s v="METAL PAYMENT"/>
    <s v="HMMAA DEVI"/>
    <n v="54"/>
    <n v="0.995"/>
    <n v="53.73"/>
    <n v="0"/>
    <m/>
    <s v="0"/>
    <s v="0"/>
    <s v="0"/>
    <s v="0"/>
    <s v="0"/>
    <s v="0"/>
    <s v="0"/>
    <n v="54"/>
    <s v="0"/>
    <n v="53.73"/>
    <s v="0"/>
    <n v="0"/>
    <m/>
    <m/>
    <m/>
    <m/>
    <m/>
    <m/>
  </r>
  <r>
    <d v="2026-06-11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1153"/>
    <m/>
    <m/>
    <m/>
    <m/>
    <m/>
  </r>
  <r>
    <d v="2026-06-11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2197"/>
    <m/>
    <m/>
    <m/>
  </r>
  <r>
    <d v="2026-06-12T00:00:00"/>
    <s v="PURCHASE"/>
    <s v="BADRI BABA"/>
    <n v="265"/>
    <n v="0.995"/>
    <n v="263.67500000000001"/>
    <n v="0"/>
    <m/>
    <s v="0"/>
    <s v="0"/>
    <s v="0"/>
    <s v="0"/>
    <s v="0"/>
    <s v="0"/>
    <n v="265"/>
    <s v="0"/>
    <n v="263.67500000000001"/>
    <s v="0"/>
    <n v="0"/>
    <s v="0"/>
    <m/>
    <m/>
    <m/>
    <m/>
    <m/>
    <m/>
  </r>
  <r>
    <d v="2026-06-12T00:00:00"/>
    <s v="PURCHASE"/>
    <s v="SURYA BABA WORLD CUP WALE"/>
    <n v="700.28062719999991"/>
    <n v="0.995"/>
    <n v="696.77922406399989"/>
    <n v="0"/>
    <m/>
    <s v="0"/>
    <s v="0"/>
    <s v="0"/>
    <s v="0"/>
    <s v="0"/>
    <s v="0"/>
    <n v="700.28062719999991"/>
    <s v="0"/>
    <n v="696.77922406399989"/>
    <s v="0"/>
    <n v="0"/>
    <s v="0"/>
    <m/>
    <m/>
    <m/>
    <m/>
    <m/>
    <m/>
  </r>
  <r>
    <d v="2026-06-13T00:00:00"/>
    <s v="SALES"/>
    <s v="MUNNA BAJRANGI"/>
    <n v="565"/>
    <n v="0.88"/>
    <n v="497.2"/>
    <n v="5.1323893805309737"/>
    <n v="2899.8"/>
    <n v="565"/>
    <s v="0"/>
    <n v="497.2"/>
    <s v="0"/>
    <n v="2899.8"/>
    <s v="0"/>
    <s v="0"/>
    <s v="0"/>
    <s v="0"/>
    <s v="0"/>
    <s v="0"/>
    <s v="0"/>
    <m/>
    <m/>
    <m/>
    <m/>
    <m/>
    <m/>
  </r>
  <r>
    <d v="2026-06-13T00:00:00"/>
    <s v="PURCHASE"/>
    <s v="MUNNA BAJRANGI"/>
    <n v="156"/>
    <n v="0.995"/>
    <n v="155.22"/>
    <m/>
    <m/>
    <s v="0"/>
    <s v="0"/>
    <s v="0"/>
    <s v="0"/>
    <s v="0"/>
    <s v="0"/>
    <n v="156"/>
    <s v="0"/>
    <n v="155.22"/>
    <s v="0"/>
    <n v="0"/>
    <s v="0"/>
    <m/>
    <m/>
    <m/>
    <m/>
    <m/>
    <m/>
  </r>
  <r>
    <d v="2026-06-13T00:00:00"/>
    <s v="PURCHASE"/>
    <s v="ROHIT BABA CRICKET WALE"/>
    <n v="959.30690030999995"/>
    <n v="0.88"/>
    <n v="844.19007227279997"/>
    <n v="2.9457726188426356"/>
    <n v="2825.8999999999996"/>
    <s v="0"/>
    <s v="0"/>
    <s v="0"/>
    <s v="0"/>
    <s v="0"/>
    <s v="0"/>
    <n v="959.30690030999995"/>
    <s v="0"/>
    <n v="844.19007227279997"/>
    <s v="0"/>
    <n v="2825.8999999999996"/>
    <s v="0"/>
    <m/>
    <m/>
    <m/>
    <m/>
    <m/>
    <m/>
  </r>
  <r>
    <d v="2026-06-13T00:00:00"/>
    <s v="METAL PAYMENT"/>
    <s v="HMMAA DEVI"/>
    <n v="54"/>
    <n v="0.995"/>
    <n v="53.73"/>
    <n v="0"/>
    <m/>
    <s v="0"/>
    <s v="0"/>
    <s v="0"/>
    <s v="0"/>
    <s v="0"/>
    <s v="0"/>
    <s v="0"/>
    <n v="54"/>
    <s v="0"/>
    <n v="53.73"/>
    <s v="0"/>
    <n v="0"/>
    <m/>
    <m/>
    <m/>
    <m/>
    <m/>
    <m/>
  </r>
  <r>
    <d v="2026-06-13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2825"/>
    <m/>
    <m/>
    <m/>
  </r>
  <r>
    <d v="2026-06-13T00:00:00"/>
    <s v="RECEIPT"/>
    <s v="TILUU BABA"/>
    <m/>
    <m/>
    <n v="0"/>
    <e v="#DIV/0!"/>
    <m/>
    <s v="0"/>
    <s v="0"/>
    <s v="0"/>
    <s v="0"/>
    <s v="0"/>
    <s v="0"/>
    <s v="0"/>
    <s v="0"/>
    <s v="0"/>
    <s v="0"/>
    <s v="0"/>
    <s v="0"/>
    <n v="2900"/>
    <m/>
    <m/>
    <m/>
    <m/>
    <m/>
  </r>
  <r>
    <d v="2026-06-15T00:00:00"/>
    <s v="PURCHASE"/>
    <s v="SURYA BABA WORLD CUP WALE"/>
    <n v="379.03505164799998"/>
    <n v="0.995"/>
    <n v="377.13987638975999"/>
    <n v="0"/>
    <m/>
    <s v="0"/>
    <s v="0"/>
    <s v="0"/>
    <s v="0"/>
    <s v="0"/>
    <s v="0"/>
    <n v="379.03505164799998"/>
    <s v="0"/>
    <n v="377.13987638975999"/>
    <s v="0"/>
    <n v="0"/>
    <s v="0"/>
    <m/>
    <m/>
    <m/>
    <m/>
    <m/>
    <m/>
  </r>
  <r>
    <d v="2026-06-16T00:00:00"/>
    <s v="SALES"/>
    <s v="MULLA JI GOLD"/>
    <n v="146.34400000000002"/>
    <n v="0.88"/>
    <n v="128.78272000000001"/>
    <n v="23.54377357459137"/>
    <n v="3445.49"/>
    <n v="146.34400000000002"/>
    <s v="0"/>
    <n v="128.78272000000001"/>
    <s v="0"/>
    <n v="3445.49"/>
    <s v="0"/>
    <s v="0"/>
    <s v="0"/>
    <s v="0"/>
    <s v="0"/>
    <s v="0"/>
    <s v="0"/>
    <m/>
    <m/>
    <m/>
    <m/>
    <m/>
    <m/>
  </r>
  <r>
    <d v="2026-06-16T00:00:00"/>
    <s v="PURCHASE"/>
    <s v="MULLA JI GOLD"/>
    <n v="344.8073"/>
    <n v="0.999"/>
    <n v="344.46249269999998"/>
    <n v="0"/>
    <m/>
    <s v="0"/>
    <s v="0"/>
    <s v="0"/>
    <s v="0"/>
    <s v="0"/>
    <s v="0"/>
    <n v="344.8073"/>
    <s v="0"/>
    <n v="344.46249269999998"/>
    <s v="0"/>
    <n v="0"/>
    <s v="0"/>
    <m/>
    <m/>
    <m/>
    <m/>
    <m/>
    <m/>
  </r>
  <r>
    <d v="2026-06-16T00:00:00"/>
    <s v="PURCHASE"/>
    <s v="MULLA JI GOLD"/>
    <n v="404.27199999999999"/>
    <n v="0.995"/>
    <n v="402.25063999999998"/>
    <n v="0"/>
    <m/>
    <s v="0"/>
    <s v="0"/>
    <s v="0"/>
    <s v="0"/>
    <s v="0"/>
    <s v="0"/>
    <n v="404.27199999999999"/>
    <s v="0"/>
    <n v="402.25063999999998"/>
    <s v="0"/>
    <n v="0"/>
    <s v="0"/>
    <m/>
    <m/>
    <m/>
    <m/>
    <m/>
    <m/>
  </r>
  <r>
    <d v="2026-06-16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3445"/>
    <m/>
    <m/>
    <m/>
    <m/>
    <m/>
  </r>
  <r>
    <d v="2026-06-17T00:00:00"/>
    <s v="SALES"/>
    <s v="MUNNA BAJRANGI"/>
    <n v="354"/>
    <n v="0.88"/>
    <n v="311.52"/>
    <n v="2.3299435028248587"/>
    <n v="824.8"/>
    <n v="354"/>
    <s v="0"/>
    <n v="311.52"/>
    <s v="0"/>
    <n v="824.8"/>
    <s v="0"/>
    <s v="0"/>
    <s v="0"/>
    <s v="0"/>
    <s v="0"/>
    <s v="0"/>
    <s v="0"/>
    <m/>
    <m/>
    <m/>
    <m/>
    <m/>
    <m/>
  </r>
  <r>
    <d v="2026-06-17T00:00:00"/>
    <s v="PURCHASE"/>
    <s v="MUNNA BAJRANGI"/>
    <n v="955"/>
    <n v="0.995"/>
    <n v="950.22500000000002"/>
    <n v="0"/>
    <m/>
    <s v="0"/>
    <s v="0"/>
    <s v="0"/>
    <s v="0"/>
    <s v="0"/>
    <s v="0"/>
    <n v="955"/>
    <s v="0"/>
    <n v="950.22500000000002"/>
    <s v="0"/>
    <n v="0"/>
    <s v="0"/>
    <m/>
    <m/>
    <m/>
    <m/>
    <m/>
    <m/>
  </r>
  <r>
    <d v="2026-06-17T00:00:00"/>
    <s v="RECEIPT"/>
    <s v="TILUU BABA"/>
    <m/>
    <m/>
    <n v="0"/>
    <e v="#DIV/0!"/>
    <m/>
    <s v="0"/>
    <s v="0"/>
    <s v="0"/>
    <s v="0"/>
    <s v="0"/>
    <s v="0"/>
    <s v="0"/>
    <s v="0"/>
    <s v="0"/>
    <s v="0"/>
    <s v="0"/>
    <s v="0"/>
    <n v="825"/>
    <m/>
    <m/>
    <m/>
    <m/>
    <m/>
  </r>
  <r>
    <d v="2026-06-18T00:00:00"/>
    <s v="SALES"/>
    <s v="GAMLA BHANDAR"/>
    <n v="52"/>
    <n v="0.88"/>
    <n v="45.76"/>
    <n v="10.39423076923077"/>
    <n v="540.5"/>
    <n v="52"/>
    <s v="0"/>
    <n v="45.76"/>
    <s v="0"/>
    <n v="540.5"/>
    <s v="0"/>
    <s v="0"/>
    <s v="0"/>
    <s v="0"/>
    <s v="0"/>
    <s v="0"/>
    <s v="0"/>
    <m/>
    <m/>
    <m/>
    <m/>
    <m/>
    <m/>
  </r>
  <r>
    <d v="2026-06-18T00:00:00"/>
    <s v="SALES"/>
    <s v="SURYA BABA WORLD CUP WALE"/>
    <n v="700.28062719999991"/>
    <n v="0.88"/>
    <n v="616.24695193599996"/>
    <n v="2.57896610280525"/>
    <n v="1806"/>
    <n v="700.28062719999991"/>
    <s v="0"/>
    <n v="616.24695193599996"/>
    <s v="0"/>
    <n v="1806"/>
    <s v="0"/>
    <s v="0"/>
    <s v="0"/>
    <s v="0"/>
    <s v="0"/>
    <s v="0"/>
    <s v="0"/>
    <m/>
    <m/>
    <m/>
    <m/>
    <m/>
    <m/>
  </r>
  <r>
    <d v="2026-06-18T00:00:00"/>
    <s v="PURCHASE"/>
    <s v="GAMLA BHANDAR"/>
    <n v="42"/>
    <n v="0.995"/>
    <n v="41.79"/>
    <n v="0"/>
    <m/>
    <s v="0"/>
    <s v="0"/>
    <s v="0"/>
    <s v="0"/>
    <s v="0"/>
    <s v="0"/>
    <n v="42"/>
    <s v="0"/>
    <n v="41.79"/>
    <s v="0"/>
    <n v="0"/>
    <s v="0"/>
    <m/>
    <m/>
    <m/>
    <m/>
    <m/>
    <m/>
  </r>
  <r>
    <d v="2026-06-18T00:00:00"/>
    <s v="PURCHASE"/>
    <s v="SURYA BABA WORLD CUP WALE"/>
    <n v="696.77922406399989"/>
    <n v="0.995"/>
    <n v="693.29532794367992"/>
    <n v="0"/>
    <m/>
    <s v="0"/>
    <s v="0"/>
    <s v="0"/>
    <s v="0"/>
    <s v="0"/>
    <s v="0"/>
    <n v="696.77922406399989"/>
    <s v="0"/>
    <n v="693.29532794367992"/>
    <s v="0"/>
    <n v="0"/>
    <s v="0"/>
    <m/>
    <m/>
    <m/>
    <m/>
    <m/>
    <m/>
  </r>
  <r>
    <d v="2026-06-18T00:00:00"/>
    <s v="RECEIPT"/>
    <s v="NAMMO"/>
    <m/>
    <m/>
    <n v="0"/>
    <e v="#DIV/0!"/>
    <m/>
    <s v="0"/>
    <s v="0"/>
    <s v="0"/>
    <s v="0"/>
    <s v="0"/>
    <s v="0"/>
    <s v="0"/>
    <s v="0"/>
    <s v="0"/>
    <s v="0"/>
    <s v="0"/>
    <s v="0"/>
    <n v="540"/>
    <m/>
    <m/>
    <m/>
    <m/>
    <m/>
  </r>
  <r>
    <d v="2026-06-20T00:00:00"/>
    <s v="PURCHASE"/>
    <s v="SURYA BABA WORLD CUP WALE"/>
    <n v="227.04"/>
    <n v="0.995"/>
    <n v="225.90479999999999"/>
    <n v="0"/>
    <m/>
    <s v="0"/>
    <s v="0"/>
    <s v="0"/>
    <s v="0"/>
    <s v="0"/>
    <s v="0"/>
    <n v="227.04"/>
    <s v="0"/>
    <n v="225.90479999999999"/>
    <s v="0"/>
    <n v="0"/>
    <s v="0"/>
    <m/>
    <m/>
    <m/>
    <m/>
    <m/>
    <m/>
  </r>
  <r>
    <d v="2026-06-03T00:00:00"/>
    <s v="RECEIPT"/>
    <s v="MULLA JI GOLD"/>
    <m/>
    <m/>
    <m/>
    <m/>
    <m/>
    <s v="0"/>
    <s v="0"/>
    <s v="0"/>
    <s v="0"/>
    <s v="0"/>
    <s v="0"/>
    <s v="0"/>
    <s v="0"/>
    <s v="0"/>
    <s v="0"/>
    <s v="0"/>
    <s v="0"/>
    <n v="4535"/>
    <m/>
    <m/>
    <m/>
    <m/>
    <m/>
  </r>
  <r>
    <d v="2026-06-23T00:00:00"/>
    <s v="SALES"/>
    <s v="VIRAT BABA  CRICKET WALE"/>
    <n v="201.69645"/>
    <n v="0.88"/>
    <n v="177.492876"/>
    <n v="26.440723175841718"/>
    <n v="5333"/>
    <n v="201.69645"/>
    <s v="0"/>
    <n v="177.492876"/>
    <s v="0"/>
    <n v="5333"/>
    <s v="0"/>
    <s v="0"/>
    <s v="0"/>
    <s v="0"/>
    <s v="0"/>
    <s v="0"/>
    <s v="0"/>
    <m/>
    <m/>
    <m/>
    <m/>
    <m/>
    <m/>
  </r>
  <r>
    <d v="2026-06-23T00:00:00"/>
    <s v="PURCHASE"/>
    <s v="VIRAT BABA  CRICKET WALE"/>
    <n v="379.03505164799998"/>
    <n v="0.995"/>
    <n v="377.13987638975999"/>
    <n v="0"/>
    <m/>
    <s v="0"/>
    <s v="0"/>
    <s v="0"/>
    <s v="0"/>
    <s v="0"/>
    <s v="0"/>
    <n v="379.03505164799998"/>
    <s v="0"/>
    <n v="377.13987638975999"/>
    <s v="0"/>
    <n v="0"/>
    <s v="0"/>
    <m/>
    <m/>
    <m/>
    <m/>
    <m/>
    <m/>
  </r>
  <r>
    <d v="2026-06-23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5333"/>
    <m/>
    <m/>
    <m/>
    <m/>
    <m/>
  </r>
  <r>
    <d v="2026-06-25T00:00:00"/>
    <s v="SALES"/>
    <s v="MUNNA BAJRANGI"/>
    <n v="2685"/>
    <n v="0.88"/>
    <n v="2362.8000000000002"/>
    <n v="0.6121415270018622"/>
    <n v="1643.6000000000001"/>
    <n v="2685"/>
    <s v="0"/>
    <n v="2362.8000000000002"/>
    <s v="0"/>
    <n v="1643.6000000000001"/>
    <s v="0"/>
    <s v="0"/>
    <s v="0"/>
    <s v="0"/>
    <s v="0"/>
    <s v="0"/>
    <s v="0"/>
    <m/>
    <m/>
    <m/>
    <m/>
    <m/>
    <m/>
  </r>
  <r>
    <d v="2026-06-25T00:00:00"/>
    <s v="PURCHASE"/>
    <s v="NAMANO JI"/>
    <n v="62"/>
    <n v="0.995"/>
    <n v="61.69"/>
    <n v="0"/>
    <m/>
    <s v="0"/>
    <s v="0"/>
    <s v="0"/>
    <s v="0"/>
    <s v="0"/>
    <s v="0"/>
    <n v="62"/>
    <s v="0"/>
    <n v="61.69"/>
    <s v="0"/>
    <n v="0"/>
    <s v="0"/>
    <m/>
    <m/>
    <m/>
    <m/>
    <m/>
    <m/>
  </r>
  <r>
    <d v="2026-06-25T00:00:00"/>
    <s v="PURCHASE"/>
    <s v="MUNNA BAJRANGI"/>
    <n v="652"/>
    <n v="0.995"/>
    <n v="648.74"/>
    <n v="0"/>
    <m/>
    <s v="0"/>
    <s v="0"/>
    <s v="0"/>
    <s v="0"/>
    <s v="0"/>
    <s v="0"/>
    <n v="652"/>
    <s v="0"/>
    <n v="648.74"/>
    <s v="0"/>
    <n v="0"/>
    <s v="0"/>
    <m/>
    <m/>
    <m/>
    <m/>
    <m/>
    <m/>
  </r>
  <r>
    <d v="2026-06-25T00:00:00"/>
    <s v="PURCHASE"/>
    <s v="KRISHNA JI "/>
    <n v="62"/>
    <n v="0.99990000000000001"/>
    <n v="61.9938"/>
    <n v="0"/>
    <m/>
    <s v="0"/>
    <s v="0"/>
    <s v="0"/>
    <s v="0"/>
    <s v="0"/>
    <s v="0"/>
    <n v="62"/>
    <s v="0"/>
    <n v="61.9938"/>
    <s v="0"/>
    <n v="0"/>
    <s v="0"/>
    <m/>
    <m/>
    <m/>
    <m/>
    <m/>
    <m/>
  </r>
  <r>
    <d v="2026-06-25T00:00:00"/>
    <s v="METAL PAYMENT"/>
    <s v="KRISHNA JI "/>
    <n v="541"/>
    <n v="0.995"/>
    <n v="538.29499999999996"/>
    <n v="0"/>
    <m/>
    <s v="0"/>
    <s v="0"/>
    <s v="0"/>
    <s v="0"/>
    <s v="0"/>
    <s v="0"/>
    <s v="0"/>
    <n v="541"/>
    <s v="0"/>
    <n v="538.29499999999996"/>
    <s v="0"/>
    <n v="0"/>
    <m/>
    <m/>
    <m/>
    <m/>
    <m/>
    <m/>
  </r>
  <r>
    <d v="2026-06-25T00:00:00"/>
    <s v="RECEIPT"/>
    <s v="TILUU BABA"/>
    <m/>
    <m/>
    <n v="0"/>
    <e v="#DIV/0!"/>
    <m/>
    <s v="0"/>
    <s v="0"/>
    <s v="0"/>
    <s v="0"/>
    <s v="0"/>
    <s v="0"/>
    <s v="0"/>
    <s v="0"/>
    <s v="0"/>
    <s v="0"/>
    <s v="0"/>
    <s v="0"/>
    <n v="1645"/>
    <m/>
    <m/>
    <m/>
    <m/>
    <m/>
  </r>
  <r>
    <d v="2026-06-25T00:00:00"/>
    <s v="RECEIPT"/>
    <s v="HIMNDA"/>
    <m/>
    <m/>
    <n v="0"/>
    <e v="#DIV/0!"/>
    <m/>
    <s v="0"/>
    <s v="0"/>
    <s v="0"/>
    <s v="0"/>
    <s v="0"/>
    <s v="0"/>
    <s v="0"/>
    <s v="0"/>
    <s v="0"/>
    <s v="0"/>
    <s v="0"/>
    <s v="0"/>
    <n v="885"/>
    <m/>
    <m/>
    <m/>
    <m/>
    <m/>
  </r>
  <r>
    <d v="2026-06-27T00:00:00"/>
    <s v="SALES"/>
    <s v="KRISHNA JI "/>
    <n v="245"/>
    <n v="0.88"/>
    <n v="215.6"/>
    <n v="23.205551020408162"/>
    <n v="5685.36"/>
    <n v="245"/>
    <s v="0"/>
    <n v="215.6"/>
    <s v="0"/>
    <n v="5685.36"/>
    <s v="0"/>
    <s v="0"/>
    <s v="0"/>
    <s v="0"/>
    <s v="0"/>
    <s v="0"/>
    <s v="0"/>
    <m/>
    <m/>
    <m/>
    <m/>
    <m/>
    <m/>
  </r>
  <r>
    <d v="2026-06-27T00:00:00"/>
    <s v="SALES"/>
    <s v="VIRAT BABA  CRICKET WALE"/>
    <n v="538.91189999999995"/>
    <n v="0.88"/>
    <n v="474.24247199999996"/>
    <n v="8.9491436355367178"/>
    <n v="4822.7999999999993"/>
    <n v="538.91189999999995"/>
    <s v="0"/>
    <n v="474.24247199999996"/>
    <s v="0"/>
    <n v="4822.7999999999993"/>
    <s v="0"/>
    <s v="0"/>
    <s v="0"/>
    <s v="0"/>
    <s v="0"/>
    <s v="0"/>
    <s v="0"/>
    <m/>
    <m/>
    <m/>
    <m/>
    <m/>
    <m/>
  </r>
  <r>
    <d v="2026-06-27T00:00:00"/>
    <s v="PURCHASE"/>
    <s v="KRISHNA JI "/>
    <n v="242.70400000000001"/>
    <n v="0.995"/>
    <n v="241.49048000000002"/>
    <n v="0"/>
    <m/>
    <s v="0"/>
    <s v="0"/>
    <s v="0"/>
    <s v="0"/>
    <s v="0"/>
    <s v="0"/>
    <n v="242.70400000000001"/>
    <s v="0"/>
    <n v="241.49048000000002"/>
    <s v="0"/>
    <n v="0"/>
    <s v="0"/>
    <m/>
    <m/>
    <m/>
    <m/>
    <m/>
    <m/>
  </r>
  <r>
    <d v="2026-06-27T00:00:00"/>
    <s v="PURCHASE"/>
    <s v="VIRAT BABA  CRICKET WALE"/>
    <n v="242.69045"/>
    <n v="0.995"/>
    <n v="241.47699775000001"/>
    <n v="0"/>
    <m/>
    <s v="0"/>
    <s v="0"/>
    <s v="0"/>
    <s v="0"/>
    <s v="0"/>
    <s v="0"/>
    <n v="242.69045"/>
    <s v="0"/>
    <n v="241.47699775000001"/>
    <s v="0"/>
    <n v="0"/>
    <s v="0"/>
    <m/>
    <m/>
    <m/>
    <m/>
    <m/>
    <m/>
  </r>
  <r>
    <d v="2026-06-27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4820"/>
    <m/>
    <m/>
    <m/>
    <m/>
    <m/>
  </r>
  <r>
    <d v="2026-06-27T00:00:00"/>
    <s v="RECEIPT"/>
    <s v="KRISHNA JI "/>
    <m/>
    <m/>
    <n v="0"/>
    <e v="#DIV/0!"/>
    <m/>
    <s v="0"/>
    <s v="0"/>
    <s v="0"/>
    <s v="0"/>
    <s v="0"/>
    <s v="0"/>
    <s v="0"/>
    <s v="0"/>
    <s v="0"/>
    <s v="0"/>
    <s v="0"/>
    <s v="0"/>
    <n v="5685"/>
    <m/>
    <m/>
    <m/>
    <m/>
    <m/>
  </r>
  <r>
    <d v="2026-06-29T00:00:00"/>
    <s v="SALES"/>
    <s v="MULLA JI GOLD"/>
    <n v="455.57600000000002"/>
    <n v="0.88"/>
    <n v="400.90688"/>
    <n v="4.9913516076351696"/>
    <n v="2273.94"/>
    <n v="455.57600000000002"/>
    <s v="0"/>
    <n v="400.90688"/>
    <s v="0"/>
    <n v="2273.94"/>
    <s v="0"/>
    <s v="0"/>
    <s v="0"/>
    <s v="0"/>
    <s v="0"/>
    <s v="0"/>
    <s v="0"/>
    <m/>
    <m/>
    <m/>
    <m/>
    <m/>
    <m/>
  </r>
  <r>
    <d v="2026-06-29T00:00:00"/>
    <s v="PURCHASE"/>
    <s v="MULLA JI GOLD"/>
    <n v="455.56075000000004"/>
    <n v="0.995"/>
    <n v="453.28294625000007"/>
    <n v="0"/>
    <m/>
    <s v="0"/>
    <s v="0"/>
    <s v="0"/>
    <s v="0"/>
    <s v="0"/>
    <s v="0"/>
    <n v="455.56075000000004"/>
    <s v="0"/>
    <n v="453.28294625000007"/>
    <s v="0"/>
    <n v="0"/>
    <s v="0"/>
    <m/>
    <m/>
    <m/>
    <m/>
    <m/>
    <m/>
  </r>
  <r>
    <d v="2026-06-29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2275"/>
    <m/>
    <m/>
    <m/>
    <m/>
    <m/>
  </r>
  <r>
    <d v="2026-05-01T00:00:00"/>
    <s v="SALES"/>
    <s v="GOLDI BARAR"/>
    <n v="113.32879360000001"/>
    <n v="0.88"/>
    <n v="99.729338368000015"/>
    <n v="24.110377541334735"/>
    <n v="2732.4"/>
    <n v="113.32879360000001"/>
    <s v="0"/>
    <n v="99.729338368000015"/>
    <s v="0"/>
    <n v="2732.4"/>
    <s v="0"/>
    <s v="0"/>
    <s v="0"/>
    <s v="0"/>
    <s v="0"/>
    <s v="0"/>
    <s v="0"/>
    <m/>
    <m/>
    <m/>
    <m/>
    <m/>
    <m/>
  </r>
  <r>
    <d v="2026-05-01T00:00:00"/>
    <s v="PURCHASE"/>
    <s v="GOLDI BARAR"/>
    <n v="502.11282000000006"/>
    <n v="0.995"/>
    <n v="499.60225590000005"/>
    <m/>
    <m/>
    <s v="0"/>
    <s v="0"/>
    <s v="0"/>
    <s v="0"/>
    <s v="0"/>
    <s v="0"/>
    <n v="502.11282000000006"/>
    <s v="0"/>
    <n v="499.60225590000005"/>
    <s v="0"/>
    <n v="0"/>
    <s v="0"/>
    <m/>
    <m/>
    <m/>
    <m/>
    <m/>
    <m/>
  </r>
  <r>
    <d v="2026-05-01T00:00:00"/>
    <s v="PURCHASE"/>
    <s v="ROHIT BABA CRICKET WALE"/>
    <n v="1174.0044800000001"/>
    <n v="0.88"/>
    <n v="1033.1239424"/>
    <n v="1.3822136351643224"/>
    <n v="1622.7250000000001"/>
    <s v="0"/>
    <s v="0"/>
    <s v="0"/>
    <s v="0"/>
    <s v="0"/>
    <s v="0"/>
    <n v="1174.0044800000001"/>
    <s v="0"/>
    <n v="1033.1239424"/>
    <s v="0"/>
    <n v="1622.7250000000001"/>
    <s v="0"/>
    <m/>
    <m/>
    <m/>
    <m/>
    <m/>
    <m/>
  </r>
  <r>
    <d v="2026-05-01T00:00:00"/>
    <s v="METAL PAYMENT"/>
    <s v="HMMAA DEVI"/>
    <n v="454"/>
    <n v="0.995"/>
    <n v="451.73"/>
    <n v="0"/>
    <m/>
    <s v="0"/>
    <s v="0"/>
    <s v="0"/>
    <s v="0"/>
    <s v="0"/>
    <s v="0"/>
    <s v="0"/>
    <n v="454"/>
    <s v="0"/>
    <n v="451.73"/>
    <s v="0"/>
    <n v="0"/>
    <m/>
    <m/>
    <m/>
    <m/>
    <m/>
    <m/>
  </r>
  <r>
    <d v="2026-05-01T00:00:00"/>
    <s v="RECEIPT"/>
    <s v="OLD KUNFU"/>
    <m/>
    <m/>
    <n v="0"/>
    <e v="#DIV/0!"/>
    <m/>
    <s v="0"/>
    <s v="0"/>
    <s v="0"/>
    <s v="0"/>
    <s v="0"/>
    <s v="0"/>
    <s v="0"/>
    <s v="0"/>
    <s v="0"/>
    <s v="0"/>
    <s v="0"/>
    <s v="0"/>
    <n v="2730"/>
    <m/>
    <m/>
    <m/>
    <m/>
    <m/>
  </r>
  <r>
    <d v="2026-05-01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1620"/>
    <m/>
    <m/>
    <m/>
  </r>
  <r>
    <d v="2026-05-02T00:00:00"/>
    <s v="SALES"/>
    <s v="BADRI BABA"/>
    <n v="545"/>
    <n v="0.88"/>
    <n v="479.6"/>
    <n v="32.753761467889909"/>
    <n v="17850.8"/>
    <n v="545"/>
    <s v="0"/>
    <n v="479.6"/>
    <s v="0"/>
    <n v="17850.8"/>
    <s v="0"/>
    <s v="0"/>
    <s v="0"/>
    <s v="0"/>
    <s v="0"/>
    <s v="0"/>
    <s v="0"/>
    <m/>
    <m/>
    <m/>
    <m/>
    <m/>
    <m/>
  </r>
  <r>
    <d v="2026-05-02T00:00:00"/>
    <s v="SALES"/>
    <s v="SURYA BABA WORLD CUP WALE"/>
    <n v="700.28062719999991"/>
    <n v="0.88"/>
    <n v="616.24695193599996"/>
    <n v="2.8197267256917207"/>
    <n v="1974.6000000000001"/>
    <n v="700.28062719999991"/>
    <s v="0"/>
    <n v="616.24695193599996"/>
    <s v="0"/>
    <n v="1974.6000000000001"/>
    <s v="0"/>
    <s v="0"/>
    <s v="0"/>
    <s v="0"/>
    <s v="0"/>
    <s v="0"/>
    <s v="0"/>
    <m/>
    <m/>
    <m/>
    <m/>
    <m/>
    <m/>
  </r>
  <r>
    <d v="2026-05-03T00:00:00"/>
    <s v="SUNDAY"/>
    <m/>
    <m/>
    <m/>
    <n v="0"/>
    <e v="#DIV/0!"/>
    <m/>
    <s v="0"/>
    <s v="0"/>
    <s v="0"/>
    <s v="0"/>
    <s v="0"/>
    <s v="0"/>
    <s v="0"/>
    <s v="0"/>
    <s v="0"/>
    <s v="0"/>
    <s v="0"/>
    <s v="0"/>
    <m/>
    <m/>
    <m/>
    <m/>
    <m/>
    <m/>
  </r>
  <r>
    <d v="2026-05-04T00:00:00"/>
    <s v="PURCHASE"/>
    <s v="ROHIT BABA CRICKET WALE"/>
    <n v="696.77922406399989"/>
    <n v="0.88"/>
    <n v="613.16571717631996"/>
    <n v="2.2934093681490451"/>
    <n v="1598"/>
    <s v="0"/>
    <s v="0"/>
    <s v="0"/>
    <s v="0"/>
    <s v="0"/>
    <s v="0"/>
    <n v="696.77922406399989"/>
    <s v="0"/>
    <n v="613.16571717631996"/>
    <s v="0"/>
    <n v="1598"/>
    <s v="0"/>
    <m/>
    <m/>
    <m/>
    <m/>
    <m/>
    <m/>
  </r>
  <r>
    <d v="2026-05-04T00:00:00"/>
    <s v="METAL PAYMENT"/>
    <s v="HMMAA DEVI"/>
    <n v="455"/>
    <n v="0.995"/>
    <n v="452.72500000000002"/>
    <n v="0"/>
    <m/>
    <s v="0"/>
    <s v="0"/>
    <s v="0"/>
    <s v="0"/>
    <s v="0"/>
    <s v="0"/>
    <s v="0"/>
    <n v="455"/>
    <s v="0"/>
    <n v="452.72500000000002"/>
    <s v="0"/>
    <n v="0"/>
    <m/>
    <m/>
    <m/>
    <m/>
    <m/>
    <m/>
  </r>
  <r>
    <d v="2026-05-04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1600"/>
    <m/>
    <m/>
    <m/>
  </r>
  <r>
    <d v="2026-05-05T00:00:00"/>
    <s v="SALES"/>
    <s v="MULLA JI GOLD"/>
    <n v="610.09988859043835"/>
    <n v="0.88"/>
    <n v="536.88790195958575"/>
    <n v="17.823130610829647"/>
    <n v="10873.89"/>
    <n v="610.09988859043835"/>
    <s v="0"/>
    <n v="536.88790195958575"/>
    <s v="0"/>
    <n v="10873.89"/>
    <s v="0"/>
    <s v="0"/>
    <s v="0"/>
    <s v="0"/>
    <s v="0"/>
    <s v="0"/>
    <s v="0"/>
    <m/>
    <m/>
    <m/>
    <m/>
    <m/>
    <m/>
  </r>
  <r>
    <d v="2026-05-05T00:00:00"/>
    <s v="PURCHASE"/>
    <s v="BADRI BABA"/>
    <n v="46"/>
    <n v="0.995"/>
    <n v="45.77"/>
    <m/>
    <m/>
    <s v="0"/>
    <s v="0"/>
    <s v="0"/>
    <s v="0"/>
    <s v="0"/>
    <s v="0"/>
    <n v="46"/>
    <s v="0"/>
    <n v="45.77"/>
    <s v="0"/>
    <n v="0"/>
    <s v="0"/>
    <m/>
    <m/>
    <m/>
    <m/>
    <m/>
    <m/>
  </r>
  <r>
    <d v="2026-05-05T00:00:00"/>
    <s v="PURCHASE"/>
    <s v="ROHIT BABA CRICKET WALE"/>
    <n v="379.03505164799998"/>
    <n v="0.88"/>
    <n v="333.55084545023999"/>
    <n v="2.0344292609542594"/>
    <n v="771.12000000000012"/>
    <s v="0"/>
    <s v="0"/>
    <s v="0"/>
    <s v="0"/>
    <s v="0"/>
    <s v="0"/>
    <n v="379.03505164799998"/>
    <s v="0"/>
    <n v="333.55084545023999"/>
    <s v="0"/>
    <n v="771.12000000000012"/>
    <s v="0"/>
    <m/>
    <m/>
    <m/>
    <m/>
    <m/>
    <m/>
  </r>
  <r>
    <d v="2026-05-05T00:00:00"/>
    <s v="PURCHASE"/>
    <s v="MULLA JI GOLD"/>
    <n v="146.34400000000002"/>
    <n v="0.995"/>
    <n v="145.61228000000003"/>
    <m/>
    <m/>
    <s v="0"/>
    <s v="0"/>
    <s v="0"/>
    <s v="0"/>
    <s v="0"/>
    <s v="0"/>
    <n v="146.34400000000002"/>
    <s v="0"/>
    <n v="145.61228000000003"/>
    <s v="0"/>
    <n v="0"/>
    <s v="0"/>
    <m/>
    <m/>
    <m/>
    <m/>
    <m/>
    <m/>
  </r>
  <r>
    <d v="2026-05-05T00:00:00"/>
    <s v="METAL PAYMENT"/>
    <s v="HMMAA DEVI"/>
    <n v="654"/>
    <n v="0.995"/>
    <n v="650.73"/>
    <n v="0"/>
    <m/>
    <s v="0"/>
    <s v="0"/>
    <s v="0"/>
    <s v="0"/>
    <s v="0"/>
    <s v="0"/>
    <s v="0"/>
    <n v="654"/>
    <s v="0"/>
    <n v="650.73"/>
    <s v="0"/>
    <n v="0"/>
    <m/>
    <m/>
    <m/>
    <m/>
    <m/>
    <m/>
  </r>
  <r>
    <d v="2026-05-05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10870"/>
    <m/>
    <m/>
    <m/>
    <m/>
    <m/>
  </r>
  <r>
    <d v="2026-05-05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770"/>
    <m/>
    <m/>
    <m/>
  </r>
  <r>
    <d v="2026-05-06T00:00:00"/>
    <s v="SALES"/>
    <s v="AYAPPA BAJRANGI BHAI"/>
    <n v="285.7"/>
    <n v="0.88"/>
    <n v="251.416"/>
    <n v="12"/>
    <n v="3428.3999999999996"/>
    <n v="285.7"/>
    <s v="0"/>
    <n v="251.416"/>
    <s v="0"/>
    <n v="3428.3999999999996"/>
    <s v="0"/>
    <s v="0"/>
    <s v="0"/>
    <s v="0"/>
    <s v="0"/>
    <s v="0"/>
    <s v="0"/>
    <m/>
    <m/>
    <m/>
    <m/>
    <m/>
    <m/>
  </r>
  <r>
    <d v="2026-05-06T00:00:00"/>
    <s v="SALES"/>
    <s v="SURYA BABA WORLD CUP WALE"/>
    <n v="700.28062719999991"/>
    <n v="0.88"/>
    <n v="616.24695193599996"/>
    <n v="2.2105423738330714"/>
    <n v="1548"/>
    <n v="700.28062719999991"/>
    <s v="0"/>
    <n v="616.24695193599996"/>
    <s v="0"/>
    <n v="1548"/>
    <s v="0"/>
    <s v="0"/>
    <s v="0"/>
    <s v="0"/>
    <s v="0"/>
    <s v="0"/>
    <s v="0"/>
    <m/>
    <m/>
    <m/>
    <m/>
    <m/>
    <m/>
  </r>
  <r>
    <d v="2026-05-06T00:00:00"/>
    <s v="SALES"/>
    <s v="MULLA JI GOLD"/>
    <n v="343.08326349999999"/>
    <n v="0.88"/>
    <n v="301.91327187999997"/>
    <n v="9.0002495851856104"/>
    <n v="3087.835"/>
    <n v="343.08326349999999"/>
    <s v="0"/>
    <n v="301.91327187999997"/>
    <s v="0"/>
    <n v="3087.835"/>
    <s v="0"/>
    <s v="0"/>
    <s v="0"/>
    <s v="0"/>
    <s v="0"/>
    <s v="0"/>
    <s v="0"/>
    <m/>
    <m/>
    <m/>
    <m/>
    <m/>
    <m/>
  </r>
  <r>
    <d v="2026-05-06T00:00:00"/>
    <s v="PURCHASE"/>
    <s v="ROHIT BABA CRICKET WALE"/>
    <n v="696.77922406399989"/>
    <n v="0.88"/>
    <n v="613.16571717631996"/>
    <n v="2.4573493882514641"/>
    <n v="1712.23"/>
    <s v="0"/>
    <s v="0"/>
    <s v="0"/>
    <s v="0"/>
    <s v="0"/>
    <s v="0"/>
    <n v="696.77922406399989"/>
    <s v="0"/>
    <n v="613.16571717631996"/>
    <s v="0"/>
    <n v="1712.23"/>
    <s v="0"/>
    <m/>
    <m/>
    <m/>
    <m/>
    <m/>
    <m/>
  </r>
  <r>
    <d v="2026-05-06T00:00:00"/>
    <s v="PURCHASE"/>
    <s v="AYAPPA BAJRANGI BHAI"/>
    <n v="377.13987638975999"/>
    <n v="0.995"/>
    <n v="375.25417700781117"/>
    <m/>
    <m/>
    <s v="0"/>
    <s v="0"/>
    <s v="0"/>
    <s v="0"/>
    <s v="0"/>
    <s v="0"/>
    <n v="377.13987638975999"/>
    <s v="0"/>
    <n v="375.25417700781117"/>
    <s v="0"/>
    <n v="0"/>
    <s v="0"/>
    <m/>
    <m/>
    <m/>
    <m/>
    <m/>
    <m/>
  </r>
  <r>
    <d v="2026-05-06T00:00:00"/>
    <s v="PURCHASE"/>
    <s v="MULLA JI GOLD"/>
    <n v="616.24695193599996"/>
    <n v="0.995"/>
    <n v="613.16571717631996"/>
    <m/>
    <m/>
    <s v="0"/>
    <s v="0"/>
    <s v="0"/>
    <s v="0"/>
    <s v="0"/>
    <s v="0"/>
    <n v="616.24695193599996"/>
    <s v="0"/>
    <n v="613.16571717631996"/>
    <s v="0"/>
    <n v="0"/>
    <s v="0"/>
    <m/>
    <m/>
    <m/>
    <m/>
    <m/>
    <m/>
  </r>
  <r>
    <d v="2026-05-06T00:00:00"/>
    <s v="METAL PAYMENT"/>
    <s v="HMMAA DEVI"/>
    <n v="625"/>
    <n v="0.995"/>
    <n v="621.875"/>
    <n v="0"/>
    <m/>
    <s v="0"/>
    <s v="0"/>
    <s v="0"/>
    <s v="0"/>
    <s v="0"/>
    <s v="0"/>
    <s v="0"/>
    <n v="625"/>
    <s v="0"/>
    <n v="621.875"/>
    <s v="0"/>
    <n v="0"/>
    <m/>
    <m/>
    <m/>
    <m/>
    <m/>
    <m/>
  </r>
  <r>
    <d v="2026-05-06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3085"/>
    <m/>
    <m/>
    <m/>
    <m/>
    <m/>
  </r>
  <r>
    <d v="2026-05-06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1710"/>
    <m/>
    <m/>
    <m/>
  </r>
  <r>
    <d v="2026-05-06T00:00:00"/>
    <s v="PURCHASE"/>
    <s v="KRISHNA JI "/>
    <n v="146.34400000000002"/>
    <n v="0.995"/>
    <n v="145.61228000000003"/>
    <n v="0"/>
    <m/>
    <s v="0"/>
    <s v="0"/>
    <s v="0"/>
    <s v="0"/>
    <s v="0"/>
    <s v="0"/>
    <n v="146.34400000000002"/>
    <s v="0"/>
    <n v="145.61228000000003"/>
    <s v="0"/>
    <n v="0"/>
    <s v="0"/>
    <m/>
    <m/>
    <m/>
    <m/>
    <m/>
    <m/>
  </r>
  <r>
    <d v="2026-05-07T00:00:00"/>
    <s v="SALES"/>
    <s v="NAMAN JI"/>
    <n v="252"/>
    <n v="0.88"/>
    <n v="221.76"/>
    <n v="4.2190476190476183"/>
    <n v="1063.1999999999998"/>
    <n v="252"/>
    <s v="0"/>
    <n v="221.76"/>
    <s v="0"/>
    <n v="1063.1999999999998"/>
    <s v="0"/>
    <s v="0"/>
    <s v="0"/>
    <s v="0"/>
    <s v="0"/>
    <s v="0"/>
    <s v="0"/>
    <m/>
    <m/>
    <m/>
    <m/>
    <m/>
    <m/>
  </r>
  <r>
    <d v="2026-05-07T00:00:00"/>
    <s v="PURCHASE"/>
    <s v="NAMAN JI"/>
    <n v="421"/>
    <n v="0.995"/>
    <n v="418.89499999999998"/>
    <m/>
    <m/>
    <s v="0"/>
    <s v="0"/>
    <s v="0"/>
    <s v="0"/>
    <s v="0"/>
    <s v="0"/>
    <n v="421"/>
    <s v="0"/>
    <n v="418.89499999999998"/>
    <s v="0"/>
    <n v="0"/>
    <s v="0"/>
    <m/>
    <m/>
    <m/>
    <m/>
    <m/>
    <m/>
  </r>
  <r>
    <d v="2026-05-07T00:00:00"/>
    <s v="PURCHASE"/>
    <s v="MUMBAI GOLD"/>
    <n v="652"/>
    <n v="0.995"/>
    <n v="648.74"/>
    <m/>
    <m/>
    <s v="0"/>
    <s v="0"/>
    <s v="0"/>
    <s v="0"/>
    <s v="0"/>
    <s v="0"/>
    <n v="652"/>
    <s v="0"/>
    <n v="648.74"/>
    <s v="0"/>
    <n v="0"/>
    <s v="0"/>
    <m/>
    <m/>
    <m/>
    <m/>
    <m/>
    <m/>
  </r>
  <r>
    <d v="2026-05-07T00:00:00"/>
    <s v="PURCHASE"/>
    <s v="ROHIT BABA CRICKET WALE"/>
    <n v="471.8713472"/>
    <n v="0.88"/>
    <n v="415.246785536"/>
    <n v="2.3212471079235724"/>
    <n v="1095.33"/>
    <s v="0"/>
    <s v="0"/>
    <s v="0"/>
    <s v="0"/>
    <s v="0"/>
    <s v="0"/>
    <n v="471.8713472"/>
    <s v="0"/>
    <n v="415.246785536"/>
    <s v="0"/>
    <n v="1095.33"/>
    <s v="0"/>
    <m/>
    <m/>
    <m/>
    <m/>
    <m/>
    <m/>
  </r>
  <r>
    <d v="2026-05-07T00:00:00"/>
    <s v="METAL PAYMENT"/>
    <s v="HMMAA DEVI"/>
    <n v="634"/>
    <n v="0.995"/>
    <n v="630.83000000000004"/>
    <n v="0"/>
    <m/>
    <s v="0"/>
    <s v="0"/>
    <s v="0"/>
    <s v="0"/>
    <s v="0"/>
    <s v="0"/>
    <s v="0"/>
    <n v="634"/>
    <s v="0"/>
    <n v="630.83000000000004"/>
    <s v="0"/>
    <n v="0"/>
    <m/>
    <m/>
    <m/>
    <m/>
    <m/>
    <m/>
  </r>
  <r>
    <d v="2026-05-07T00:00:00"/>
    <s v="RECEIPT"/>
    <s v="GILLU JI"/>
    <m/>
    <m/>
    <n v="0"/>
    <e v="#DIV/0!"/>
    <m/>
    <s v="0"/>
    <s v="0"/>
    <s v="0"/>
    <s v="0"/>
    <s v="0"/>
    <s v="0"/>
    <s v="0"/>
    <s v="0"/>
    <s v="0"/>
    <s v="0"/>
    <s v="0"/>
    <s v="0"/>
    <n v="1060"/>
    <m/>
    <m/>
    <m/>
    <m/>
    <m/>
  </r>
  <r>
    <d v="2026-05-07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1090"/>
    <m/>
    <m/>
    <m/>
  </r>
  <r>
    <d v="2026-05-08T00:00:00"/>
    <s v="NO SALE NO PURCHASE"/>
    <m/>
    <m/>
    <m/>
    <n v="0"/>
    <e v="#DIV/0!"/>
    <m/>
    <s v="0"/>
    <s v="0"/>
    <s v="0"/>
    <s v="0"/>
    <s v="0"/>
    <s v="0"/>
    <s v="0"/>
    <s v="0"/>
    <s v="0"/>
    <s v="0"/>
    <s v="0"/>
    <s v="0"/>
    <m/>
    <m/>
    <m/>
    <m/>
    <m/>
    <m/>
  </r>
  <r>
    <d v="2026-05-09T00:00:00"/>
    <s v="PURCHASE"/>
    <s v="NEHRU LAL"/>
    <n v="208.1"/>
    <n v="0.995"/>
    <n v="207.05949999999999"/>
    <m/>
    <m/>
    <s v="0"/>
    <s v="0"/>
    <s v="0"/>
    <s v="0"/>
    <s v="0"/>
    <s v="0"/>
    <n v="208.1"/>
    <s v="0"/>
    <n v="207.05949999999999"/>
    <s v="0"/>
    <n v="0"/>
    <s v="0"/>
    <m/>
    <m/>
    <m/>
    <m/>
    <m/>
    <m/>
  </r>
  <r>
    <d v="2026-05-09T00:00:00"/>
    <s v="PURCHASE"/>
    <s v="OBD STUDIO"/>
    <n v="498.37040000000002"/>
    <n v="0.88"/>
    <n v="438.56595200000004"/>
    <n v="3.9772727272727275"/>
    <n v="1982.1550000000002"/>
    <s v="0"/>
    <s v="0"/>
    <s v="0"/>
    <s v="0"/>
    <s v="0"/>
    <s v="0"/>
    <n v="498.37040000000002"/>
    <s v="0"/>
    <n v="438.56595200000004"/>
    <s v="0"/>
    <n v="1982.1550000000002"/>
    <s v="0"/>
    <m/>
    <m/>
    <m/>
    <m/>
    <m/>
    <m/>
  </r>
  <r>
    <d v="2026-05-09T00:00:00"/>
    <s v="METAL PAYMENT"/>
    <s v="RAM JI"/>
    <n v="500.9"/>
    <n v="0.995"/>
    <n v="498.39549999999997"/>
    <n v="0"/>
    <m/>
    <s v="0"/>
    <s v="0"/>
    <s v="0"/>
    <s v="0"/>
    <s v="0"/>
    <s v="0"/>
    <s v="0"/>
    <n v="500.9"/>
    <s v="0"/>
    <n v="498.39549999999997"/>
    <s v="0"/>
    <n v="0"/>
    <m/>
    <m/>
    <m/>
    <m/>
    <m/>
    <m/>
  </r>
  <r>
    <d v="2026-05-10T00:00:00"/>
    <s v="SUNDAY"/>
    <m/>
    <m/>
    <m/>
    <n v="0"/>
    <e v="#DIV/0!"/>
    <m/>
    <s v="0"/>
    <s v="0"/>
    <s v="0"/>
    <s v="0"/>
    <s v="0"/>
    <s v="0"/>
    <s v="0"/>
    <s v="0"/>
    <s v="0"/>
    <s v="0"/>
    <s v="0"/>
    <s v="0"/>
    <m/>
    <m/>
    <m/>
    <m/>
    <m/>
    <m/>
  </r>
  <r>
    <d v="2026-05-11T00:00:00"/>
    <s v="SALES"/>
    <s v="PAJI MOMO"/>
    <n v="1278.2"/>
    <n v="0.88"/>
    <n v="1124.816"/>
    <n v="4.0646221248630887"/>
    <n v="5195.3999999999996"/>
    <n v="1278.2"/>
    <s v="0"/>
    <n v="1124.816"/>
    <s v="0"/>
    <n v="5195.3999999999996"/>
    <s v="0"/>
    <s v="0"/>
    <s v="0"/>
    <s v="0"/>
    <s v="0"/>
    <s v="0"/>
    <s v="0"/>
    <m/>
    <m/>
    <m/>
    <m/>
    <m/>
    <m/>
  </r>
  <r>
    <d v="2026-05-11T00:00:00"/>
    <s v="SALES"/>
    <s v="NAMANO JI"/>
    <n v="541"/>
    <n v="0.92"/>
    <n v="497.72"/>
    <n v="1.6348428835489832"/>
    <n v="884.44999999999993"/>
    <n v="541"/>
    <s v="0"/>
    <n v="497.72"/>
    <s v="0"/>
    <n v="884.44999999999993"/>
    <s v="0"/>
    <s v="0"/>
    <s v="0"/>
    <s v="0"/>
    <s v="0"/>
    <s v="0"/>
    <s v="0"/>
    <m/>
    <m/>
    <m/>
    <m/>
    <m/>
    <m/>
  </r>
  <r>
    <d v="2026-05-11T00:00:00"/>
    <s v="SALES"/>
    <s v="MULLA JI GOLD"/>
    <n v="452.56"/>
    <n v="0.88"/>
    <n v="398.25279999999998"/>
    <n v="4.872856637793884"/>
    <n v="2205.2600000000002"/>
    <n v="452.56"/>
    <s v="0"/>
    <n v="398.25279999999998"/>
    <s v="0"/>
    <n v="2205.2600000000002"/>
    <s v="0"/>
    <s v="0"/>
    <s v="0"/>
    <s v="0"/>
    <s v="0"/>
    <s v="0"/>
    <s v="0"/>
    <m/>
    <m/>
    <m/>
    <m/>
    <m/>
    <m/>
  </r>
  <r>
    <d v="2026-05-11T00:00:00"/>
    <s v="PURCHASE"/>
    <s v="PAJI MOMO"/>
    <n v="1129.6600000000001"/>
    <n v="0.995"/>
    <n v="1124.0117"/>
    <m/>
    <m/>
    <s v="0"/>
    <s v="0"/>
    <s v="0"/>
    <s v="0"/>
    <s v="0"/>
    <s v="0"/>
    <n v="1129.6600000000001"/>
    <s v="0"/>
    <n v="1124.0117"/>
    <s v="0"/>
    <n v="0"/>
    <s v="0"/>
    <m/>
    <m/>
    <m/>
    <m/>
    <m/>
    <m/>
  </r>
  <r>
    <d v="2026-05-11T00:00:00"/>
    <s v="PURCHASE"/>
    <s v="SURYA BABA WORLD CUP WALE"/>
    <n v="616.24695193599996"/>
    <n v="0.995"/>
    <n v="613.16571717631996"/>
    <m/>
    <m/>
    <s v="0"/>
    <s v="0"/>
    <s v="0"/>
    <s v="0"/>
    <s v="0"/>
    <s v="0"/>
    <n v="616.24695193599996"/>
    <s v="0"/>
    <n v="613.16571717631996"/>
    <s v="0"/>
    <n v="0"/>
    <s v="0"/>
    <m/>
    <m/>
    <m/>
    <m/>
    <m/>
    <m/>
  </r>
  <r>
    <d v="2026-05-11T00:00:00"/>
    <s v="PURCHASE"/>
    <s v="MULLA JI GOLD"/>
    <n v="616.24695193599996"/>
    <n v="0.995"/>
    <n v="613.16571717631996"/>
    <m/>
    <m/>
    <s v="0"/>
    <s v="0"/>
    <s v="0"/>
    <s v="0"/>
    <s v="0"/>
    <s v="0"/>
    <n v="616.24695193599996"/>
    <s v="0"/>
    <n v="613.16571717631996"/>
    <s v="0"/>
    <n v="0"/>
    <s v="0"/>
    <m/>
    <m/>
    <m/>
    <m/>
    <m/>
    <m/>
  </r>
  <r>
    <d v="2026-05-11T00:00:00"/>
    <s v="PURCHASE"/>
    <s v="NAMANO JI"/>
    <n v="745"/>
    <n v="0.995"/>
    <n v="741.27499999999998"/>
    <m/>
    <m/>
    <s v="0"/>
    <s v="0"/>
    <s v="0"/>
    <s v="0"/>
    <s v="0"/>
    <s v="0"/>
    <n v="745"/>
    <s v="0"/>
    <n v="741.27499999999998"/>
    <s v="0"/>
    <n v="0"/>
    <s v="0"/>
    <m/>
    <m/>
    <m/>
    <m/>
    <m/>
    <m/>
  </r>
  <r>
    <d v="2026-05-11T00:00:00"/>
    <s v="PURCHASE"/>
    <s v="KRISHNA JI "/>
    <n v="227.04"/>
    <n v="0.999"/>
    <n v="226.81296"/>
    <m/>
    <m/>
    <s v="0"/>
    <s v="0"/>
    <s v="0"/>
    <s v="0"/>
    <s v="0"/>
    <s v="0"/>
    <n v="227.04"/>
    <s v="0"/>
    <n v="226.81296"/>
    <s v="0"/>
    <n v="0"/>
    <s v="0"/>
    <m/>
    <m/>
    <m/>
    <m/>
    <m/>
    <m/>
  </r>
  <r>
    <d v="2026-05-11T00:00:00"/>
    <s v="PURCHASE"/>
    <s v="OBD STUDIO"/>
    <n v="700.28062719999991"/>
    <n v="0.88"/>
    <n v="616.24695193599996"/>
    <n v="2.6497377307426966"/>
    <n v="1855.56"/>
    <s v="0"/>
    <s v="0"/>
    <s v="0"/>
    <s v="0"/>
    <s v="0"/>
    <s v="0"/>
    <n v="700.28062719999991"/>
    <s v="0"/>
    <n v="616.24695193599996"/>
    <s v="0"/>
    <n v="1855.56"/>
    <s v="0"/>
    <m/>
    <m/>
    <m/>
    <m/>
    <m/>
    <m/>
  </r>
  <r>
    <d v="2026-05-11T00:00:00"/>
    <s v="METAL PAYMENT"/>
    <s v="KRISHNA JI "/>
    <n v="700.28062719999991"/>
    <n v="0.995"/>
    <n v="696.77922406399989"/>
    <n v="0"/>
    <m/>
    <s v="0"/>
    <s v="0"/>
    <s v="0"/>
    <s v="0"/>
    <s v="0"/>
    <s v="0"/>
    <s v="0"/>
    <n v="700.28062719999991"/>
    <s v="0"/>
    <n v="696.77922406399989"/>
    <s v="0"/>
    <n v="0"/>
    <m/>
    <m/>
    <m/>
    <m/>
    <m/>
    <m/>
  </r>
  <r>
    <d v="2026-05-11T00:00:00"/>
    <s v="METAL PAYMENT"/>
    <s v="RAM JI"/>
    <n v="466.54"/>
    <n v="1"/>
    <n v="466.54"/>
    <n v="0"/>
    <m/>
    <s v="0"/>
    <s v="0"/>
    <s v="0"/>
    <s v="0"/>
    <s v="0"/>
    <s v="0"/>
    <s v="0"/>
    <n v="466.54"/>
    <s v="0"/>
    <n v="466.54"/>
    <s v="0"/>
    <n v="0"/>
    <m/>
    <m/>
    <m/>
    <m/>
    <m/>
    <m/>
  </r>
  <r>
    <d v="2026-05-11T00:00:00"/>
    <s v="RECEIPT"/>
    <s v="PAJI MOMO"/>
    <m/>
    <m/>
    <n v="0"/>
    <e v="#DIV/0!"/>
    <m/>
    <s v="0"/>
    <s v="0"/>
    <s v="0"/>
    <s v="0"/>
    <s v="0"/>
    <s v="0"/>
    <s v="0"/>
    <s v="0"/>
    <s v="0"/>
    <s v="0"/>
    <s v="0"/>
    <s v="0"/>
    <n v="5194"/>
    <m/>
    <m/>
    <m/>
    <m/>
    <m/>
  </r>
  <r>
    <d v="2026-05-11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2205"/>
    <m/>
    <m/>
    <m/>
    <m/>
    <m/>
  </r>
  <r>
    <d v="2026-05-11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1855"/>
    <m/>
    <m/>
    <m/>
  </r>
  <r>
    <d v="2026-05-09T00:00:00"/>
    <s v="PURCHASE"/>
    <s v="KRISHNA JI "/>
    <n v="2099.52"/>
    <n v="0.999"/>
    <n v="2097.4204799999998"/>
    <n v="0"/>
    <m/>
    <s v="0"/>
    <s v="0"/>
    <s v="0"/>
    <s v="0"/>
    <s v="0"/>
    <s v="0"/>
    <n v="2099.52"/>
    <s v="0"/>
    <n v="2097.4204799999998"/>
    <s v="0"/>
    <n v="0"/>
    <s v="0"/>
    <m/>
    <m/>
    <m/>
    <m/>
    <m/>
    <m/>
  </r>
  <r>
    <d v="2026-05-09T00:00:00"/>
    <s v="METAL PAYMENT"/>
    <s v="KRISHNA JI "/>
    <n v="2000"/>
    <n v="0.995"/>
    <n v="1990"/>
    <n v="0"/>
    <m/>
    <s v="0"/>
    <s v="0"/>
    <s v="0"/>
    <s v="0"/>
    <s v="0"/>
    <s v="0"/>
    <s v="0"/>
    <n v="2000"/>
    <s v="0"/>
    <n v="1990"/>
    <s v="0"/>
    <n v="0"/>
    <m/>
    <m/>
    <m/>
    <m/>
    <m/>
    <m/>
  </r>
  <r>
    <d v="2026-05-12T00:00:00"/>
    <s v="SALES"/>
    <s v="SURYA BABA WORLD CUP WALE"/>
    <n v="379.03505164799998"/>
    <n v="0.88"/>
    <n v="333.55084545023999"/>
    <n v="14.014798834312582"/>
    <n v="5312.0999999999995"/>
    <n v="379.03505164799998"/>
    <s v="0"/>
    <n v="333.55084545023999"/>
    <s v="0"/>
    <n v="5312.0999999999995"/>
    <s v="0"/>
    <s v="0"/>
    <s v="0"/>
    <s v="0"/>
    <s v="0"/>
    <s v="0"/>
    <s v="0"/>
    <m/>
    <m/>
    <m/>
    <m/>
    <m/>
    <m/>
  </r>
  <r>
    <d v="2026-05-13T00:00:00"/>
    <s v="SALES"/>
    <s v="VIRAT BABA  CRICKET WALE"/>
    <n v="700.28062719999991"/>
    <n v="0.88"/>
    <n v="616.24695193599996"/>
    <n v="6.6901750784289016"/>
    <n v="4685"/>
    <n v="700.28062719999991"/>
    <s v="0"/>
    <n v="616.24695193599996"/>
    <s v="0"/>
    <n v="4685"/>
    <s v="0"/>
    <s v="0"/>
    <s v="0"/>
    <s v="0"/>
    <s v="0"/>
    <s v="0"/>
    <s v="0"/>
    <m/>
    <m/>
    <m/>
    <m/>
    <m/>
    <m/>
  </r>
  <r>
    <d v="2026-05-13T00:00:00"/>
    <s v="PURCHASE"/>
    <s v="VIRAT BABA  CRICKET WALE"/>
    <n v="696.77922406399989"/>
    <n v="0.995"/>
    <n v="693.29532794367992"/>
    <m/>
    <m/>
    <s v="0"/>
    <s v="0"/>
    <s v="0"/>
    <s v="0"/>
    <s v="0"/>
    <s v="0"/>
    <n v="696.77922406399989"/>
    <s v="0"/>
    <n v="693.29532794367992"/>
    <s v="0"/>
    <n v="0"/>
    <s v="0"/>
    <m/>
    <m/>
    <m/>
    <m/>
    <m/>
    <m/>
  </r>
  <r>
    <d v="2026-05-13T00:00:00"/>
    <s v="PURCHASE"/>
    <s v="OBD STUDIO"/>
    <n v="227.04"/>
    <n v="0.88"/>
    <n v="199.79519999999999"/>
    <n v="3.5"/>
    <n v="794.64"/>
    <s v="0"/>
    <s v="0"/>
    <s v="0"/>
    <s v="0"/>
    <s v="0"/>
    <s v="0"/>
    <n v="227.04"/>
    <s v="0"/>
    <n v="199.79519999999999"/>
    <s v="0"/>
    <n v="794.64"/>
    <s v="0"/>
    <m/>
    <m/>
    <m/>
    <m/>
    <m/>
    <m/>
  </r>
  <r>
    <d v="2026-05-13T00:00:00"/>
    <s v="PURCHASE"/>
    <s v="KRISHNA JI "/>
    <n v="700.28062719999991"/>
    <n v="0.88"/>
    <n v="616.24695193599996"/>
    <n v="0"/>
    <m/>
    <s v="0"/>
    <s v="0"/>
    <s v="0"/>
    <s v="0"/>
    <s v="0"/>
    <s v="0"/>
    <n v="700.28062719999991"/>
    <s v="0"/>
    <n v="616.24695193599996"/>
    <s v="0"/>
    <n v="0"/>
    <s v="0"/>
    <m/>
    <m/>
    <m/>
    <m/>
    <m/>
    <m/>
  </r>
  <r>
    <d v="2026-05-13T00:00:00"/>
    <s v="METAL PAYMENT"/>
    <s v="RAM JI"/>
    <n v="700.28062719999991"/>
    <n v="0.995"/>
    <n v="696.77922406399989"/>
    <n v="0"/>
    <m/>
    <s v="0"/>
    <s v="0"/>
    <s v="0"/>
    <s v="0"/>
    <s v="0"/>
    <s v="0"/>
    <s v="0"/>
    <n v="700.28062719999991"/>
    <s v="0"/>
    <n v="696.77922406399989"/>
    <s v="0"/>
    <n v="0"/>
    <m/>
    <m/>
    <m/>
    <m/>
    <m/>
    <m/>
  </r>
  <r>
    <d v="2026-05-13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4414"/>
    <m/>
    <m/>
    <m/>
    <m/>
    <m/>
  </r>
  <r>
    <d v="2026-05-13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2195"/>
    <m/>
    <m/>
    <m/>
  </r>
  <r>
    <d v="2026-05-14T00:00:00"/>
    <s v="PURCHASE"/>
    <s v="KRISHNA JI "/>
    <n v="616.24695193599996"/>
    <n v="0.99990000000000001"/>
    <n v="616.18532724080637"/>
    <n v="0"/>
    <m/>
    <s v="0"/>
    <s v="0"/>
    <s v="0"/>
    <s v="0"/>
    <s v="0"/>
    <s v="0"/>
    <n v="616.24695193599996"/>
    <s v="0"/>
    <n v="616.18532724080637"/>
    <s v="0"/>
    <n v="0"/>
    <s v="0"/>
    <m/>
    <m/>
    <m/>
    <m/>
    <m/>
    <m/>
  </r>
  <r>
    <d v="2026-05-14T00:00:00"/>
    <s v="METAL PAYMENT"/>
    <s v="KRISHNA JI "/>
    <n v="344.8073"/>
    <n v="0.995"/>
    <n v="343.08326349999999"/>
    <n v="0"/>
    <m/>
    <s v="0"/>
    <s v="0"/>
    <s v="0"/>
    <s v="0"/>
    <s v="0"/>
    <s v="0"/>
    <s v="0"/>
    <n v="344.8073"/>
    <s v="0"/>
    <n v="343.08326349999999"/>
    <s v="0"/>
    <n v="0"/>
    <m/>
    <m/>
    <m/>
    <m/>
    <m/>
    <m/>
  </r>
  <r>
    <d v="2026-05-15T00:00:00"/>
    <s v="SALES"/>
    <s v="VIRAT BABA  CRICKET WALE"/>
    <n v="404.27199999999999"/>
    <n v="0.88"/>
    <n v="355.75936000000002"/>
    <n v="4.4343907072466067"/>
    <n v="1792.7"/>
    <n v="404.27199999999999"/>
    <s v="0"/>
    <n v="355.75936000000002"/>
    <s v="0"/>
    <n v="1792.7"/>
    <s v="0"/>
    <s v="0"/>
    <s v="0"/>
    <s v="0"/>
    <s v="0"/>
    <s v="0"/>
    <s v="0"/>
    <m/>
    <m/>
    <m/>
    <m/>
    <m/>
    <m/>
  </r>
  <r>
    <d v="2026-05-15T00:00:00"/>
    <s v="PURCHASE"/>
    <s v="VIRAT BABA  CRICKET WALE"/>
    <n v="536.21734049999998"/>
    <n v="0.995"/>
    <n v="533.53625379749997"/>
    <m/>
    <m/>
    <s v="0"/>
    <s v="0"/>
    <s v="0"/>
    <s v="0"/>
    <s v="0"/>
    <s v="0"/>
    <n v="536.21734049999998"/>
    <s v="0"/>
    <n v="533.53625379749997"/>
    <s v="0"/>
    <n v="0"/>
    <s v="0"/>
    <m/>
    <m/>
    <m/>
    <m/>
    <m/>
    <m/>
  </r>
  <r>
    <d v="2026-05-15T00:00:00"/>
    <s v="PURCHASE"/>
    <s v="SURYA BABA WORLD CUP WALE"/>
    <n v="379.03505164799998"/>
    <n v="0.995"/>
    <n v="377.13987638975999"/>
    <m/>
    <m/>
    <s v="0"/>
    <s v="0"/>
    <s v="0"/>
    <s v="0"/>
    <s v="0"/>
    <s v="0"/>
    <n v="379.03505164799998"/>
    <s v="0"/>
    <n v="377.13987638975999"/>
    <s v="0"/>
    <n v="0"/>
    <s v="0"/>
    <m/>
    <m/>
    <m/>
    <m/>
    <m/>
    <m/>
  </r>
  <r>
    <d v="2026-05-15T00:00:00"/>
    <s v="PURCHASE"/>
    <s v="OBD STUDIO"/>
    <n v="616.24695193599996"/>
    <n v="0.88"/>
    <n v="542.29731770367994"/>
    <n v="3.2546611284631526"/>
    <n v="2005.6749999999997"/>
    <s v="0"/>
    <s v="0"/>
    <s v="0"/>
    <s v="0"/>
    <s v="0"/>
    <s v="0"/>
    <n v="616.24695193599996"/>
    <s v="0"/>
    <n v="542.29731770367994"/>
    <s v="0"/>
    <n v="2005.6749999999997"/>
    <s v="0"/>
    <m/>
    <m/>
    <m/>
    <m/>
    <m/>
    <m/>
  </r>
  <r>
    <d v="2026-05-15T00:00:00"/>
    <s v="METAL PAYMENT"/>
    <s v="RAM JI"/>
    <n v="696.77922406399989"/>
    <n v="0.995"/>
    <n v="693.29532794367992"/>
    <n v="0"/>
    <m/>
    <s v="0"/>
    <s v="0"/>
    <s v="0"/>
    <s v="0"/>
    <s v="0"/>
    <s v="0"/>
    <s v="0"/>
    <n v="696.77922406399989"/>
    <s v="0"/>
    <n v="693.29532794367992"/>
    <s v="0"/>
    <n v="0"/>
    <m/>
    <m/>
    <m/>
    <m/>
    <m/>
    <m/>
  </r>
  <r>
    <d v="2026-05-15T00:00:00"/>
    <s v="RECEIPT"/>
    <s v="KHOJAN"/>
    <m/>
    <m/>
    <n v="0"/>
    <e v="#DIV/0!"/>
    <m/>
    <s v="0"/>
    <s v="0"/>
    <s v="0"/>
    <s v="0"/>
    <s v="0"/>
    <s v="0"/>
    <s v="0"/>
    <s v="0"/>
    <s v="0"/>
    <s v="0"/>
    <s v="0"/>
    <s v="0"/>
    <n v="20000"/>
    <m/>
    <m/>
    <m/>
    <m/>
    <m/>
  </r>
  <r>
    <d v="2026-05-15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1790"/>
    <m/>
    <m/>
    <m/>
    <m/>
    <m/>
  </r>
  <r>
    <d v="2026-05-15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2005"/>
    <m/>
    <m/>
    <m/>
  </r>
  <r>
    <d v="2026-05-09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1980"/>
    <m/>
    <m/>
    <m/>
  </r>
  <r>
    <d v="2026-05-16T00:00:00"/>
    <s v="SALES"/>
    <s v="BADRI BABA"/>
    <n v="32"/>
    <n v="0.88"/>
    <n v="28.16"/>
    <n v="261.57499999999999"/>
    <n v="8370.4"/>
    <n v="32"/>
    <s v="0"/>
    <n v="28.16"/>
    <s v="0"/>
    <n v="8370.4"/>
    <s v="0"/>
    <s v="0"/>
    <s v="0"/>
    <s v="0"/>
    <s v="0"/>
    <s v="0"/>
    <s v="0"/>
    <m/>
    <m/>
    <m/>
    <m/>
    <m/>
    <m/>
  </r>
  <r>
    <d v="2026-05-16T00:00:00"/>
    <s v="SALES"/>
    <s v="SURYA BABA WORLD CUP WALE"/>
    <n v="379.03505164799998"/>
    <n v="0.88"/>
    <n v="333.55084545023999"/>
    <n v="3.8302526209324013"/>
    <n v="1451.8"/>
    <n v="379.03505164799998"/>
    <s v="0"/>
    <n v="333.55084545023999"/>
    <s v="0"/>
    <n v="1451.8"/>
    <s v="0"/>
    <s v="0"/>
    <s v="0"/>
    <s v="0"/>
    <s v="0"/>
    <s v="0"/>
    <s v="0"/>
    <m/>
    <m/>
    <m/>
    <m/>
    <m/>
    <m/>
  </r>
  <r>
    <d v="2026-05-16T00:00:00"/>
    <s v="PURCHASE"/>
    <s v="BADRI BABA"/>
    <n v="85"/>
    <n v="0.995"/>
    <n v="84.575000000000003"/>
    <n v="0"/>
    <m/>
    <s v="0"/>
    <s v="0"/>
    <s v="0"/>
    <s v="0"/>
    <s v="0"/>
    <s v="0"/>
    <n v="85"/>
    <s v="0"/>
    <n v="84.575000000000003"/>
    <s v="0"/>
    <n v="0"/>
    <s v="0"/>
    <m/>
    <m/>
    <m/>
    <m/>
    <m/>
    <m/>
  </r>
  <r>
    <d v="2026-05-17T00:00:00"/>
    <s v="SUNDAY"/>
    <m/>
    <m/>
    <m/>
    <n v="0"/>
    <e v="#DIV/0!"/>
    <m/>
    <s v="0"/>
    <s v="0"/>
    <s v="0"/>
    <s v="0"/>
    <s v="0"/>
    <s v="0"/>
    <s v="0"/>
    <s v="0"/>
    <s v="0"/>
    <s v="0"/>
    <s v="0"/>
    <s v="0"/>
    <m/>
    <m/>
    <m/>
    <m/>
    <m/>
    <m/>
  </r>
  <r>
    <d v="2026-05-18T00:00:00"/>
    <s v="SALES"/>
    <s v="AYAPPA BAJRANGI BHAI"/>
    <n v="227.04"/>
    <n v="0.88"/>
    <n v="199.79519999999999"/>
    <n v="30.163847780126854"/>
    <n v="6848.4000000000005"/>
    <n v="227.04"/>
    <s v="0"/>
    <n v="199.79519999999999"/>
    <s v="0"/>
    <n v="6848.4000000000005"/>
    <s v="0"/>
    <s v="0"/>
    <s v="0"/>
    <s v="0"/>
    <s v="0"/>
    <s v="0"/>
    <s v="0"/>
    <m/>
    <m/>
    <m/>
    <m/>
    <m/>
    <m/>
  </r>
  <r>
    <d v="2026-05-18T00:00:00"/>
    <s v="PURCHASE"/>
    <s v="ROHIT BABA CRICKET WALE"/>
    <n v="700.28062719999991"/>
    <n v="0.88"/>
    <n v="616.24695193599996"/>
    <n v="3.1804392603365739"/>
    <n v="2227.1999999999998"/>
    <s v="0"/>
    <s v="0"/>
    <s v="0"/>
    <s v="0"/>
    <s v="0"/>
    <s v="0"/>
    <n v="700.28062719999991"/>
    <s v="0"/>
    <n v="616.24695193599996"/>
    <s v="0"/>
    <n v="2227.1999999999998"/>
    <s v="0"/>
    <m/>
    <m/>
    <m/>
    <m/>
    <m/>
    <m/>
  </r>
  <r>
    <d v="2026-05-18T00:00:00"/>
    <s v="METAL PAYMENT"/>
    <s v="HMMAA DEVI"/>
    <n v="963"/>
    <n v="0.995"/>
    <n v="958.18499999999995"/>
    <n v="0"/>
    <m/>
    <s v="0"/>
    <s v="0"/>
    <s v="0"/>
    <s v="0"/>
    <s v="0"/>
    <s v="0"/>
    <s v="0"/>
    <n v="963"/>
    <s v="0"/>
    <n v="958.18499999999995"/>
    <s v="0"/>
    <n v="0"/>
    <m/>
    <m/>
    <m/>
    <m/>
    <m/>
    <m/>
  </r>
  <r>
    <d v="2026-05-18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2250"/>
    <m/>
    <m/>
    <m/>
  </r>
  <r>
    <d v="2026-05-19T00:00:00"/>
    <s v="PURCHASE"/>
    <s v="AYAPPA BAJRANGI BHAI"/>
    <n v="319.87699391999996"/>
    <n v="0.995"/>
    <n v="318.27760895039995"/>
    <n v="0"/>
    <m/>
    <s v="0"/>
    <s v="0"/>
    <s v="0"/>
    <s v="0"/>
    <s v="0"/>
    <s v="0"/>
    <n v="319.87699391999996"/>
    <s v="0"/>
    <n v="318.27760895039995"/>
    <s v="0"/>
    <n v="0"/>
    <s v="0"/>
    <m/>
    <m/>
    <m/>
    <m/>
    <m/>
    <m/>
  </r>
  <r>
    <d v="2026-05-21T00:00:00"/>
    <s v="SALES"/>
    <s v="VIRAT BABA  CRICKET WALE"/>
    <n v="282.74118400000003"/>
    <n v="0.88"/>
    <n v="248.81224192000002"/>
    <n v="23.671825608539571"/>
    <n v="6693"/>
    <n v="282.74118400000003"/>
    <s v="0"/>
    <n v="248.81224192000002"/>
    <s v="0"/>
    <n v="6693"/>
    <s v="0"/>
    <s v="0"/>
    <s v="0"/>
    <s v="0"/>
    <s v="0"/>
    <s v="0"/>
    <s v="0"/>
    <m/>
    <m/>
    <m/>
    <m/>
    <m/>
    <m/>
  </r>
  <r>
    <d v="2026-05-21T00:00:00"/>
    <s v="PURCHASE"/>
    <s v="OBD STUDIO"/>
    <n v="848.43223344"/>
    <n v="0.88"/>
    <n v="746.6203654272"/>
    <n v="3.5"/>
    <n v="2969.5128170399998"/>
    <s v="0"/>
    <s v="0"/>
    <s v="0"/>
    <s v="0"/>
    <s v="0"/>
    <s v="0"/>
    <n v="848.43223344"/>
    <s v="0"/>
    <n v="746.6203654272"/>
    <s v="0"/>
    <n v="2969.5128170399998"/>
    <s v="0"/>
    <m/>
    <m/>
    <m/>
    <m/>
    <m/>
    <m/>
  </r>
  <r>
    <d v="2026-05-21T00:00:00"/>
    <s v="PURCHASE"/>
    <s v="VIRAT BABA  CRICKET WALE"/>
    <n v="319.87699391999996"/>
    <n v="0.995"/>
    <n v="318.27760895039995"/>
    <m/>
    <m/>
    <s v="0"/>
    <s v="0"/>
    <s v="0"/>
    <s v="0"/>
    <s v="0"/>
    <s v="0"/>
    <n v="319.87699391999996"/>
    <s v="0"/>
    <n v="318.27760895039995"/>
    <s v="0"/>
    <n v="0"/>
    <s v="0"/>
    <m/>
    <m/>
    <m/>
    <m/>
    <m/>
    <m/>
  </r>
  <r>
    <d v="2026-05-21T00:00:00"/>
    <s v="METAL PAYMENT"/>
    <s v="RAM JI"/>
    <n v="415.246785536"/>
    <n v="0.995"/>
    <n v="413.17055160832001"/>
    <n v="0"/>
    <m/>
    <s v="0"/>
    <s v="0"/>
    <s v="0"/>
    <s v="0"/>
    <s v="0"/>
    <s v="0"/>
    <s v="0"/>
    <n v="415.246785536"/>
    <s v="0"/>
    <n v="413.17055160832001"/>
    <s v="0"/>
    <n v="0"/>
    <m/>
    <m/>
    <m/>
    <m/>
    <m/>
    <m/>
  </r>
  <r>
    <d v="2026-05-21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6700"/>
    <m/>
    <m/>
    <m/>
    <m/>
    <m/>
  </r>
  <r>
    <d v="2026-05-21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2005"/>
    <m/>
    <m/>
    <m/>
  </r>
  <r>
    <d v="2026-05-22T00:00:00"/>
    <s v="SALES"/>
    <s v="VIRAT BABA  CRICKET WALE"/>
    <n v="471.8713472"/>
    <n v="0.88"/>
    <n v="415.246785536"/>
    <n v="6.7180387595273761"/>
    <n v="3170.0499999999997"/>
    <n v="471.8713472"/>
    <s v="0"/>
    <n v="415.246785536"/>
    <s v="0"/>
    <n v="3170.0499999999997"/>
    <s v="0"/>
    <s v="0"/>
    <s v="0"/>
    <s v="0"/>
    <s v="0"/>
    <s v="0"/>
    <s v="0"/>
    <m/>
    <m/>
    <m/>
    <m/>
    <m/>
    <m/>
  </r>
  <r>
    <d v="2026-05-22T00:00:00"/>
    <s v="SALES"/>
    <s v="KRISHNA JI "/>
    <n v="1038.3155200000001"/>
    <n v="0.88"/>
    <n v="913.71765760000005"/>
    <n v="0.37820873562594925"/>
    <n v="392.70000000000005"/>
    <n v="1038.3155200000001"/>
    <s v="0"/>
    <n v="913.71765760000005"/>
    <s v="0"/>
    <n v="392.70000000000005"/>
    <s v="0"/>
    <s v="0"/>
    <s v="0"/>
    <s v="0"/>
    <s v="0"/>
    <s v="0"/>
    <s v="0"/>
    <m/>
    <m/>
    <m/>
    <m/>
    <m/>
    <m/>
  </r>
  <r>
    <d v="2026-05-22T00:00:00"/>
    <s v="PURCHASE"/>
    <s v="VIRAT BABA  CRICKET WALE"/>
    <n v="964.12753799999996"/>
    <n v="0.995"/>
    <n v="959.30690030999995"/>
    <n v="0"/>
    <m/>
    <s v="0"/>
    <s v="0"/>
    <s v="0"/>
    <s v="0"/>
    <s v="0"/>
    <s v="0"/>
    <n v="964.12753799999996"/>
    <s v="0"/>
    <n v="959.30690030999995"/>
    <s v="0"/>
    <n v="0"/>
    <s v="0"/>
    <m/>
    <m/>
    <m/>
    <m/>
    <m/>
    <m/>
  </r>
  <r>
    <d v="2026-05-22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3170"/>
    <m/>
    <m/>
    <m/>
    <m/>
    <m/>
  </r>
  <r>
    <d v="2026-05-23T00:00:00"/>
    <s v="SALES"/>
    <s v="AYAPPA BAJRANGI BHAI"/>
    <n v="405.23643599999997"/>
    <n v="0.88"/>
    <n v="356.60806367999999"/>
    <n v="21.155057241693836"/>
    <n v="8572.7999999999993"/>
    <n v="405.23643599999997"/>
    <s v="0"/>
    <n v="356.60806367999999"/>
    <s v="0"/>
    <n v="8572.7999999999993"/>
    <s v="0"/>
    <s v="0"/>
    <s v="0"/>
    <s v="0"/>
    <s v="0"/>
    <s v="0"/>
    <s v="0"/>
    <m/>
    <m/>
    <m/>
    <m/>
    <m/>
    <m/>
  </r>
  <r>
    <d v="2026-05-23T00:00:00"/>
    <s v="PURCHASE"/>
    <s v="AYAPPA BAJRANGI BHAI"/>
    <n v="536.21744000000001"/>
    <n v="0.995"/>
    <n v="533.53635280000003"/>
    <m/>
    <m/>
    <s v="0"/>
    <s v="0"/>
    <s v="0"/>
    <s v="0"/>
    <s v="0"/>
    <s v="0"/>
    <n v="536.21744000000001"/>
    <s v="0"/>
    <n v="533.53635280000003"/>
    <s v="0"/>
    <n v="0"/>
    <s v="0"/>
    <m/>
    <m/>
    <m/>
    <m/>
    <m/>
    <m/>
  </r>
  <r>
    <d v="2026-05-23T00:00:00"/>
    <s v="PURCHASE"/>
    <s v="KRISHNA JI "/>
    <n v="400.90688"/>
    <n v="0.99990000000000001"/>
    <n v="400.86678931199998"/>
    <m/>
    <m/>
    <s v="0"/>
    <s v="0"/>
    <s v="0"/>
    <s v="0"/>
    <s v="0"/>
    <s v="0"/>
    <n v="400.90688"/>
    <s v="0"/>
    <n v="400.86678931199998"/>
    <s v="0"/>
    <n v="0"/>
    <s v="0"/>
    <m/>
    <m/>
    <m/>
    <m/>
    <m/>
    <m/>
  </r>
  <r>
    <d v="2026-05-23T00:00:00"/>
    <s v="PURCHASE"/>
    <s v="OBD STUDIO"/>
    <n v="6565"/>
    <n v="0.88"/>
    <n v="5777.2"/>
    <n v="0.3094927646610815"/>
    <n v="2031.82"/>
    <s v="0"/>
    <s v="0"/>
    <s v="0"/>
    <s v="0"/>
    <s v="0"/>
    <s v="0"/>
    <n v="6565"/>
    <s v="0"/>
    <n v="5777.2"/>
    <s v="0"/>
    <n v="2031.82"/>
    <s v="0"/>
    <m/>
    <m/>
    <m/>
    <m/>
    <m/>
    <m/>
  </r>
  <r>
    <d v="2026-05-23T00:00:00"/>
    <s v="METAL PAYMENT"/>
    <s v="KRISHNA JI "/>
    <n v="342.37153280000001"/>
    <n v="0.995"/>
    <n v="340.65967513600003"/>
    <n v="0"/>
    <m/>
    <s v="0"/>
    <s v="0"/>
    <s v="0"/>
    <s v="0"/>
    <s v="0"/>
    <s v="0"/>
    <s v="0"/>
    <n v="342.37153280000001"/>
    <s v="0"/>
    <n v="340.65967513600003"/>
    <s v="0"/>
    <n v="0"/>
    <m/>
    <m/>
    <m/>
    <m/>
    <m/>
    <m/>
  </r>
  <r>
    <d v="2026-05-23T00:00:00"/>
    <s v="METAL PAYMENT"/>
    <s v="RAM JI"/>
    <n v="437.69831920874998"/>
    <n v="0.995"/>
    <n v="435.5098276127062"/>
    <n v="0"/>
    <m/>
    <s v="0"/>
    <s v="0"/>
    <s v="0"/>
    <s v="0"/>
    <s v="0"/>
    <s v="0"/>
    <s v="0"/>
    <n v="437.69831920874998"/>
    <s v="0"/>
    <n v="435.5098276127062"/>
    <s v="0"/>
    <n v="0"/>
    <m/>
    <m/>
    <m/>
    <m/>
    <m/>
    <m/>
  </r>
  <r>
    <d v="2026-05-25T00:00:00"/>
    <s v="SALES"/>
    <s v="KRISHNA JI "/>
    <n v="474.24247199999996"/>
    <n v="0.75"/>
    <n v="355.68185399999999"/>
    <n v="0"/>
    <m/>
    <n v="474.24247199999996"/>
    <s v="0"/>
    <n v="355.68185399999999"/>
    <s v="0"/>
    <n v="0"/>
    <s v="0"/>
    <s v="0"/>
    <s v="0"/>
    <s v="0"/>
    <s v="0"/>
    <s v="0"/>
    <s v="0"/>
    <m/>
    <m/>
    <m/>
    <m/>
    <m/>
    <m/>
  </r>
  <r>
    <d v="2026-05-25T00:00:00"/>
    <s v="PURCHASE"/>
    <s v="OBD STUDIO"/>
    <n v="265"/>
    <n v="0.88"/>
    <n v="233.2"/>
    <n v="13.671396226415093"/>
    <n v="3622.9199999999996"/>
    <s v="0"/>
    <s v="0"/>
    <s v="0"/>
    <s v="0"/>
    <s v="0"/>
    <s v="0"/>
    <n v="265"/>
    <s v="0"/>
    <n v="233.2"/>
    <s v="0"/>
    <n v="3622.9199999999996"/>
    <s v="0"/>
    <m/>
    <m/>
    <m/>
    <m/>
    <m/>
    <m/>
  </r>
  <r>
    <d v="2026-05-25T00:00:00"/>
    <s v="METAL PAYMENT"/>
    <s v="KRISHNA JI "/>
    <n v="342.37153280000001"/>
    <n v="0.995"/>
    <n v="340.65967513600003"/>
    <n v="0"/>
    <m/>
    <s v="0"/>
    <s v="0"/>
    <s v="0"/>
    <s v="0"/>
    <s v="0"/>
    <s v="0"/>
    <s v="0"/>
    <n v="342.37153280000001"/>
    <s v="0"/>
    <n v="340.65967513600003"/>
    <s v="0"/>
    <n v="0"/>
    <m/>
    <m/>
    <m/>
    <m/>
    <m/>
    <m/>
  </r>
  <r>
    <d v="2026-05-25T00:00:00"/>
    <s v="METAL PAYMENT"/>
    <s v="RAM JI"/>
    <n v="437.69831920874998"/>
    <n v="0.995"/>
    <n v="435.5098276127062"/>
    <n v="0"/>
    <m/>
    <s v="0"/>
    <s v="0"/>
    <s v="0"/>
    <s v="0"/>
    <s v="0"/>
    <s v="0"/>
    <s v="0"/>
    <n v="437.69831920874998"/>
    <s v="0"/>
    <n v="435.5098276127062"/>
    <s v="0"/>
    <n v="0"/>
    <m/>
    <m/>
    <m/>
    <m/>
    <m/>
    <m/>
  </r>
  <r>
    <d v="2026-05-25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5650"/>
    <m/>
    <m/>
    <m/>
  </r>
  <r>
    <d v="2026-05-25T00:00:00"/>
    <s v="RECEIPT"/>
    <s v="KRISHNA JI "/>
    <m/>
    <m/>
    <n v="0"/>
    <e v="#DIV/0!"/>
    <m/>
    <s v="0"/>
    <s v="0"/>
    <s v="0"/>
    <s v="0"/>
    <s v="0"/>
    <s v="0"/>
    <s v="0"/>
    <s v="0"/>
    <s v="0"/>
    <s v="0"/>
    <s v="0"/>
    <s v="0"/>
    <n v="500"/>
    <m/>
    <m/>
    <m/>
    <m/>
    <m/>
  </r>
  <r>
    <d v="2026-04-02T00:00:00"/>
    <s v="SALES"/>
    <s v="MUMBAI GOLD"/>
    <n v="245"/>
    <n v="0.88"/>
    <n v="215.6"/>
    <n v="9.3355102040816327"/>
    <n v="2287.1999999999998"/>
    <n v="245"/>
    <s v="0"/>
    <n v="215.6"/>
    <s v="0"/>
    <n v="2287.1999999999998"/>
    <s v="0"/>
    <s v="0"/>
    <s v="0"/>
    <s v="0"/>
    <s v="0"/>
    <s v="0"/>
    <s v="0"/>
    <m/>
    <m/>
    <m/>
    <m/>
    <m/>
    <m/>
  </r>
  <r>
    <d v="2026-04-02T00:00:00"/>
    <s v="PURCHASE"/>
    <s v="SURYA BABA WORLD CUP WALE"/>
    <n v="302.07642800000002"/>
    <n v="0.995"/>
    <n v="300.56604586000003"/>
    <n v="0"/>
    <m/>
    <s v="0"/>
    <s v="0"/>
    <s v="0"/>
    <s v="0"/>
    <s v="0"/>
    <s v="0"/>
    <n v="302.07642800000002"/>
    <s v="0"/>
    <n v="300.56604586000003"/>
    <s v="0"/>
    <n v="0"/>
    <s v="0"/>
    <m/>
    <m/>
    <m/>
    <m/>
    <n v="11300.2"/>
    <n v="761.55"/>
  </r>
  <r>
    <d v="2026-04-02T00:00:00"/>
    <s v="PURCHASE"/>
    <s v="MUMBAI GOLD"/>
    <n v="355"/>
    <n v="0.995"/>
    <n v="353.22500000000002"/>
    <n v="0"/>
    <m/>
    <s v="0"/>
    <s v="0"/>
    <s v="0"/>
    <s v="0"/>
    <s v="0"/>
    <s v="0"/>
    <n v="355"/>
    <s v="0"/>
    <n v="353.22500000000002"/>
    <s v="0"/>
    <n v="0"/>
    <s v="0"/>
    <m/>
    <m/>
    <m/>
    <m/>
    <n v="1.56"/>
    <n v="45.58"/>
  </r>
  <r>
    <d v="2026-04-02T00:00:00"/>
    <s v="RECEIPT"/>
    <s v="MULKA"/>
    <m/>
    <m/>
    <n v="0"/>
    <e v="#DIV/0!"/>
    <m/>
    <s v="0"/>
    <s v="0"/>
    <s v="0"/>
    <s v="0"/>
    <s v="0"/>
    <s v="0"/>
    <s v="0"/>
    <s v="0"/>
    <s v="0"/>
    <s v="0"/>
    <s v="0"/>
    <s v="0"/>
    <n v="2285"/>
    <m/>
    <m/>
    <m/>
    <m/>
    <m/>
  </r>
  <r>
    <d v="2026-04-07T00:00:00"/>
    <s v="SALES"/>
    <s v="VIRAT BABA  CRICKET WALE"/>
    <n v="570.59199999999998"/>
    <n v="0.88"/>
    <n v="502.12095999999997"/>
    <n v="9.2756295216196527"/>
    <n v="5292.6"/>
    <n v="570.59199999999998"/>
    <s v="0"/>
    <n v="502.12095999999997"/>
    <s v="0"/>
    <n v="5292.6"/>
    <s v="0"/>
    <s v="0"/>
    <s v="0"/>
    <s v="0"/>
    <s v="0"/>
    <s v="0"/>
    <s v="0"/>
    <m/>
    <m/>
    <m/>
    <m/>
    <n v="397.85"/>
    <n v="0.05"/>
  </r>
  <r>
    <d v="2026-04-07T00:00:00"/>
    <s v="PURCHASE"/>
    <s v="VIRAT BABA  CRICKET WALE"/>
    <n v="570.58275000000003"/>
    <n v="0.995"/>
    <n v="567.72983625000006"/>
    <n v="0"/>
    <m/>
    <s v="0"/>
    <s v="0"/>
    <s v="0"/>
    <s v="0"/>
    <s v="0"/>
    <s v="0"/>
    <n v="570.58275000000003"/>
    <s v="0"/>
    <n v="567.72983625000006"/>
    <s v="0"/>
    <n v="0"/>
    <s v="0"/>
    <m/>
    <m/>
    <m/>
    <m/>
    <m/>
    <m/>
  </r>
  <r>
    <d v="2026-04-07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5290"/>
    <m/>
    <m/>
    <m/>
    <m/>
    <m/>
  </r>
  <r>
    <d v="2026-04-08T00:00:00"/>
    <s v="SALES"/>
    <s v="INTA KULE"/>
    <n v="1179.8709999999999"/>
    <n v="0.88"/>
    <n v="1038.28648"/>
    <n v="3.4155259346148865"/>
    <n v="4029.88"/>
    <n v="1179.8709999999999"/>
    <s v="0"/>
    <n v="1038.28648"/>
    <s v="0"/>
    <n v="4029.88"/>
    <s v="0"/>
    <s v="0"/>
    <s v="0"/>
    <s v="0"/>
    <s v="0"/>
    <s v="0"/>
    <s v="0"/>
    <m/>
    <m/>
    <m/>
    <m/>
    <n v="3.4"/>
    <n v="0.05"/>
  </r>
  <r>
    <d v="2026-04-08T00:00:00"/>
    <s v="PURCHASE"/>
    <s v="INTA KULE"/>
    <n v="605.96495000000004"/>
    <n v="0.995"/>
    <n v="602.93512525000006"/>
    <n v="0"/>
    <m/>
    <s v="0"/>
    <s v="0"/>
    <s v="0"/>
    <s v="0"/>
    <s v="0"/>
    <s v="0"/>
    <n v="605.96495000000004"/>
    <s v="0"/>
    <n v="602.93512525000006"/>
    <s v="0"/>
    <n v="0"/>
    <s v="0"/>
    <m/>
    <m/>
    <m/>
    <m/>
    <m/>
    <m/>
  </r>
  <r>
    <d v="2026-04-08T00:00:00"/>
    <s v="RECEIPT"/>
    <s v="INTA KULE"/>
    <m/>
    <m/>
    <n v="0"/>
    <e v="#DIV/0!"/>
    <m/>
    <s v="0"/>
    <s v="0"/>
    <s v="0"/>
    <s v="0"/>
    <s v="0"/>
    <s v="0"/>
    <s v="0"/>
    <s v="0"/>
    <s v="0"/>
    <s v="0"/>
    <s v="0"/>
    <s v="0"/>
    <n v="4025"/>
    <m/>
    <m/>
    <m/>
    <m/>
    <m/>
  </r>
  <r>
    <d v="2026-04-09T00:00:00"/>
    <s v="SALES"/>
    <s v="SURYA BABA WORLD CUP WALE"/>
    <n v="1095.5999999999999"/>
    <n v="0.88"/>
    <n v="964.12799999999993"/>
    <n v="11.899689667761956"/>
    <n v="13037.3"/>
    <n v="1095.5999999999999"/>
    <s v="0"/>
    <n v="964.12799999999993"/>
    <s v="0"/>
    <n v="13037.3"/>
    <s v="0"/>
    <s v="0"/>
    <s v="0"/>
    <s v="0"/>
    <s v="0"/>
    <s v="0"/>
    <s v="0"/>
    <m/>
    <m/>
    <m/>
    <m/>
    <m/>
    <m/>
  </r>
  <r>
    <d v="2026-04-10T00:00:00"/>
    <s v="PURCHASE"/>
    <s v="NEHRU LAL"/>
    <n v="1095.599475"/>
    <n v="0.995"/>
    <n v="1090.1214776249999"/>
    <n v="0"/>
    <m/>
    <s v="0"/>
    <s v="0"/>
    <s v="0"/>
    <s v="0"/>
    <s v="0"/>
    <s v="0"/>
    <n v="1095.599475"/>
    <s v="0"/>
    <n v="1090.1214776249999"/>
    <s v="0"/>
    <n v="0"/>
    <s v="0"/>
    <m/>
    <m/>
    <m/>
    <m/>
    <n v="28136.15"/>
    <n v="1275.72"/>
  </r>
  <r>
    <d v="2026-04-14T00:00:00"/>
    <s v="SALES"/>
    <s v="AYAPPA BAJRANGI BHAI"/>
    <n v="752.75199999999995"/>
    <n v="0.88"/>
    <n v="662.42175999999995"/>
    <n v="10.084463408931494"/>
    <n v="7591.1"/>
    <n v="752.75199999999995"/>
    <s v="0"/>
    <n v="662.42175999999995"/>
    <s v="0"/>
    <n v="7591.1"/>
    <s v="0"/>
    <s v="0"/>
    <s v="0"/>
    <s v="0"/>
    <s v="0"/>
    <s v="0"/>
    <s v="0"/>
    <m/>
    <m/>
    <m/>
    <m/>
    <n v="37253.11"/>
    <n v="908.952"/>
  </r>
  <r>
    <d v="2026-04-14T00:00:00"/>
    <s v="SALES"/>
    <s v="INTA KULE"/>
    <n v="752.74734999999998"/>
    <n v="0.88"/>
    <n v="662.41766799999994"/>
    <n v="1.4033393807364452"/>
    <n v="1056.3600000000001"/>
    <n v="752.74734999999998"/>
    <s v="0"/>
    <n v="662.41766799999994"/>
    <s v="0"/>
    <n v="1056.3600000000001"/>
    <s v="0"/>
    <s v="0"/>
    <s v="0"/>
    <s v="0"/>
    <s v="0"/>
    <s v="0"/>
    <s v="0"/>
    <m/>
    <m/>
    <m/>
    <m/>
    <m/>
    <m/>
  </r>
  <r>
    <d v="2026-04-14T00:00:00"/>
    <s v="PURCHASE"/>
    <s v="SURYA BABA WORLD CUP WALE"/>
    <n v="165.17599999999999"/>
    <n v="1"/>
    <n v="165.17599999999999"/>
    <n v="0"/>
    <m/>
    <s v="0"/>
    <s v="0"/>
    <s v="0"/>
    <s v="0"/>
    <s v="0"/>
    <s v="0"/>
    <n v="165.17599999999999"/>
    <s v="0"/>
    <n v="165.17599999999999"/>
    <s v="0"/>
    <n v="0"/>
    <s v="0"/>
    <m/>
    <m/>
    <m/>
    <m/>
    <m/>
    <m/>
  </r>
  <r>
    <d v="2026-04-14T00:00:00"/>
    <s v="PURCHASE"/>
    <s v="INTA KULE"/>
    <n v="247.6754"/>
    <n v="0.995"/>
    <n v="246.43702299999998"/>
    <n v="0"/>
    <m/>
    <s v="0"/>
    <s v="0"/>
    <s v="0"/>
    <s v="0"/>
    <s v="0"/>
    <s v="0"/>
    <n v="247.6754"/>
    <s v="0"/>
    <n v="246.43702299999998"/>
    <s v="0"/>
    <n v="0"/>
    <s v="0"/>
    <m/>
    <m/>
    <m/>
    <m/>
    <m/>
    <m/>
  </r>
  <r>
    <d v="2026-04-14T00:00:00"/>
    <s v="RECEIPT"/>
    <s v="INTA KULE"/>
    <m/>
    <m/>
    <n v="0"/>
    <e v="#DIV/0!"/>
    <m/>
    <s v="0"/>
    <s v="0"/>
    <s v="0"/>
    <s v="0"/>
    <s v="0"/>
    <s v="0"/>
    <s v="0"/>
    <s v="0"/>
    <s v="0"/>
    <s v="0"/>
    <s v="0"/>
    <s v="0"/>
    <n v="1055"/>
    <m/>
    <m/>
    <m/>
    <m/>
    <m/>
  </r>
  <r>
    <d v="2026-04-15T00:00:00"/>
    <s v="PURCHASE"/>
    <s v="AYAPPA BAJRANGI BHAI"/>
    <n v="1090.1219999999998"/>
    <n v="0.995"/>
    <n v="1084.6713899999997"/>
    <n v="0"/>
    <m/>
    <s v="0"/>
    <s v="0"/>
    <s v="0"/>
    <s v="0"/>
    <s v="0"/>
    <s v="0"/>
    <n v="1090.1219999999998"/>
    <s v="0"/>
    <n v="1084.6713899999997"/>
    <s v="0"/>
    <n v="0"/>
    <s v="0"/>
    <m/>
    <m/>
    <m/>
    <m/>
    <m/>
    <m/>
  </r>
  <r>
    <d v="2026-04-16T00:00:00"/>
    <s v="SALES"/>
    <s v="KABAB"/>
    <n v="319.87699391999996"/>
    <n v="0.88"/>
    <n v="281.49175464959995"/>
    <n v="186.5615568931004"/>
    <n v="59676.75"/>
    <n v="319.87699391999996"/>
    <s v="0"/>
    <n v="281.49175464959995"/>
    <s v="0"/>
    <n v="59676.75"/>
    <s v="0"/>
    <s v="0"/>
    <s v="0"/>
    <s v="0"/>
    <s v="0"/>
    <s v="0"/>
    <s v="0"/>
    <m/>
    <m/>
    <m/>
    <m/>
    <m/>
    <m/>
  </r>
  <r>
    <d v="2026-04-16T00:00:00"/>
    <s v="PURCHASE"/>
    <s v="KABAB"/>
    <n v="489.45641999999998"/>
    <n v="0.995"/>
    <n v="487.00913789999998"/>
    <n v="0"/>
    <m/>
    <s v="0"/>
    <s v="0"/>
    <s v="0"/>
    <s v="0"/>
    <s v="0"/>
    <s v="0"/>
    <n v="489.45641999999998"/>
    <s v="0"/>
    <n v="487.00913789999998"/>
    <s v="0"/>
    <n v="0"/>
    <s v="0"/>
    <m/>
    <m/>
    <m/>
    <m/>
    <m/>
    <m/>
  </r>
  <r>
    <d v="2026-04-16T00:00:00"/>
    <s v="RECEIPT"/>
    <s v="KABAB"/>
    <m/>
    <m/>
    <n v="0"/>
    <e v="#DIV/0!"/>
    <m/>
    <s v="0"/>
    <s v="0"/>
    <s v="0"/>
    <s v="0"/>
    <s v="0"/>
    <s v="0"/>
    <s v="0"/>
    <s v="0"/>
    <s v="0"/>
    <s v="0"/>
    <s v="0"/>
    <s v="0"/>
    <n v="59676"/>
    <m/>
    <m/>
    <m/>
    <m/>
    <m/>
  </r>
  <r>
    <d v="2026-04-18T00:00:00"/>
    <s v="PURCHASE"/>
    <s v="AYAPPA BAJRANGI BHAI"/>
    <n v="262.60000000000002"/>
    <n v="0.995"/>
    <n v="261.28700000000003"/>
    <n v="0"/>
    <m/>
    <s v="0"/>
    <s v="0"/>
    <s v="0"/>
    <s v="0"/>
    <s v="0"/>
    <s v="0"/>
    <n v="262.60000000000002"/>
    <s v="0"/>
    <n v="261.28700000000003"/>
    <s v="0"/>
    <n v="0"/>
    <s v="0"/>
    <m/>
    <m/>
    <m/>
    <m/>
    <m/>
    <m/>
  </r>
  <r>
    <d v="2026-04-20T00:00:00"/>
    <s v="SALES"/>
    <s v="SURYA BABA WORLD CUP WALE"/>
    <n v="187.7"/>
    <n v="0.88"/>
    <n v="165.17599999999999"/>
    <n v="10"/>
    <n v="1877"/>
    <n v="187.7"/>
    <s v="0"/>
    <n v="165.17599999999999"/>
    <s v="0"/>
    <n v="1877"/>
    <s v="0"/>
    <s v="0"/>
    <s v="0"/>
    <s v="0"/>
    <s v="0"/>
    <s v="0"/>
    <s v="0"/>
    <m/>
    <m/>
    <m/>
    <m/>
    <m/>
    <m/>
  </r>
  <r>
    <d v="2026-04-20T00:00:00"/>
    <s v="PURCHASE"/>
    <s v="OBD STUDIO"/>
    <n v="84"/>
    <n v="0.88"/>
    <n v="73.92"/>
    <n v="26.547619047619047"/>
    <n v="2230"/>
    <s v="0"/>
    <s v="0"/>
    <s v="0"/>
    <s v="0"/>
    <s v="0"/>
    <s v="0"/>
    <n v="84"/>
    <s v="0"/>
    <n v="73.92"/>
    <s v="0"/>
    <n v="2230"/>
    <s v="0"/>
    <m/>
    <m/>
    <m/>
    <m/>
    <m/>
    <m/>
  </r>
  <r>
    <d v="2026-04-20T00:00:00"/>
    <s v="PURCHASE"/>
    <s v="SURYA BABA WORLD CUP WALE"/>
    <n v="248.92"/>
    <n v="0.995"/>
    <n v="247.6754"/>
    <m/>
    <m/>
    <s v="0"/>
    <s v="0"/>
    <s v="0"/>
    <s v="0"/>
    <s v="0"/>
    <s v="0"/>
    <n v="248.92"/>
    <s v="0"/>
    <n v="247.6754"/>
    <s v="0"/>
    <n v="0"/>
    <s v="0"/>
    <m/>
    <m/>
    <m/>
    <m/>
    <m/>
    <m/>
  </r>
  <r>
    <d v="2026-04-20T00:00:00"/>
    <s v="METAL PAYMENT"/>
    <s v="RAM JI"/>
    <n v="563.51"/>
    <n v="0.995"/>
    <n v="560.69245000000001"/>
    <n v="0"/>
    <m/>
    <s v="0"/>
    <s v="0"/>
    <s v="0"/>
    <s v="0"/>
    <s v="0"/>
    <s v="0"/>
    <s v="0"/>
    <n v="563.51"/>
    <s v="0"/>
    <n v="560.69245000000001"/>
    <s v="0"/>
    <n v="0"/>
    <m/>
    <m/>
    <m/>
    <m/>
    <m/>
    <m/>
  </r>
  <r>
    <d v="2026-04-20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2230"/>
    <m/>
    <m/>
    <m/>
  </r>
  <r>
    <d v="2026-04-21T00:00:00"/>
    <s v="SALES"/>
    <s v="MULLA JI GOLD"/>
    <n v="343.73"/>
    <n v="0.88"/>
    <n v="302.48240000000004"/>
    <n v="10.541907892822856"/>
    <n v="3623.57"/>
    <n v="343.73"/>
    <s v="0"/>
    <n v="302.48240000000004"/>
    <s v="0"/>
    <n v="3623.57"/>
    <s v="0"/>
    <s v="0"/>
    <s v="0"/>
    <s v="0"/>
    <s v="0"/>
    <s v="0"/>
    <s v="0"/>
    <m/>
    <m/>
    <m/>
    <m/>
    <n v="15.01"/>
    <n v="1.26"/>
  </r>
  <r>
    <d v="2026-04-21T00:00:00"/>
    <s v="PURCHASE"/>
    <s v="MULLA JI GOLD"/>
    <n v="304"/>
    <n v="0.995"/>
    <n v="302.48"/>
    <n v="0"/>
    <m/>
    <s v="0"/>
    <s v="0"/>
    <s v="0"/>
    <s v="0"/>
    <s v="0"/>
    <s v="0"/>
    <n v="304"/>
    <s v="0"/>
    <n v="302.48"/>
    <s v="0"/>
    <n v="0"/>
    <s v="0"/>
    <m/>
    <m/>
    <m/>
    <m/>
    <m/>
    <m/>
  </r>
  <r>
    <d v="2026-04-21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3620"/>
    <m/>
    <m/>
    <m/>
    <m/>
    <m/>
  </r>
  <r>
    <d v="2026-04-22T00:00:00"/>
    <s v="SALES"/>
    <s v="GOLDI BARAR"/>
    <n v="523.11282000000006"/>
    <n v="0.88"/>
    <n v="460.33928160000005"/>
    <n v="3.9607899496708949"/>
    <n v="2071.94"/>
    <n v="523.11282000000006"/>
    <s v="0"/>
    <n v="460.33928160000005"/>
    <s v="0"/>
    <n v="2071.94"/>
    <s v="0"/>
    <s v="0"/>
    <s v="0"/>
    <s v="0"/>
    <s v="0"/>
    <s v="0"/>
    <s v="0"/>
    <m/>
    <m/>
    <m/>
    <m/>
    <m/>
    <m/>
  </r>
  <r>
    <d v="2026-04-22T00:00:00"/>
    <s v="SALES"/>
    <s v="VIRAT BABA  CRICKET WALE"/>
    <n v="389.05856"/>
    <n v="0.88"/>
    <n v="342.37153280000001"/>
    <n v="19.322798089829973"/>
    <n v="7517.7"/>
    <n v="389.05856"/>
    <s v="0"/>
    <n v="342.37153280000001"/>
    <s v="0"/>
    <n v="7517.7"/>
    <s v="0"/>
    <s v="0"/>
    <s v="0"/>
    <s v="0"/>
    <s v="0"/>
    <s v="0"/>
    <s v="0"/>
    <m/>
    <m/>
    <m/>
    <m/>
    <m/>
    <m/>
  </r>
  <r>
    <d v="2026-04-22T00:00:00"/>
    <s v="PURCHASE"/>
    <s v="GOLDI BARAR"/>
    <n v="439.89780824999997"/>
    <n v="0.995"/>
    <n v="437.69831920874998"/>
    <m/>
    <m/>
    <s v="0"/>
    <s v="0"/>
    <s v="0"/>
    <s v="0"/>
    <s v="0"/>
    <s v="0"/>
    <n v="439.89780824999997"/>
    <s v="0"/>
    <n v="437.69831920874998"/>
    <s v="0"/>
    <n v="0"/>
    <s v="0"/>
    <m/>
    <m/>
    <m/>
    <m/>
    <m/>
    <m/>
  </r>
  <r>
    <d v="2026-04-22T00:00:00"/>
    <s v="PURCHASE"/>
    <s v="VIRAT BABA  CRICKET WALE"/>
    <n v="405.23643599999997"/>
    <n v="0.995"/>
    <n v="403.21025381999999"/>
    <m/>
    <m/>
    <s v="0"/>
    <s v="0"/>
    <s v="0"/>
    <s v="0"/>
    <s v="0"/>
    <s v="0"/>
    <n v="405.23643599999997"/>
    <s v="0"/>
    <n v="403.21025381999999"/>
    <s v="0"/>
    <n v="0"/>
    <s v="0"/>
    <m/>
    <m/>
    <m/>
    <m/>
    <m/>
    <m/>
  </r>
  <r>
    <d v="2026-04-22T00:00:00"/>
    <s v="PURCHASE"/>
    <s v="ROHIT BABA CRICKET WALE"/>
    <n v="363.49658399999998"/>
    <n v="0.88"/>
    <n v="319.87699391999996"/>
    <n v="4.841613587213244"/>
    <n v="1759.91"/>
    <s v="0"/>
    <s v="0"/>
    <s v="0"/>
    <s v="0"/>
    <s v="0"/>
    <s v="0"/>
    <n v="363.49658399999998"/>
    <s v="0"/>
    <n v="319.87699391999996"/>
    <s v="0"/>
    <n v="1759.91"/>
    <s v="0"/>
    <m/>
    <m/>
    <m/>
    <m/>
    <m/>
    <m/>
  </r>
  <r>
    <d v="2026-04-22T00:00:00"/>
    <s v="METAL PAYMENT"/>
    <s v="HMMAA DEVI"/>
    <n v="365"/>
    <n v="0.995"/>
    <n v="363.17500000000001"/>
    <n v="0"/>
    <m/>
    <s v="0"/>
    <s v="0"/>
    <s v="0"/>
    <s v="0"/>
    <s v="0"/>
    <s v="0"/>
    <s v="0"/>
    <n v="365"/>
    <s v="0"/>
    <n v="363.17500000000001"/>
    <s v="0"/>
    <n v="0"/>
    <m/>
    <m/>
    <m/>
    <m/>
    <m/>
    <m/>
  </r>
  <r>
    <d v="2026-04-22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7515"/>
    <m/>
    <m/>
    <m/>
    <m/>
    <m/>
  </r>
  <r>
    <d v="2026-04-22T00:00:00"/>
    <s v="RECEIPT"/>
    <s v="OLD KUNFU"/>
    <m/>
    <m/>
    <n v="0"/>
    <e v="#DIV/0!"/>
    <m/>
    <s v="0"/>
    <s v="0"/>
    <s v="0"/>
    <s v="0"/>
    <s v="0"/>
    <s v="0"/>
    <s v="0"/>
    <s v="0"/>
    <s v="0"/>
    <s v="0"/>
    <s v="0"/>
    <s v="0"/>
    <n v="2070"/>
    <m/>
    <m/>
    <m/>
    <m/>
    <m/>
  </r>
  <r>
    <d v="2026-04-22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1760"/>
    <m/>
    <m/>
    <m/>
  </r>
  <r>
    <d v="2026-04-23T00:00:00"/>
    <s v="SALES"/>
    <s v="BADRI BABA"/>
    <n v="564"/>
    <n v="0.88"/>
    <n v="496.32"/>
    <n v="35.131737588652484"/>
    <n v="19814.3"/>
    <n v="564"/>
    <s v="0"/>
    <n v="496.32"/>
    <s v="0"/>
    <n v="19814.3"/>
    <s v="0"/>
    <s v="0"/>
    <s v="0"/>
    <s v="0"/>
    <s v="0"/>
    <s v="0"/>
    <s v="0"/>
    <m/>
    <m/>
    <m/>
    <m/>
    <m/>
    <m/>
  </r>
  <r>
    <d v="2026-04-23T00:00:00"/>
    <s v="SALES"/>
    <s v="KRISHNA JI "/>
    <n v="319.87699391999996"/>
    <n v="0.88"/>
    <n v="281.49175464959995"/>
    <n v="5.3770669122586712E-2"/>
    <n v="17.2"/>
    <n v="319.87699391999996"/>
    <s v="0"/>
    <n v="281.49175464959995"/>
    <s v="0"/>
    <n v="17.2"/>
    <s v="0"/>
    <s v="0"/>
    <s v="0"/>
    <s v="0"/>
    <s v="0"/>
    <s v="0"/>
    <s v="0"/>
    <m/>
    <m/>
    <m/>
    <m/>
    <m/>
    <m/>
  </r>
  <r>
    <d v="2026-04-23T00:00:00"/>
    <s v="PURCHASE"/>
    <s v="BADRI BABA"/>
    <n v="24"/>
    <n v="0.995"/>
    <n v="23.88"/>
    <n v="0"/>
    <m/>
    <s v="0"/>
    <s v="0"/>
    <s v="0"/>
    <s v="0"/>
    <s v="0"/>
    <s v="0"/>
    <n v="24"/>
    <s v="0"/>
    <n v="23.88"/>
    <s v="0"/>
    <n v="0"/>
    <s v="0"/>
    <m/>
    <m/>
    <m/>
    <m/>
    <m/>
    <m/>
  </r>
  <r>
    <d v="2026-04-23T00:00:00"/>
    <s v="PURCHASE"/>
    <s v="KRISHNA JI "/>
    <n v="319.87699391999996"/>
    <n v="0.995"/>
    <n v="318.27760895039995"/>
    <n v="0"/>
    <m/>
    <s v="0"/>
    <s v="0"/>
    <s v="0"/>
    <s v="0"/>
    <s v="0"/>
    <s v="0"/>
    <n v="319.87699391999996"/>
    <s v="0"/>
    <n v="318.27760895039995"/>
    <s v="0"/>
    <n v="0"/>
    <s v="0"/>
    <m/>
    <m/>
    <m/>
    <m/>
    <n v="-497246.75"/>
    <n v="-990.39"/>
  </r>
  <r>
    <d v="2026-04-24T00:00:00"/>
    <s v="PURCHASE"/>
    <s v="VIRAT BABA  CRICKET WALE"/>
    <n v="471.8713472"/>
    <n v="0.995"/>
    <n v="469.51199046400001"/>
    <m/>
    <m/>
    <s v="0"/>
    <s v="0"/>
    <s v="0"/>
    <s v="0"/>
    <s v="0"/>
    <s v="0"/>
    <n v="471.8713472"/>
    <s v="0"/>
    <n v="469.51199046400001"/>
    <s v="0"/>
    <n v="0"/>
    <s v="0"/>
    <m/>
    <m/>
    <m/>
    <m/>
    <m/>
    <m/>
  </r>
  <r>
    <d v="2026-04-24T00:00:00"/>
    <s v="PURCHASE"/>
    <s v="ROHIT BABA CRICKET WALE"/>
    <n v="471.8713472"/>
    <n v="0.88"/>
    <n v="415.246785536"/>
    <n v="3.6185392695104501"/>
    <n v="1707.4849999999999"/>
    <s v="0"/>
    <s v="0"/>
    <s v="0"/>
    <s v="0"/>
    <s v="0"/>
    <s v="0"/>
    <n v="471.8713472"/>
    <s v="0"/>
    <n v="415.246785536"/>
    <s v="0"/>
    <n v="1707.4849999999999"/>
    <s v="0"/>
    <m/>
    <m/>
    <m/>
    <m/>
    <m/>
    <m/>
  </r>
  <r>
    <d v="2026-04-24T00:00:00"/>
    <s v="SALES"/>
    <s v="VIRAT BABA  CRICKET WALE"/>
    <n v="1038.3155200000001"/>
    <n v="0.88"/>
    <n v="913.71765760000005"/>
    <n v="4.6574956329266843"/>
    <n v="4835.95"/>
    <n v="1038.3155200000001"/>
    <s v="0"/>
    <n v="913.71765760000005"/>
    <s v="0"/>
    <n v="4835.95"/>
    <s v="0"/>
    <s v="0"/>
    <s v="0"/>
    <s v="0"/>
    <s v="0"/>
    <s v="0"/>
    <s v="0"/>
    <m/>
    <m/>
    <m/>
    <m/>
    <m/>
    <m/>
  </r>
  <r>
    <d v="2026-04-24T00:00:00"/>
    <s v="METAL PAYMENT"/>
    <s v="HMMAA DEVI"/>
    <n v="321"/>
    <n v="0.995"/>
    <n v="319.39499999999998"/>
    <n v="0"/>
    <m/>
    <s v="0"/>
    <s v="0"/>
    <s v="0"/>
    <s v="0"/>
    <s v="0"/>
    <s v="0"/>
    <s v="0"/>
    <n v="321"/>
    <s v="0"/>
    <n v="319.39499999999998"/>
    <s v="0"/>
    <n v="0"/>
    <m/>
    <m/>
    <m/>
    <m/>
    <m/>
    <m/>
  </r>
  <r>
    <d v="2026-04-24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1707"/>
    <m/>
    <m/>
    <m/>
  </r>
  <r>
    <d v="2026-04-24T00:00:00"/>
    <s v="RECEIPT"/>
    <s v="VIRAT BABA  CRICKET WALE"/>
    <m/>
    <m/>
    <n v="0"/>
    <e v="#DIV/0!"/>
    <m/>
    <s v="0"/>
    <s v="0"/>
    <s v="0"/>
    <s v="0"/>
    <s v="0"/>
    <s v="0"/>
    <s v="0"/>
    <s v="0"/>
    <s v="0"/>
    <s v="0"/>
    <s v="0"/>
    <s v="0"/>
    <n v="4840"/>
    <m/>
    <m/>
    <m/>
    <m/>
    <m/>
  </r>
  <r>
    <d v="2026-04-25T00:00:00"/>
    <s v="SALES"/>
    <s v="SURYA BABA WORLD CUP WALE"/>
    <n v="248.92"/>
    <n v="0.88"/>
    <n v="219.0496"/>
    <n v="12.639000482082597"/>
    <n v="3146.1"/>
    <n v="248.92"/>
    <s v="0"/>
    <n v="219.0496"/>
    <s v="0"/>
    <n v="3146.1"/>
    <s v="0"/>
    <s v="0"/>
    <s v="0"/>
    <s v="0"/>
    <s v="0"/>
    <s v="0"/>
    <s v="0"/>
    <m/>
    <m/>
    <m/>
    <m/>
    <m/>
    <m/>
  </r>
  <r>
    <d v="2026-04-25T00:00:00"/>
    <s v="SALES"/>
    <s v="MUMBAI GOLD"/>
    <n v="255"/>
    <n v="0.88"/>
    <n v="224.4"/>
    <n v="1.7317647058823529"/>
    <n v="441.59999999999997"/>
    <n v="255"/>
    <s v="0"/>
    <n v="224.4"/>
    <s v="0"/>
    <n v="441.59999999999997"/>
    <s v="0"/>
    <s v="0"/>
    <s v="0"/>
    <s v="0"/>
    <s v="0"/>
    <s v="0"/>
    <s v="0"/>
    <m/>
    <m/>
    <m/>
    <m/>
    <m/>
    <m/>
  </r>
  <r>
    <d v="2026-04-25T00:00:00"/>
    <s v="PURCHASE"/>
    <s v="ROHIT BABA CRICKET WALE"/>
    <n v="533.25184000000002"/>
    <n v="0.88"/>
    <n v="469.26161920000004"/>
    <n v="3.0179033231277739"/>
    <n v="1609.3025"/>
    <s v="0"/>
    <s v="0"/>
    <s v="0"/>
    <s v="0"/>
    <s v="0"/>
    <s v="0"/>
    <n v="533.25184000000002"/>
    <s v="0"/>
    <n v="469.26161920000004"/>
    <s v="0"/>
    <n v="1609.3025"/>
    <s v="0"/>
    <m/>
    <m/>
    <m/>
    <m/>
    <m/>
    <m/>
  </r>
  <r>
    <d v="2026-04-25T00:00:00"/>
    <s v="PURCHASE"/>
    <s v="BADRI BABA"/>
    <n v="653"/>
    <n v="0.995"/>
    <n v="649.73500000000001"/>
    <m/>
    <m/>
    <s v="0"/>
    <s v="0"/>
    <s v="0"/>
    <s v="0"/>
    <s v="0"/>
    <s v="0"/>
    <n v="653"/>
    <s v="0"/>
    <n v="649.73500000000001"/>
    <s v="0"/>
    <n v="0"/>
    <s v="0"/>
    <m/>
    <m/>
    <m/>
    <m/>
    <m/>
    <m/>
  </r>
  <r>
    <d v="2026-04-25T00:00:00"/>
    <s v="METAL PAYMENT"/>
    <s v="HMMAA DEVI"/>
    <n v="312"/>
    <n v="0.995"/>
    <n v="310.44"/>
    <n v="0"/>
    <m/>
    <s v="0"/>
    <s v="0"/>
    <s v="0"/>
    <s v="0"/>
    <s v="0"/>
    <s v="0"/>
    <s v="0"/>
    <n v="312"/>
    <s v="0"/>
    <n v="310.44"/>
    <s v="0"/>
    <n v="0"/>
    <m/>
    <m/>
    <m/>
    <m/>
    <m/>
    <m/>
  </r>
  <r>
    <d v="2026-04-25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1610"/>
    <m/>
    <m/>
    <m/>
  </r>
  <r>
    <d v="2026-04-27T00:00:00"/>
    <s v="PURCHASE"/>
    <s v="SURYA BABA WORLD CUP WALE"/>
    <n v="1095.5999999999999"/>
    <n v="0.995"/>
    <n v="1090.1219999999998"/>
    <m/>
    <m/>
    <s v="0"/>
    <s v="0"/>
    <s v="0"/>
    <s v="0"/>
    <s v="0"/>
    <s v="0"/>
    <n v="1095.5999999999999"/>
    <s v="0"/>
    <n v="1090.1219999999998"/>
    <s v="0"/>
    <n v="0"/>
    <s v="0"/>
    <m/>
    <m/>
    <m/>
    <m/>
    <m/>
    <m/>
  </r>
  <r>
    <d v="2026-04-27T00:00:00"/>
    <s v="PURCHASE"/>
    <s v="ROHIT BABA CRICKET WALE"/>
    <n v="533.25184000000002"/>
    <n v="0.88"/>
    <n v="469.26161920000004"/>
    <n v="2.7804545409538575"/>
    <n v="1482.6824999999999"/>
    <s v="0"/>
    <s v="0"/>
    <s v="0"/>
    <s v="0"/>
    <s v="0"/>
    <s v="0"/>
    <n v="533.25184000000002"/>
    <s v="0"/>
    <n v="469.26161920000004"/>
    <s v="0"/>
    <n v="1482.6824999999999"/>
    <s v="0"/>
    <m/>
    <m/>
    <m/>
    <m/>
    <m/>
    <m/>
  </r>
  <r>
    <d v="2026-04-27T00:00:00"/>
    <s v="SALES"/>
    <s v="SURYA BABA WORLD CUP WALE"/>
    <n v="363.49658399999998"/>
    <n v="0.88"/>
    <n v="319.87699391999996"/>
    <n v="5.3571342502629955"/>
    <n v="1947.3"/>
    <n v="363.49658399999998"/>
    <s v="0"/>
    <n v="319.87699391999996"/>
    <s v="0"/>
    <n v="1947.3"/>
    <s v="0"/>
    <s v="0"/>
    <s v="0"/>
    <s v="0"/>
    <s v="0"/>
    <s v="0"/>
    <s v="0"/>
    <m/>
    <m/>
    <m/>
    <m/>
    <m/>
    <m/>
  </r>
  <r>
    <d v="2026-04-27T00:00:00"/>
    <s v="METAL PAYMENT"/>
    <s v="HMMAA DEVI"/>
    <n v="365"/>
    <n v="0.995"/>
    <n v="363.17500000000001"/>
    <n v="0"/>
    <m/>
    <s v="0"/>
    <s v="0"/>
    <s v="0"/>
    <s v="0"/>
    <s v="0"/>
    <s v="0"/>
    <s v="0"/>
    <n v="365"/>
    <s v="0"/>
    <n v="363.17500000000001"/>
    <s v="0"/>
    <n v="0"/>
    <m/>
    <m/>
    <m/>
    <m/>
    <m/>
    <m/>
  </r>
  <r>
    <d v="2026-04-27T00:00:00"/>
    <s v="PAYMENT"/>
    <s v="HMMAA DEVI"/>
    <m/>
    <m/>
    <n v="0"/>
    <e v="#DIV/0!"/>
    <m/>
    <s v="0"/>
    <s v="0"/>
    <s v="0"/>
    <s v="0"/>
    <s v="0"/>
    <s v="0"/>
    <s v="0"/>
    <s v="0"/>
    <s v="0"/>
    <s v="0"/>
    <s v="0"/>
    <s v="0"/>
    <m/>
    <m/>
    <n v="1480"/>
    <m/>
    <m/>
    <m/>
  </r>
  <r>
    <d v="2026-04-28T00:00:00"/>
    <s v="SALES"/>
    <s v="SURYA BABA WORLD CUP WALE"/>
    <n v="165.17599999999999"/>
    <n v="0.88"/>
    <n v="145.35487999999998"/>
    <n v="3.3891122196929344"/>
    <n v="559.80000000000007"/>
    <n v="165.17599999999999"/>
    <s v="0"/>
    <n v="145.35487999999998"/>
    <s v="0"/>
    <n v="559.80000000000007"/>
    <s v="0"/>
    <s v="0"/>
    <s v="0"/>
    <s v="0"/>
    <s v="0"/>
    <s v="0"/>
    <s v="0"/>
    <m/>
    <m/>
    <m/>
    <m/>
    <m/>
    <m/>
  </r>
  <r>
    <d v="2026-04-28T00:00:00"/>
    <s v="PURCHASE"/>
    <s v="SURYA BABA WORLD CUP WALE"/>
    <n v="934.64799999999991"/>
    <n v="0.995"/>
    <n v="929.97475999999995"/>
    <n v="0"/>
    <m/>
    <s v="0"/>
    <s v="0"/>
    <s v="0"/>
    <s v="0"/>
    <s v="0"/>
    <s v="0"/>
    <n v="934.64799999999991"/>
    <s v="0"/>
    <n v="929.97475999999995"/>
    <s v="0"/>
    <n v="0"/>
    <s v="0"/>
    <m/>
    <m/>
    <m/>
    <m/>
    <m/>
    <m/>
  </r>
  <r>
    <d v="2026-04-29T00:00:00"/>
    <s v="PURCHASE"/>
    <s v="OBD STUDIO"/>
    <n v="1258"/>
    <n v="0.88"/>
    <n v="1107.04"/>
    <n v="1.43879173290938"/>
    <n v="1810"/>
    <s v="0"/>
    <s v="0"/>
    <s v="0"/>
    <s v="0"/>
    <s v="0"/>
    <s v="0"/>
    <n v="1258"/>
    <s v="0"/>
    <n v="1107.04"/>
    <s v="0"/>
    <n v="1810"/>
    <s v="0"/>
    <m/>
    <m/>
    <m/>
    <m/>
    <m/>
    <m/>
  </r>
  <r>
    <d v="2026-04-29T00:00:00"/>
    <s v="METAL PAYMENT"/>
    <s v="RAM JI"/>
    <n v="489.45600000000002"/>
    <n v="0.995"/>
    <n v="487.00872000000004"/>
    <n v="0"/>
    <m/>
    <s v="0"/>
    <s v="0"/>
    <s v="0"/>
    <s v="0"/>
    <s v="0"/>
    <s v="0"/>
    <s v="0"/>
    <n v="489.45600000000002"/>
    <s v="0"/>
    <n v="487.00872000000004"/>
    <s v="0"/>
    <n v="0"/>
    <m/>
    <m/>
    <m/>
    <m/>
    <m/>
    <m/>
  </r>
  <r>
    <d v="2026-04-29T00:00:00"/>
    <s v="PAYMENT"/>
    <s v="RAM JI"/>
    <m/>
    <m/>
    <n v="0"/>
    <e v="#DIV/0!"/>
    <m/>
    <s v="0"/>
    <s v="0"/>
    <s v="0"/>
    <s v="0"/>
    <s v="0"/>
    <s v="0"/>
    <s v="0"/>
    <s v="0"/>
    <s v="0"/>
    <s v="0"/>
    <s v="0"/>
    <s v="0"/>
    <m/>
    <m/>
    <n v="1810"/>
    <m/>
    <m/>
    <m/>
  </r>
  <r>
    <d v="2026-03-04T00:00:00"/>
    <s v="SALES"/>
    <s v="MULLA JI GOLD"/>
    <n v="424.67"/>
    <n v="0.88"/>
    <n v="373.70960000000002"/>
    <n v="5.6009136505992885"/>
    <n v="2378.54"/>
    <n v="424.67"/>
    <s v="0"/>
    <n v="373.70960000000002"/>
    <s v="0"/>
    <n v="2378.54"/>
    <s v="0"/>
    <s v="0"/>
    <s v="0"/>
    <s v="0"/>
    <s v="0"/>
    <s v="0"/>
    <s v="0"/>
    <m/>
    <m/>
    <m/>
    <m/>
    <m/>
    <m/>
  </r>
  <r>
    <d v="2026-03-04T00:00:00"/>
    <s v="SALES"/>
    <s v="ASSI"/>
    <n v="1664.19"/>
    <n v="0.88"/>
    <n v="1464.4872"/>
    <n v="4.42"/>
    <n v="7355.7197999999999"/>
    <n v="1664.19"/>
    <s v="0"/>
    <n v="1464.4872"/>
    <s v="0"/>
    <n v="7355.7197999999999"/>
    <s v="0"/>
    <s v="0"/>
    <s v="0"/>
    <s v="0"/>
    <s v="0"/>
    <s v="0"/>
    <s v="0"/>
    <m/>
    <m/>
    <m/>
    <m/>
    <m/>
    <m/>
  </r>
  <r>
    <d v="2026-03-04T00:00:00"/>
    <s v="PURCHASE"/>
    <s v="ASSI"/>
    <n v="1001.35"/>
    <n v="1"/>
    <n v="1001.35"/>
    <n v="0"/>
    <m/>
    <s v="0"/>
    <s v="0"/>
    <s v="0"/>
    <s v="0"/>
    <s v="0"/>
    <s v="0"/>
    <n v="1001.35"/>
    <s v="0"/>
    <n v="1001.35"/>
    <s v="0"/>
    <n v="0"/>
    <s v="0"/>
    <m/>
    <m/>
    <m/>
    <m/>
    <m/>
    <m/>
  </r>
  <r>
    <d v="2026-03-04T00:00:00"/>
    <s v="PURCHASE"/>
    <s v="ASSI"/>
    <n v="465.46"/>
    <n v="0.995"/>
    <n v="463.1327"/>
    <n v="0"/>
    <m/>
    <s v="0"/>
    <s v="0"/>
    <s v="0"/>
    <s v="0"/>
    <s v="0"/>
    <s v="0"/>
    <n v="465.46"/>
    <s v="0"/>
    <n v="463.1327"/>
    <s v="0"/>
    <n v="0"/>
    <s v="0"/>
    <m/>
    <m/>
    <m/>
    <m/>
    <m/>
    <m/>
  </r>
  <r>
    <d v="2026-03-13T00:00:00"/>
    <s v="SALES"/>
    <s v="MULLA JI GOLD"/>
    <n v="39.74"/>
    <n v="0.88"/>
    <n v="34.971200000000003"/>
    <n v="9.9999999999999982"/>
    <n v="397.4"/>
    <n v="39.74"/>
    <s v="0"/>
    <n v="34.971200000000003"/>
    <s v="0"/>
    <n v="397.4"/>
    <s v="0"/>
    <s v="0"/>
    <s v="0"/>
    <s v="0"/>
    <s v="0"/>
    <s v="0"/>
    <s v="0"/>
    <m/>
    <m/>
    <m/>
    <m/>
    <m/>
    <m/>
  </r>
  <r>
    <d v="2026-03-13T00:00:00"/>
    <s v="PURCHASE"/>
    <s v="MULLA JI GOLD"/>
    <n v="410.73"/>
    <n v="0.995"/>
    <n v="408.67635000000001"/>
    <n v="0"/>
    <m/>
    <s v="0"/>
    <s v="0"/>
    <s v="0"/>
    <s v="0"/>
    <s v="0"/>
    <s v="0"/>
    <n v="410.73"/>
    <s v="0"/>
    <n v="408.67635000000001"/>
    <s v="0"/>
    <n v="0"/>
    <s v="0"/>
    <m/>
    <m/>
    <m/>
    <m/>
    <m/>
    <m/>
  </r>
  <r>
    <d v="2026-03-13T00:00:00"/>
    <s v="RECEIPT"/>
    <s v="MULLA JI GOLD"/>
    <m/>
    <m/>
    <n v="0"/>
    <e v="#DIV/0!"/>
    <m/>
    <s v="0"/>
    <s v="0"/>
    <s v="0"/>
    <s v="0"/>
    <s v="0"/>
    <s v="0"/>
    <s v="0"/>
    <s v="0"/>
    <s v="0"/>
    <s v="0"/>
    <s v="0"/>
    <s v="0"/>
    <n v="2725"/>
    <m/>
    <m/>
    <m/>
    <m/>
    <m/>
  </r>
  <r>
    <d v="2026-03-25T00:00:00"/>
    <s v="RECEIPT"/>
    <s v="KRISHNA JI "/>
    <m/>
    <m/>
    <n v="0"/>
    <e v="#DIV/0!"/>
    <m/>
    <s v="0"/>
    <s v="0"/>
    <s v="0"/>
    <s v="0"/>
    <s v="0"/>
    <s v="0"/>
    <s v="0"/>
    <s v="0"/>
    <s v="0"/>
    <s v="0"/>
    <s v="0"/>
    <s v="0"/>
    <n v="10000"/>
    <m/>
    <m/>
    <m/>
    <m/>
    <m/>
  </r>
  <r>
    <d v="2026-03-28T00:00:00"/>
    <s v="SALES"/>
    <s v="NEHRU LAL"/>
    <n v="3378.4"/>
    <n v="0.88"/>
    <n v="2972.9920000000002"/>
    <n v="8.3282470992185651"/>
    <n v="28136.15"/>
    <n v="3378.4"/>
    <s v="0"/>
    <n v="2972.9920000000002"/>
    <s v="0"/>
    <n v="28136.15"/>
    <s v="0"/>
    <s v="0"/>
    <s v="0"/>
    <s v="0"/>
    <s v="0"/>
    <s v="0"/>
    <s v="0"/>
    <m/>
    <m/>
    <m/>
    <m/>
    <m/>
    <m/>
  </r>
  <r>
    <d v="2026-03-28T00:00:00"/>
    <s v="PURCHASE"/>
    <s v="NEHRU LAL"/>
    <n v="1705.8"/>
    <n v="0.995"/>
    <n v="1697.271"/>
    <n v="0"/>
    <m/>
    <s v="0"/>
    <s v="0"/>
    <s v="0"/>
    <s v="0"/>
    <s v="0"/>
    <s v="0"/>
    <n v="1705.8"/>
    <s v="0"/>
    <n v="1697.271"/>
    <s v="0"/>
    <n v="0"/>
    <s v="0"/>
    <m/>
    <m/>
    <m/>
    <m/>
    <m/>
    <m/>
  </r>
  <r>
    <d v="2026-02-02T00:00:00"/>
    <s v="SALES"/>
    <s v="HULLA GOLD"/>
    <n v="1664.5"/>
    <n v="0.88"/>
    <n v="1464.76"/>
    <n v="8.7300690898167623"/>
    <n v="14531.2"/>
    <n v="1664.5"/>
    <s v="0"/>
    <n v="1464.76"/>
    <s v="0"/>
    <n v="14531.2"/>
    <s v="0"/>
    <s v="0"/>
    <s v="0"/>
    <s v="0"/>
    <s v="0"/>
    <s v="0"/>
    <s v="0"/>
    <m/>
    <m/>
    <m/>
    <m/>
    <m/>
    <m/>
  </r>
  <r>
    <d v="2026-02-02T00:00:00"/>
    <s v="SALES"/>
    <s v="INTA KULE"/>
    <n v="68.8"/>
    <n v="0.88"/>
    <n v="60.543999999999997"/>
    <n v="3"/>
    <n v="206.4"/>
    <n v="68.8"/>
    <s v="0"/>
    <n v="60.543999999999997"/>
    <s v="0"/>
    <n v="206.4"/>
    <s v="0"/>
    <s v="0"/>
    <s v="0"/>
    <s v="0"/>
    <s v="0"/>
    <s v="0"/>
    <s v="0"/>
    <m/>
    <m/>
    <m/>
    <m/>
    <m/>
    <m/>
  </r>
  <r>
    <d v="2026-02-02T00:00:00"/>
    <s v="PURCHASE"/>
    <s v="INTA KULE"/>
    <n v="60.84"/>
    <n v="0.995"/>
    <n v="60.535800000000002"/>
    <m/>
    <n v="0"/>
    <s v="0"/>
    <s v="0"/>
    <s v="0"/>
    <s v="0"/>
    <s v="0"/>
    <s v="0"/>
    <n v="60.84"/>
    <s v="0"/>
    <n v="60.535800000000002"/>
    <s v="0"/>
    <n v="0"/>
    <s v="0"/>
    <m/>
    <m/>
    <m/>
    <m/>
    <m/>
    <m/>
  </r>
  <r>
    <d v="2026-02-02T00:00:00"/>
    <s v="RECEIPT"/>
    <s v="HULLA GOLD"/>
    <m/>
    <m/>
    <n v="0"/>
    <m/>
    <n v="0"/>
    <s v="0"/>
    <s v="0"/>
    <s v="0"/>
    <s v="0"/>
    <s v="0"/>
    <s v="0"/>
    <s v="0"/>
    <s v="0"/>
    <s v="0"/>
    <s v="0"/>
    <s v="0"/>
    <s v="0"/>
    <n v="104035"/>
    <m/>
    <m/>
    <m/>
    <m/>
    <m/>
  </r>
  <r>
    <d v="2026-02-02T00:00:00"/>
    <s v="RECEIPT"/>
    <s v="INTA KULE"/>
    <m/>
    <m/>
    <n v="0"/>
    <m/>
    <n v="0"/>
    <s v="0"/>
    <s v="0"/>
    <s v="0"/>
    <s v="0"/>
    <s v="0"/>
    <s v="0"/>
    <s v="0"/>
    <s v="0"/>
    <s v="0"/>
    <s v="0"/>
    <s v="0"/>
    <s v="0"/>
    <n v="206"/>
    <m/>
    <m/>
    <m/>
    <m/>
    <m/>
  </r>
  <r>
    <d v="2026-02-03T00:00:00"/>
    <s v="PURCHASE"/>
    <s v="HULLA GOLD"/>
    <n v="1723.6"/>
    <n v="0.995"/>
    <n v="1714.982"/>
    <m/>
    <n v="0"/>
    <s v="0"/>
    <s v="0"/>
    <s v="0"/>
    <s v="0"/>
    <s v="0"/>
    <s v="0"/>
    <n v="1723.6"/>
    <s v="0"/>
    <n v="1714.982"/>
    <s v="0"/>
    <n v="0"/>
    <s v="0"/>
    <m/>
    <m/>
    <m/>
    <m/>
    <m/>
    <m/>
  </r>
  <r>
    <d v="2026-02-03T00:00:00"/>
    <s v="PURCHASE"/>
    <s v="HULLA GOLD"/>
    <n v="1049.76"/>
    <n v="0.999"/>
    <n v="1048.7102399999999"/>
    <m/>
    <n v="0"/>
    <s v="0"/>
    <s v="0"/>
    <s v="0"/>
    <s v="0"/>
    <s v="0"/>
    <s v="0"/>
    <n v="1049.76"/>
    <s v="0"/>
    <n v="1048.7102399999999"/>
    <s v="0"/>
    <n v="0"/>
    <s v="0"/>
    <m/>
    <m/>
    <m/>
    <m/>
    <m/>
    <m/>
  </r>
  <r>
    <d v="2026-02-04T00:00:00"/>
    <s v="SALES"/>
    <s v="HULLA GOLD"/>
    <n v="1525.9"/>
    <n v="0.88"/>
    <n v="1342.7920000000001"/>
    <n v="8.9694606461760262"/>
    <n v="13686.5"/>
    <n v="1525.9"/>
    <s v="0"/>
    <n v="1342.7920000000001"/>
    <s v="0"/>
    <n v="13686.5"/>
    <s v="0"/>
    <s v="0"/>
    <s v="0"/>
    <s v="0"/>
    <s v="0"/>
    <s v="0"/>
    <s v="0"/>
    <m/>
    <m/>
    <m/>
    <m/>
    <m/>
    <m/>
  </r>
  <r>
    <d v="2026-02-04T00:00:00"/>
    <s v="RECEIPT"/>
    <s v="HULLA GOLD"/>
    <m/>
    <m/>
    <m/>
    <m/>
    <m/>
    <m/>
    <m/>
    <m/>
    <m/>
    <m/>
    <m/>
    <m/>
    <m/>
    <m/>
    <m/>
    <m/>
    <m/>
    <n v="13685"/>
    <m/>
    <m/>
    <m/>
    <m/>
    <m/>
  </r>
  <r>
    <d v="2026-02-05T00:00:00"/>
    <s v="SALES"/>
    <s v="AYAPPA BAJRANGI BHAI"/>
    <n v="1593.76"/>
    <n v="0.88"/>
    <n v="1402.5088000000001"/>
    <n v="10.459448097580564"/>
    <n v="16669.849999999999"/>
    <n v="1593.76"/>
    <s v="0"/>
    <n v="1402.5088000000001"/>
    <s v="0"/>
    <n v="16669.849999999999"/>
    <s v="0"/>
    <s v="0"/>
    <s v="0"/>
    <s v="0"/>
    <s v="0"/>
    <s v="0"/>
    <s v="0"/>
    <m/>
    <m/>
    <m/>
    <m/>
    <m/>
    <m/>
  </r>
  <r>
    <d v="2026-02-05T00:00:00"/>
    <s v="PURCHASE"/>
    <s v="AYAPPA BAJRANGI BHAI"/>
    <n v="1000"/>
    <n v="0.995"/>
    <n v="995"/>
    <m/>
    <m/>
    <s v="0"/>
    <s v="0"/>
    <s v="0"/>
    <s v="0"/>
    <s v="0"/>
    <s v="0"/>
    <n v="1000"/>
    <s v="0"/>
    <n v="995"/>
    <s v="0"/>
    <n v="0"/>
    <s v="0"/>
    <m/>
    <m/>
    <m/>
    <m/>
    <m/>
    <m/>
  </r>
  <r>
    <d v="2026-02-06T00:00:00"/>
    <s v="SALES"/>
    <s v="HULLA GOLD"/>
    <n v="2168.3000000000002"/>
    <n v="0.88"/>
    <n v="1908.1040000000003"/>
    <n v="9.979546188258082"/>
    <n v="21638.65"/>
    <n v="2168.3000000000002"/>
    <s v="0"/>
    <n v="1908.1040000000003"/>
    <s v="0"/>
    <n v="21638.65"/>
    <s v="0"/>
    <s v="0"/>
    <s v="0"/>
    <s v="0"/>
    <s v="0"/>
    <s v="0"/>
    <s v="0"/>
    <m/>
    <m/>
    <m/>
    <m/>
    <m/>
    <m/>
  </r>
  <r>
    <d v="2026-02-06T00:00:00"/>
    <s v="SALES"/>
    <s v="SURYA BABA WORLD CUP WALE"/>
    <n v="433.6"/>
    <n v="0.88"/>
    <n v="381.56800000000004"/>
    <n v="7"/>
    <n v="3035.2000000000003"/>
    <n v="433.6"/>
    <s v="0"/>
    <n v="381.56800000000004"/>
    <s v="0"/>
    <n v="3035.2000000000003"/>
    <s v="0"/>
    <s v="0"/>
    <s v="0"/>
    <s v="0"/>
    <s v="0"/>
    <s v="0"/>
    <s v="0"/>
    <m/>
    <m/>
    <m/>
    <m/>
    <m/>
    <m/>
  </r>
  <r>
    <d v="2026-02-06T00:00:00"/>
    <s v="SALES"/>
    <s v="MULLA JI GOLD"/>
    <n v="547.32000000000005"/>
    <n v="0.88"/>
    <n v="481.64160000000004"/>
    <n v="6.5965248848936628"/>
    <n v="3610.41"/>
    <n v="547.32000000000005"/>
    <s v="0"/>
    <n v="481.64160000000004"/>
    <s v="0"/>
    <n v="3610.41"/>
    <s v="0"/>
    <s v="0"/>
    <s v="0"/>
    <s v="0"/>
    <s v="0"/>
    <s v="0"/>
    <s v="0"/>
    <m/>
    <m/>
    <m/>
    <m/>
    <m/>
    <m/>
  </r>
  <r>
    <d v="2026-02-06T00:00:00"/>
    <s v="PURCHASE"/>
    <s v="HULLA GOLD"/>
    <n v="3542.78"/>
    <n v="0.995"/>
    <n v="3525.0661"/>
    <m/>
    <m/>
    <s v="0"/>
    <s v="0"/>
    <s v="0"/>
    <s v="0"/>
    <s v="0"/>
    <s v="0"/>
    <n v="3542.78"/>
    <s v="0"/>
    <n v="3525.0661"/>
    <s v="0"/>
    <n v="0"/>
    <s v="0"/>
    <m/>
    <m/>
    <m/>
    <m/>
    <m/>
    <m/>
  </r>
  <r>
    <d v="2026-02-06T00:00:00"/>
    <s v="PURCHASE"/>
    <s v="MULLA JI GOLD"/>
    <n v="484.06"/>
    <n v="0.995"/>
    <n v="481.6397"/>
    <m/>
    <m/>
    <s v="0"/>
    <s v="0"/>
    <s v="0"/>
    <s v="0"/>
    <s v="0"/>
    <s v="0"/>
    <n v="484.06"/>
    <s v="0"/>
    <n v="481.6397"/>
    <s v="0"/>
    <n v="0"/>
    <s v="0"/>
    <m/>
    <m/>
    <m/>
    <m/>
    <m/>
    <m/>
  </r>
  <r>
    <d v="2026-02-06T00:00:00"/>
    <s v="RECEIPT"/>
    <s v="MULLA JI GOLD"/>
    <m/>
    <m/>
    <n v="0"/>
    <m/>
    <n v="0"/>
    <s v="0"/>
    <s v="0"/>
    <s v="0"/>
    <s v="0"/>
    <s v="0"/>
    <s v="0"/>
    <s v="0"/>
    <s v="0"/>
    <s v="0"/>
    <s v="0"/>
    <s v="0"/>
    <s v="0"/>
    <n v="3610"/>
    <m/>
    <m/>
    <m/>
    <m/>
    <m/>
  </r>
  <r>
    <d v="2026-02-07T00:00:00"/>
    <s v="SALES"/>
    <s v="HULLA GOLD"/>
    <n v="1928.9"/>
    <n v="0.88"/>
    <n v="1697.432"/>
    <n v="10.764373477111308"/>
    <n v="20763.400000000001"/>
    <n v="1928.9"/>
    <s v="0"/>
    <n v="1697.432"/>
    <s v="0"/>
    <n v="20763.400000000001"/>
    <s v="0"/>
    <s v="0"/>
    <s v="0"/>
    <s v="0"/>
    <s v="0"/>
    <s v="0"/>
    <s v="0"/>
    <m/>
    <m/>
    <m/>
    <m/>
    <m/>
    <m/>
  </r>
  <r>
    <d v="2026-02-07T00:00:00"/>
    <s v="PURCHASE"/>
    <s v="HULLA GOLD"/>
    <n v="1000"/>
    <n v="0.995"/>
    <n v="995"/>
    <m/>
    <n v="0"/>
    <s v="0"/>
    <s v="0"/>
    <s v="0"/>
    <s v="0"/>
    <s v="0"/>
    <s v="0"/>
    <n v="1000"/>
    <s v="0"/>
    <n v="995"/>
    <s v="0"/>
    <n v="0"/>
    <s v="0"/>
    <m/>
    <m/>
    <m/>
    <m/>
    <m/>
    <m/>
  </r>
  <r>
    <d v="2026-02-09T00:00:00"/>
    <s v="SALES"/>
    <s v="HULLA GOLD"/>
    <n v="603.4"/>
    <n v="0.88"/>
    <n v="530.99199999999996"/>
    <n v="8.0263506794829311"/>
    <n v="4843.1000000000004"/>
    <n v="603.4"/>
    <s v="0"/>
    <n v="530.99199999999996"/>
    <s v="0"/>
    <n v="4843.1000000000004"/>
    <s v="0"/>
    <s v="0"/>
    <s v="0"/>
    <s v="0"/>
    <s v="0"/>
    <s v="0"/>
    <s v="0"/>
    <m/>
    <m/>
    <m/>
    <m/>
    <m/>
    <m/>
  </r>
  <r>
    <d v="2026-02-07T00:00:00"/>
    <s v="METAL PAYMENT"/>
    <s v="KRISHNA JI "/>
    <n v="1000"/>
    <n v="0.995"/>
    <n v="995"/>
    <m/>
    <n v="0"/>
    <s v="0"/>
    <s v="0"/>
    <s v="0"/>
    <s v="0"/>
    <s v="0"/>
    <s v="0"/>
    <s v="0"/>
    <n v="1000"/>
    <s v="0"/>
    <n v="995"/>
    <s v="0"/>
    <n v="0"/>
    <m/>
    <m/>
    <m/>
    <m/>
    <m/>
    <m/>
  </r>
  <r>
    <d v="2026-02-10T00:00:00"/>
    <s v="METAL PAYMENT"/>
    <s v="KRISHNA JI "/>
    <n v="1000"/>
    <n v="0.995"/>
    <n v="995"/>
    <m/>
    <n v="0"/>
    <s v="0"/>
    <s v="0"/>
    <s v="0"/>
    <s v="0"/>
    <s v="0"/>
    <s v="0"/>
    <s v="0"/>
    <n v="1000"/>
    <s v="0"/>
    <n v="995"/>
    <s v="0"/>
    <n v="0"/>
    <m/>
    <m/>
    <m/>
    <m/>
    <m/>
    <m/>
  </r>
  <r>
    <d v="2026-02-10T00:00:00"/>
    <s v="SALES"/>
    <s v="HULLA GOLD"/>
    <n v="939.3"/>
    <n v="0.88"/>
    <n v="826.58399999999995"/>
    <n v="7.6656552752049407"/>
    <n v="7200.35"/>
    <n v="939.3"/>
    <s v="0"/>
    <n v="826.58399999999995"/>
    <s v="0"/>
    <n v="7200.35"/>
    <s v="0"/>
    <s v="0"/>
    <s v="0"/>
    <s v="0"/>
    <s v="0"/>
    <s v="0"/>
    <s v="0"/>
    <m/>
    <m/>
    <m/>
    <m/>
    <m/>
    <m/>
  </r>
  <r>
    <d v="2026-02-10T00:00:00"/>
    <s v="SALES"/>
    <s v="VIRAT BABA  CRICKET WALE"/>
    <n v="389.05856"/>
    <n v="0.88"/>
    <n v="342.37153280000001"/>
    <n v="12.800129625730378"/>
    <n v="4980"/>
    <n v="389.05856"/>
    <s v="0"/>
    <n v="342.37153280000001"/>
    <s v="0"/>
    <n v="4980"/>
    <s v="0"/>
    <s v="0"/>
    <s v="0"/>
    <s v="0"/>
    <s v="0"/>
    <s v="0"/>
    <s v="0"/>
    <m/>
    <m/>
    <m/>
    <m/>
    <m/>
    <m/>
  </r>
  <r>
    <d v="2026-02-10T00:00:00"/>
    <s v="PURCHASE"/>
    <s v="HULLA GOLD"/>
    <n v="439.89780824999997"/>
    <n v="0.995"/>
    <n v="437.69831920874998"/>
    <m/>
    <n v="0"/>
    <s v="0"/>
    <s v="0"/>
    <s v="0"/>
    <s v="0"/>
    <s v="0"/>
    <s v="0"/>
    <n v="439.89780824999997"/>
    <s v="0"/>
    <n v="437.69831920874998"/>
    <s v="0"/>
    <n v="0"/>
    <s v="0"/>
    <m/>
    <m/>
    <m/>
    <m/>
    <m/>
    <m/>
  </r>
  <r>
    <d v="2026-02-10T00:00:00"/>
    <s v="PURCHASE"/>
    <s v="VIRAT BABA  CRICKET WALE"/>
    <n v="405.23643599999997"/>
    <n v="0.995"/>
    <n v="403.21025381999999"/>
    <m/>
    <n v="0"/>
    <s v="0"/>
    <s v="0"/>
    <s v="0"/>
    <s v="0"/>
    <s v="0"/>
    <s v="0"/>
    <n v="405.23643599999997"/>
    <s v="0"/>
    <n v="403.21025381999999"/>
    <s v="0"/>
    <n v="0"/>
    <s v="0"/>
    <m/>
    <m/>
    <m/>
    <m/>
    <m/>
    <m/>
  </r>
  <r>
    <d v="2026-02-12T00:00:00"/>
    <s v="SALES"/>
    <s v="HULLA GOLD"/>
    <n v="536.21744000000001"/>
    <n v="0.88"/>
    <n v="471.8713472"/>
    <n v="32.559832444092088"/>
    <n v="17459.150000000001"/>
    <n v="536.21744000000001"/>
    <s v="0"/>
    <n v="471.8713472"/>
    <s v="0"/>
    <n v="17459.150000000001"/>
    <s v="0"/>
    <s v="0"/>
    <s v="0"/>
    <s v="0"/>
    <s v="0"/>
    <s v="0"/>
    <s v="0"/>
    <m/>
    <m/>
    <m/>
    <m/>
    <m/>
    <m/>
  </r>
  <r>
    <d v="2026-02-12T00:00:00"/>
    <s v="PURCHASE"/>
    <s v="HULLA GOLD"/>
    <n v="400.90688"/>
    <n v="0.995"/>
    <n v="398.90234559999999"/>
    <m/>
    <n v="0"/>
    <s v="0"/>
    <s v="0"/>
    <s v="0"/>
    <s v="0"/>
    <s v="0"/>
    <s v="0"/>
    <n v="400.90688"/>
    <s v="0"/>
    <n v="398.90234559999999"/>
    <s v="0"/>
    <n v="0"/>
    <s v="0"/>
    <m/>
    <m/>
    <m/>
    <m/>
    <m/>
    <m/>
  </r>
  <r>
    <d v="2026-02-13T00:00:00"/>
    <s v="SALES"/>
    <s v="HULLA GOLD"/>
    <n v="1174.0044800000001"/>
    <n v="0.88"/>
    <n v="1033.1239424"/>
    <n v="7.7389823929803061"/>
    <n v="9085.6"/>
    <n v="1174.0044800000001"/>
    <s v="0"/>
    <n v="1033.1239424"/>
    <s v="0"/>
    <n v="9085.6"/>
    <s v="0"/>
    <s v="0"/>
    <s v="0"/>
    <s v="0"/>
    <s v="0"/>
    <s v="0"/>
    <s v="0"/>
    <m/>
    <m/>
    <m/>
    <m/>
    <m/>
    <m/>
  </r>
  <r>
    <d v="2026-02-13T00:00:00"/>
    <s v="SALES"/>
    <s v="VIRAT BABA  CRICKET WALE"/>
    <n v="342.37153280000001"/>
    <n v="0.88"/>
    <n v="301.28694886400001"/>
    <n v="9.2758880214938237"/>
    <n v="3175.8"/>
    <n v="342.37153280000001"/>
    <s v="0"/>
    <n v="301.28694886400001"/>
    <s v="0"/>
    <n v="3175.8"/>
    <s v="0"/>
    <s v="0"/>
    <s v="0"/>
    <s v="0"/>
    <s v="0"/>
    <s v="0"/>
    <s v="0"/>
    <m/>
    <m/>
    <m/>
    <m/>
    <m/>
    <m/>
  </r>
  <r>
    <d v="2026-02-13T00:00:00"/>
    <s v="PURCHASE"/>
    <s v="HULLA GOLD"/>
    <n v="437.69831920874998"/>
    <n v="0.995"/>
    <n v="435.5098276127062"/>
    <m/>
    <n v="0"/>
    <s v="0"/>
    <s v="0"/>
    <s v="0"/>
    <s v="0"/>
    <s v="0"/>
    <s v="0"/>
    <n v="437.69831920874998"/>
    <s v="0"/>
    <n v="435.5098276127062"/>
    <s v="0"/>
    <n v="0"/>
    <s v="0"/>
    <m/>
    <m/>
    <m/>
    <m/>
    <m/>
    <m/>
  </r>
  <r>
    <d v="2026-02-13T00:00:00"/>
    <s v="PURCHASE"/>
    <s v="VIRAT BABA  CRICKET WALE"/>
    <n v="474.24247199999996"/>
    <n v="0.995"/>
    <n v="471.87125963999995"/>
    <m/>
    <n v="0"/>
    <s v="0"/>
    <s v="0"/>
    <s v="0"/>
    <s v="0"/>
    <s v="0"/>
    <s v="0"/>
    <n v="474.24247199999996"/>
    <s v="0"/>
    <n v="471.87125963999995"/>
    <s v="0"/>
    <n v="0"/>
    <s v="0"/>
    <m/>
    <m/>
    <m/>
    <m/>
    <m/>
    <m/>
  </r>
  <r>
    <d v="2026-02-14T00:00:00"/>
    <s v="SALES"/>
    <s v="VIRAT BABA  CRICKET WALE"/>
    <n v="241.47699775000001"/>
    <n v="0.88"/>
    <n v="212.49975802"/>
    <n v="5.714830037056811"/>
    <n v="1380"/>
    <n v="241.47699775000001"/>
    <s v="0"/>
    <n v="212.49975802"/>
    <s v="0"/>
    <n v="1380"/>
    <s v="0"/>
    <s v="0"/>
    <s v="0"/>
    <s v="0"/>
    <s v="0"/>
    <s v="0"/>
    <s v="0"/>
    <m/>
    <m/>
    <m/>
    <m/>
    <m/>
    <m/>
  </r>
  <r>
    <d v="2026-02-14T00:00:00"/>
    <s v="SALES"/>
    <s v="AYAPPA BAJRANGI BHAI"/>
    <n v="342.37153280000001"/>
    <n v="0.88"/>
    <n v="301.28694886400001"/>
    <n v="15.484494159439647"/>
    <n v="5301.45"/>
    <n v="342.37153280000001"/>
    <s v="0"/>
    <n v="301.28694886400001"/>
    <s v="0"/>
    <n v="5301.45"/>
    <s v="0"/>
    <s v="0"/>
    <s v="0"/>
    <s v="0"/>
    <s v="0"/>
    <s v="0"/>
    <s v="0"/>
    <m/>
    <m/>
    <m/>
    <m/>
    <m/>
    <m/>
  </r>
  <r>
    <d v="2026-02-14T00:00:00"/>
    <s v="PURCHASE"/>
    <s v="VIRAT BABA  CRICKET WALE"/>
    <n v="437.69831920874998"/>
    <n v="0.995"/>
    <n v="435.5098276127062"/>
    <m/>
    <n v="0"/>
    <s v="0"/>
    <s v="0"/>
    <s v="0"/>
    <s v="0"/>
    <s v="0"/>
    <s v="0"/>
    <n v="437.69831920874998"/>
    <s v="0"/>
    <n v="435.5098276127062"/>
    <s v="0"/>
    <n v="0"/>
    <s v="0"/>
    <m/>
    <m/>
    <m/>
    <m/>
    <m/>
    <m/>
  </r>
  <r>
    <d v="2026-02-14T00:00:00"/>
    <s v="PURCHASE"/>
    <s v="AYAPPA BAJRANGI BHAI"/>
    <n v="212.49975802"/>
    <n v="0.995"/>
    <n v="211.43725922990001"/>
    <m/>
    <n v="0"/>
    <s v="0"/>
    <s v="0"/>
    <s v="0"/>
    <s v="0"/>
    <s v="0"/>
    <s v="0"/>
    <n v="212.49975802"/>
    <s v="0"/>
    <n v="211.43725922990001"/>
    <s v="0"/>
    <n v="0"/>
    <s v="0"/>
    <m/>
    <m/>
    <m/>
    <m/>
    <m/>
    <m/>
  </r>
  <r>
    <d v="2026-02-16T00:00:00"/>
    <s v="SALES"/>
    <s v="VIRAT BABA  CRICKET WALE"/>
    <n v="536.21744000000001"/>
    <n v="0.88"/>
    <n v="471.8713472"/>
    <n v="6.5629159693127477"/>
    <n v="3519.15"/>
    <n v="536.21744000000001"/>
    <s v="0"/>
    <n v="471.8713472"/>
    <s v="0"/>
    <n v="3519.15"/>
    <s v="0"/>
    <s v="0"/>
    <s v="0"/>
    <s v="0"/>
    <s v="0"/>
    <s v="0"/>
    <s v="0"/>
    <m/>
    <m/>
    <m/>
    <m/>
    <m/>
    <m/>
  </r>
  <r>
    <d v="2026-02-16T00:00:00"/>
    <s v="SALES"/>
    <s v="HULLA GOLD"/>
    <n v="662.41766799999994"/>
    <n v="0.88"/>
    <n v="582.92754783999999"/>
    <n v="16.539187478314666"/>
    <n v="10955.85"/>
    <n v="662.41766799999994"/>
    <s v="0"/>
    <n v="582.92754783999999"/>
    <s v="0"/>
    <n v="10955.85"/>
    <s v="0"/>
    <s v="0"/>
    <s v="0"/>
    <s v="0"/>
    <s v="0"/>
    <s v="0"/>
    <s v="0"/>
    <m/>
    <m/>
    <m/>
    <m/>
    <m/>
    <m/>
  </r>
  <r>
    <d v="2026-02-16T00:00:00"/>
    <s v="PURCHASE"/>
    <s v="VIRAT BABA  CRICKET WALE"/>
    <n v="302.07642800000002"/>
    <n v="0.995"/>
    <n v="300.56604586000003"/>
    <m/>
    <n v="0"/>
    <s v="0"/>
    <s v="0"/>
    <s v="0"/>
    <s v="0"/>
    <s v="0"/>
    <s v="0"/>
    <n v="302.07642800000002"/>
    <s v="0"/>
    <n v="300.56604586000003"/>
    <s v="0"/>
    <n v="0"/>
    <s v="0"/>
    <m/>
    <m/>
    <m/>
    <m/>
    <m/>
    <m/>
  </r>
  <r>
    <d v="2026-02-17T00:00:00"/>
    <s v="SALES"/>
    <s v="MULLA JI GOLD"/>
    <n v="430.72164959999998"/>
    <n v="0.88"/>
    <n v="379.03505164799998"/>
    <n v="2.9181723304766991"/>
    <n v="1256.92"/>
    <n v="430.72164959999998"/>
    <s v="0"/>
    <n v="379.03505164799998"/>
    <s v="0"/>
    <n v="1256.92"/>
    <s v="0"/>
    <s v="0"/>
    <s v="0"/>
    <s v="0"/>
    <s v="0"/>
    <s v="0"/>
    <s v="0"/>
    <m/>
    <m/>
    <m/>
    <m/>
    <m/>
    <m/>
  </r>
  <r>
    <d v="2026-02-17T00:00:00"/>
    <s v="SALES"/>
    <s v="HULLA GOLD"/>
    <n v="387.1132672"/>
    <n v="0.88"/>
    <n v="340.65967513599998"/>
    <n v="27.782049625397079"/>
    <n v="10754.8"/>
    <n v="387.1132672"/>
    <s v="0"/>
    <n v="340.65967513599998"/>
    <s v="0"/>
    <n v="10754.8"/>
    <s v="0"/>
    <s v="0"/>
    <s v="0"/>
    <s v="0"/>
    <s v="0"/>
    <s v="0"/>
    <s v="0"/>
    <m/>
    <m/>
    <m/>
    <m/>
    <m/>
    <m/>
  </r>
  <r>
    <d v="2026-02-17T00:00:00"/>
    <s v="SALES"/>
    <s v="MARI GOLD"/>
    <n v="502.12095999999997"/>
    <n v="0.88"/>
    <n v="441.86644479999995"/>
    <n v="4.820113464293545"/>
    <n v="2420.2800000000002"/>
    <n v="502.12095999999997"/>
    <s v="0"/>
    <n v="441.86644479999995"/>
    <s v="0"/>
    <n v="2420.2800000000002"/>
    <s v="0"/>
    <s v="0"/>
    <s v="0"/>
    <s v="0"/>
    <s v="0"/>
    <s v="0"/>
    <s v="0"/>
    <m/>
    <m/>
    <m/>
    <m/>
    <m/>
    <m/>
  </r>
  <r>
    <d v="2026-02-17T00:00:00"/>
    <s v="SALES"/>
    <s v="MUNNA BAJRANGI"/>
    <n v="856"/>
    <n v="0.88"/>
    <n v="753.28"/>
    <n v="0.53796728971962615"/>
    <n v="460.5"/>
    <n v="856"/>
    <s v="0"/>
    <n v="753.28"/>
    <s v="0"/>
    <n v="460.5"/>
    <s v="0"/>
    <s v="0"/>
    <s v="0"/>
    <s v="0"/>
    <s v="0"/>
    <s v="0"/>
    <s v="0"/>
    <m/>
    <m/>
    <m/>
    <m/>
    <m/>
    <m/>
  </r>
  <r>
    <d v="2026-02-17T00:00:00"/>
    <s v="PURCHASE"/>
    <s v="HULLA GOLD"/>
    <n v="342.37153280000001"/>
    <n v="0.995"/>
    <n v="340.65967513600003"/>
    <m/>
    <n v="0"/>
    <s v="0"/>
    <s v="0"/>
    <s v="0"/>
    <s v="0"/>
    <s v="0"/>
    <s v="0"/>
    <n v="342.37153280000001"/>
    <s v="0"/>
    <n v="340.65967513600003"/>
    <s v="0"/>
    <n v="0"/>
    <s v="0"/>
    <m/>
    <m/>
    <m/>
    <m/>
    <m/>
    <m/>
  </r>
  <r>
    <d v="2026-02-17T00:00:00"/>
    <s v="PURCHASE"/>
    <s v="MARI GOLD"/>
    <n v="403.21025381999999"/>
    <n v="0.995"/>
    <n v="401.1942025509"/>
    <m/>
    <n v="0"/>
    <s v="0"/>
    <s v="0"/>
    <s v="0"/>
    <s v="0"/>
    <s v="0"/>
    <s v="0"/>
    <n v="403.21025381999999"/>
    <s v="0"/>
    <n v="401.1942025509"/>
    <s v="0"/>
    <n v="0"/>
    <s v="0"/>
    <m/>
    <m/>
    <m/>
    <m/>
    <m/>
    <m/>
  </r>
  <r>
    <d v="2026-02-17T00:00:00"/>
    <s v="PURCHASE"/>
    <s v="MUNNA BAJRANGI"/>
    <n v="5158"/>
    <n v="0.995"/>
    <n v="5132.21"/>
    <m/>
    <n v="0"/>
    <s v="0"/>
    <s v="0"/>
    <s v="0"/>
    <s v="0"/>
    <s v="0"/>
    <s v="0"/>
    <n v="5158"/>
    <s v="0"/>
    <n v="5132.21"/>
    <s v="0"/>
    <n v="0"/>
    <s v="0"/>
    <m/>
    <m/>
    <m/>
    <m/>
    <m/>
    <m/>
  </r>
  <r>
    <d v="2026-02-18T00:00:00"/>
    <s v="PURCHASE"/>
    <s v="HULLA GOLD"/>
    <n v="582.92754783999999"/>
    <n v="0.995"/>
    <n v="580.01291010080001"/>
    <m/>
    <n v="0"/>
    <s v="0"/>
    <s v="0"/>
    <s v="0"/>
    <s v="0"/>
    <s v="0"/>
    <s v="0"/>
    <n v="582.92754783999999"/>
    <s v="0"/>
    <n v="580.01291010080001"/>
    <s v="0"/>
    <n v="0"/>
    <s v="0"/>
    <m/>
    <m/>
    <m/>
    <m/>
    <m/>
    <m/>
  </r>
  <r>
    <d v="2026-02-19T00:00:00"/>
    <s v="SALES"/>
    <s v="VIRAT BABA  CRICKET WALE"/>
    <n v="1095.5999999999999"/>
    <n v="0.88"/>
    <n v="964.12799999999993"/>
    <n v="1.678441036874772"/>
    <n v="1838.9"/>
    <n v="1095.5999999999999"/>
    <s v="0"/>
    <n v="964.12799999999993"/>
    <s v="0"/>
    <n v="1838.9"/>
    <s v="0"/>
    <s v="0"/>
    <s v="0"/>
    <s v="0"/>
    <s v="0"/>
    <s v="0"/>
    <s v="0"/>
    <m/>
    <m/>
    <m/>
    <m/>
    <m/>
    <m/>
  </r>
  <r>
    <d v="2026-02-19T00:00:00"/>
    <s v="SALES"/>
    <s v="HULLA GOLD"/>
    <n v="1095.599475"/>
    <n v="0.88"/>
    <n v="964.12753799999996"/>
    <n v="7.8410041224234801"/>
    <n v="8590.6"/>
    <n v="1095.599475"/>
    <s v="0"/>
    <n v="964.12753799999996"/>
    <s v="0"/>
    <n v="8590.6"/>
    <s v="0"/>
    <s v="0"/>
    <s v="0"/>
    <s v="0"/>
    <s v="0"/>
    <s v="0"/>
    <s v="0"/>
    <m/>
    <m/>
    <m/>
    <m/>
    <m/>
    <m/>
  </r>
  <r>
    <d v="2026-02-19T00:00:00"/>
    <s v="PURCHASE"/>
    <s v="VIRAT BABA  CRICKET WALE"/>
    <n v="752.75199999999995"/>
    <n v="0.995"/>
    <n v="748.98823999999991"/>
    <m/>
    <n v="0"/>
    <s v="0"/>
    <s v="0"/>
    <s v="0"/>
    <s v="0"/>
    <s v="0"/>
    <s v="0"/>
    <n v="752.75199999999995"/>
    <s v="0"/>
    <n v="748.98823999999991"/>
    <s v="0"/>
    <n v="0"/>
    <s v="0"/>
    <m/>
    <m/>
    <m/>
    <m/>
    <m/>
    <m/>
  </r>
  <r>
    <d v="2026-02-20T00:00:00"/>
    <s v="SALES"/>
    <s v="SURYA BABA WORLD CUP WALE"/>
    <n v="752.74734999999998"/>
    <n v="0.88"/>
    <n v="662.41766799999994"/>
    <n v="10.976989822680876"/>
    <n v="8262.9"/>
    <n v="752.74734999999998"/>
    <s v="0"/>
    <n v="662.41766799999994"/>
    <s v="0"/>
    <n v="8262.9"/>
    <s v="0"/>
    <s v="0"/>
    <s v="0"/>
    <s v="0"/>
    <s v="0"/>
    <s v="0"/>
    <s v="0"/>
    <m/>
    <m/>
    <m/>
    <m/>
    <m/>
    <m/>
  </r>
  <r>
    <d v="2026-02-21T00:00:00"/>
    <s v="SALES"/>
    <s v="HULLA GOLD"/>
    <n v="303.60000000000002"/>
    <n v="0.88"/>
    <n v="267.16800000000001"/>
    <n v="56.867918313570478"/>
    <n v="17265.099999999999"/>
    <n v="303.60000000000002"/>
    <s v="0"/>
    <n v="267.16800000000001"/>
    <s v="0"/>
    <n v="17265.099999999999"/>
    <s v="0"/>
    <s v="0"/>
    <s v="0"/>
    <s v="0"/>
    <s v="0"/>
    <s v="0"/>
    <s v="0"/>
    <m/>
    <m/>
    <m/>
    <m/>
    <m/>
    <m/>
  </r>
  <r>
    <d v="2026-02-21T00:00:00"/>
    <s v="SALES"/>
    <s v="ASSI"/>
    <n v="303.59440000000001"/>
    <n v="0.88"/>
    <n v="267.163072"/>
    <n v="9.1958217938143783"/>
    <n v="2791.8"/>
    <n v="303.59440000000001"/>
    <s v="0"/>
    <n v="267.163072"/>
    <s v="0"/>
    <n v="2791.8"/>
    <s v="0"/>
    <s v="0"/>
    <s v="0"/>
    <s v="0"/>
    <s v="0"/>
    <s v="0"/>
    <s v="0"/>
    <m/>
    <m/>
    <m/>
    <m/>
    <m/>
    <m/>
  </r>
  <r>
    <d v="2026-02-21T00:00:00"/>
    <s v="PURCHASE"/>
    <s v="HULLA GOLD"/>
    <n v="934.64799999999991"/>
    <n v="0.995"/>
    <n v="929.97475999999995"/>
    <m/>
    <n v="0"/>
    <s v="0"/>
    <s v="0"/>
    <s v="0"/>
    <s v="0"/>
    <s v="0"/>
    <s v="0"/>
    <n v="934.64799999999991"/>
    <s v="0"/>
    <n v="929.97475999999995"/>
    <s v="0"/>
    <n v="0"/>
    <s v="0"/>
    <m/>
    <m/>
    <m/>
    <m/>
    <m/>
    <m/>
  </r>
  <r>
    <d v="2026-02-21T00:00:00"/>
    <s v="PURCHASE"/>
    <s v="ASSI"/>
    <n v="934.64330000000007"/>
    <n v="0.99990000000000001"/>
    <n v="934.54983567000011"/>
    <m/>
    <n v="0"/>
    <s v="0"/>
    <s v="0"/>
    <s v="0"/>
    <s v="0"/>
    <s v="0"/>
    <s v="0"/>
    <n v="934.64330000000007"/>
    <s v="0"/>
    <n v="934.54983567000011"/>
    <s v="0"/>
    <n v="0"/>
    <s v="0"/>
    <m/>
    <m/>
    <m/>
    <m/>
    <m/>
    <m/>
  </r>
  <r>
    <d v="2026-02-23T00:00:00"/>
    <s v="PURCHASE"/>
    <s v="SURYA BABA WORLD CUP WALE"/>
    <n v="489.45600000000002"/>
    <n v="0.995"/>
    <n v="487.00872000000004"/>
    <m/>
    <n v="0"/>
    <s v="0"/>
    <s v="0"/>
    <s v="0"/>
    <s v="0"/>
    <s v="0"/>
    <s v="0"/>
    <n v="489.45600000000002"/>
    <s v="0"/>
    <n v="487.00872000000004"/>
    <s v="0"/>
    <n v="0"/>
    <s v="0"/>
    <m/>
    <m/>
    <m/>
    <m/>
    <m/>
    <m/>
  </r>
  <r>
    <d v="2026-02-24T00:00:00"/>
    <s v="SALES"/>
    <s v="AYAPPA BAJRANGI BHAI"/>
    <n v="489.45641999999998"/>
    <n v="0.88"/>
    <n v="430.72164959999998"/>
    <n v="28.404142701816028"/>
    <n v="13902.59"/>
    <n v="489.45641999999998"/>
    <s v="0"/>
    <n v="430.72164959999998"/>
    <s v="0"/>
    <n v="13902.59"/>
    <s v="0"/>
    <s v="0"/>
    <s v="0"/>
    <s v="0"/>
    <s v="0"/>
    <s v="0"/>
    <s v="0"/>
    <m/>
    <m/>
    <m/>
    <m/>
    <m/>
    <m/>
  </r>
  <r>
    <d v="2026-02-24T00:00:00"/>
    <s v="SALES"/>
    <s v="HULLA GOLD"/>
    <n v="2087.1"/>
    <n v="0.88"/>
    <n v="1836.6479999999999"/>
    <n v="8.0820756073019968"/>
    <n v="16868.099999999999"/>
    <n v="2087.1"/>
    <s v="0"/>
    <n v="1836.6479999999999"/>
    <s v="0"/>
    <n v="16868.099999999999"/>
    <s v="0"/>
    <s v="0"/>
    <s v="0"/>
    <s v="0"/>
    <s v="0"/>
    <s v="0"/>
    <s v="0"/>
    <m/>
    <m/>
    <m/>
    <m/>
    <m/>
    <m/>
  </r>
  <r>
    <d v="2026-02-24T00:00:00"/>
    <s v="PURCHASE"/>
    <s v="HULLA GOLD"/>
    <n v="1000"/>
    <n v="0.995"/>
    <n v="995"/>
    <m/>
    <n v="0"/>
    <s v="0"/>
    <s v="0"/>
    <s v="0"/>
    <s v="0"/>
    <s v="0"/>
    <s v="0"/>
    <n v="1000"/>
    <s v="0"/>
    <n v="995"/>
    <s v="0"/>
    <n v="0"/>
    <s v="0"/>
    <m/>
    <m/>
    <m/>
    <m/>
    <m/>
    <m/>
  </r>
  <r>
    <d v="2026-02-24T00:00:00"/>
    <s v="PURCHASE"/>
    <s v="KRISHNA JI "/>
    <n v="1000"/>
    <n v="1"/>
    <n v="1000"/>
    <m/>
    <n v="0"/>
    <s v="0"/>
    <s v="0"/>
    <s v="0"/>
    <s v="0"/>
    <s v="0"/>
    <s v="0"/>
    <n v="1000"/>
    <s v="0"/>
    <n v="1000"/>
    <s v="0"/>
    <n v="0"/>
    <s v="0"/>
    <m/>
    <m/>
    <m/>
    <m/>
    <m/>
    <m/>
  </r>
  <r>
    <d v="2026-02-24T00:00:00"/>
    <s v="METAL PAYMENT"/>
    <s v="KRISHNA JI "/>
    <n v="1000"/>
    <n v="0.995"/>
    <n v="995"/>
    <m/>
    <n v="0"/>
    <s v="0"/>
    <s v="0"/>
    <s v="0"/>
    <s v="0"/>
    <s v="0"/>
    <s v="0"/>
    <s v="0"/>
    <n v="1000"/>
    <s v="0"/>
    <n v="995"/>
    <s v="0"/>
    <n v="0"/>
    <m/>
    <m/>
    <m/>
    <m/>
    <m/>
    <m/>
  </r>
  <r>
    <d v="2026-02-25T00:00:00"/>
    <s v="SALES"/>
    <s v="MULLA JI GOLD"/>
    <n v="507.36"/>
    <n v="0.88"/>
    <n v="446.47680000000003"/>
    <n v="3.4819063386944178"/>
    <n v="1766.58"/>
    <n v="507.36"/>
    <s v="0"/>
    <n v="446.47680000000003"/>
    <s v="0"/>
    <n v="1766.58"/>
    <s v="0"/>
    <s v="0"/>
    <s v="0"/>
    <s v="0"/>
    <s v="0"/>
    <s v="0"/>
    <s v="0"/>
    <m/>
    <m/>
    <m/>
    <m/>
    <m/>
    <m/>
  </r>
  <r>
    <d v="2026-02-25T00:00:00"/>
    <s v="SALES"/>
    <s v="HULLA GOLD"/>
    <n v="844.4"/>
    <n v="0.88"/>
    <n v="743.072"/>
    <n v="10.530495026054004"/>
    <n v="8891.9500000000007"/>
    <n v="844.4"/>
    <s v="0"/>
    <n v="743.072"/>
    <s v="0"/>
    <n v="8891.9500000000007"/>
    <s v="0"/>
    <s v="0"/>
    <s v="0"/>
    <s v="0"/>
    <s v="0"/>
    <s v="0"/>
    <s v="0"/>
    <m/>
    <m/>
    <m/>
    <m/>
    <m/>
    <m/>
  </r>
  <r>
    <d v="2026-02-25T00:00:00"/>
    <s v="SALES"/>
    <s v="MUMBAI GOLD"/>
    <n v="324"/>
    <n v="0.88"/>
    <n v="285.12"/>
    <n v="22.918518518518521"/>
    <n v="7425.6"/>
    <n v="324"/>
    <s v="0"/>
    <n v="285.12"/>
    <s v="0"/>
    <n v="7425.6"/>
    <s v="0"/>
    <s v="0"/>
    <s v="0"/>
    <s v="0"/>
    <s v="0"/>
    <s v="0"/>
    <s v="0"/>
    <m/>
    <m/>
    <m/>
    <m/>
    <m/>
    <m/>
  </r>
  <r>
    <d v="2026-02-25T00:00:00"/>
    <s v="PURCHASE"/>
    <s v="MULLA JI GOLD"/>
    <n v="556.45000000000005"/>
    <n v="0.995"/>
    <n v="553.66775000000007"/>
    <m/>
    <n v="0"/>
    <s v="0"/>
    <s v="0"/>
    <s v="0"/>
    <s v="0"/>
    <s v="0"/>
    <s v="0"/>
    <n v="556.45000000000005"/>
    <s v="0"/>
    <n v="553.66775000000007"/>
    <s v="0"/>
    <n v="0"/>
    <s v="0"/>
    <m/>
    <m/>
    <m/>
    <m/>
    <m/>
    <m/>
  </r>
  <r>
    <d v="2026-02-25T00:00:00"/>
    <s v="PURCHASE"/>
    <s v="HULLA GOLD"/>
    <n v="1592.67"/>
    <n v="0.995"/>
    <n v="1584.7066500000001"/>
    <m/>
    <n v="0"/>
    <s v="0"/>
    <s v="0"/>
    <s v="0"/>
    <s v="0"/>
    <s v="0"/>
    <s v="0"/>
    <n v="1592.67"/>
    <s v="0"/>
    <n v="1584.7066500000001"/>
    <s v="0"/>
    <n v="0"/>
    <s v="0"/>
    <m/>
    <m/>
    <m/>
    <m/>
    <m/>
    <m/>
  </r>
  <r>
    <d v="2026-02-25T00:00:00"/>
    <s v="PURCHASE"/>
    <s v="MUMBAI GOLD"/>
    <n v="156"/>
    <n v="0.995"/>
    <n v="155.22"/>
    <m/>
    <n v="0"/>
    <s v="0"/>
    <s v="0"/>
    <s v="0"/>
    <s v="0"/>
    <s v="0"/>
    <s v="0"/>
    <n v="156"/>
    <s v="0"/>
    <n v="155.22"/>
    <s v="0"/>
    <n v="0"/>
    <s v="0"/>
    <m/>
    <m/>
    <m/>
    <m/>
    <m/>
    <m/>
  </r>
  <r>
    <d v="2026-02-25T00:00:00"/>
    <s v="PURCHASE"/>
    <s v="AYAPPA BAJRANGI BHAI"/>
    <n v="705.7"/>
    <n v="0.995"/>
    <n v="702.17150000000004"/>
    <m/>
    <n v="0"/>
    <s v="0"/>
    <s v="0"/>
    <s v="0"/>
    <s v="0"/>
    <s v="0"/>
    <s v="0"/>
    <n v="705.7"/>
    <s v="0"/>
    <n v="702.17150000000004"/>
    <s v="0"/>
    <n v="0"/>
    <s v="0"/>
    <m/>
    <m/>
    <m/>
    <m/>
    <m/>
    <m/>
  </r>
  <r>
    <d v="2026-02-26T00:00:00"/>
    <s v="SALES"/>
    <s v="HULLA GOLD"/>
    <n v="868.9"/>
    <n v="0.88"/>
    <n v="764.63199999999995"/>
    <n v="9.9654735872942801"/>
    <n v="8659"/>
    <n v="868.9"/>
    <s v="0"/>
    <n v="764.63199999999995"/>
    <s v="0"/>
    <n v="8659"/>
    <s v="0"/>
    <s v="0"/>
    <s v="0"/>
    <s v="0"/>
    <s v="0"/>
    <s v="0"/>
    <s v="0"/>
    <m/>
    <m/>
    <m/>
    <m/>
    <m/>
    <m/>
  </r>
  <r>
    <d v="2026-02-26T00:00:00"/>
    <s v="SALES"/>
    <s v="MUNNA BAJRANGI"/>
    <n v="692"/>
    <n v="0.88"/>
    <n v="608.96"/>
    <n v="2.6158959537572253"/>
    <n v="1810.2"/>
    <n v="692"/>
    <s v="0"/>
    <n v="608.96"/>
    <s v="0"/>
    <n v="1810.2"/>
    <s v="0"/>
    <s v="0"/>
    <s v="0"/>
    <s v="0"/>
    <s v="0"/>
    <s v="0"/>
    <s v="0"/>
    <m/>
    <m/>
    <m/>
    <m/>
    <m/>
    <m/>
  </r>
  <r>
    <d v="2026-02-26T00:00:00"/>
    <s v="PURCHASE"/>
    <s v="MUNNA BAJRANGI"/>
    <n v="2453"/>
    <n v="0.995"/>
    <n v="2440.7350000000001"/>
    <m/>
    <n v="0"/>
    <s v="0"/>
    <s v="0"/>
    <s v="0"/>
    <s v="0"/>
    <s v="0"/>
    <s v="0"/>
    <n v="2453"/>
    <s v="0"/>
    <n v="2440.7350000000001"/>
    <s v="0"/>
    <n v="0"/>
    <s v="0"/>
    <m/>
    <m/>
    <m/>
    <m/>
    <m/>
    <m/>
  </r>
  <r>
    <d v="2026-02-27T00:00:00"/>
    <s v="SALES"/>
    <s v="HULLA GOLD"/>
    <n v="1264.3"/>
    <n v="0.88"/>
    <n v="1112.5840000000001"/>
    <n v="8.7103140077513252"/>
    <n v="11012.45"/>
    <n v="1264.3"/>
    <s v="0"/>
    <n v="1112.5840000000001"/>
    <s v="0"/>
    <n v="11012.45"/>
    <s v="0"/>
    <s v="0"/>
    <s v="0"/>
    <s v="0"/>
    <s v="0"/>
    <s v="0"/>
    <s v="0"/>
    <m/>
    <m/>
    <m/>
    <m/>
    <m/>
    <m/>
  </r>
  <r>
    <d v="2026-02-27T00:00:00"/>
    <s v="PURCHASE"/>
    <s v="HULLA GOLD"/>
    <n v="1000"/>
    <n v="0.995"/>
    <n v="995"/>
    <m/>
    <n v="0"/>
    <s v="0"/>
    <s v="0"/>
    <s v="0"/>
    <s v="0"/>
    <s v="0"/>
    <s v="0"/>
    <n v="1000"/>
    <s v="0"/>
    <n v="995"/>
    <s v="0"/>
    <n v="0"/>
    <s v="0"/>
    <m/>
    <m/>
    <m/>
    <m/>
    <m/>
    <m/>
  </r>
  <r>
    <d v="2026-02-28T00:00:00"/>
    <s v="SALES"/>
    <s v="HULLA GOLD"/>
    <n v="1307.2"/>
    <n v="0.88"/>
    <n v="1150.336"/>
    <n v="6.8207236842105257"/>
    <n v="8916.0499999999993"/>
    <n v="1307.2"/>
    <s v="0"/>
    <n v="1150.336"/>
    <s v="0"/>
    <n v="8916.0499999999993"/>
    <s v="0"/>
    <s v="0"/>
    <s v="0"/>
    <s v="0"/>
    <s v="0"/>
    <s v="0"/>
    <s v="0"/>
    <m/>
    <m/>
    <m/>
    <m/>
    <m/>
    <m/>
  </r>
  <r>
    <d v="2026-02-28T00:00:00"/>
    <s v="PURCHASE"/>
    <s v="HULLA GOLD"/>
    <n v="2042.75"/>
    <n v="0.995"/>
    <n v="2032.5362499999999"/>
    <m/>
    <n v="0"/>
    <s v="0"/>
    <s v="0"/>
    <s v="0"/>
    <s v="0"/>
    <s v="0"/>
    <s v="0"/>
    <n v="2042.75"/>
    <s v="0"/>
    <n v="2032.5362499999999"/>
    <s v="0"/>
    <n v="0"/>
    <s v="0"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d v="2026-06-01T00:00:00"/>
    <x v="0"/>
    <s v="FACTORY CONSUMABLES"/>
    <s v="NON"/>
    <n v="1322.62"/>
    <n v="66.131"/>
    <n v="1388.751"/>
    <m/>
    <m/>
    <m/>
    <m/>
    <n v="0"/>
    <n v="0"/>
    <m/>
    <m/>
    <m/>
    <m/>
    <m/>
  </r>
  <r>
    <d v="2026-06-01T00:00:00"/>
    <x v="0"/>
    <s v="STATIONERY EXPENSES"/>
    <s v="NON"/>
    <n v="153.75"/>
    <n v="7.6875"/>
    <n v="161.4375"/>
    <m/>
    <m/>
    <m/>
    <m/>
    <n v="0"/>
    <n v="0"/>
    <m/>
    <m/>
    <m/>
    <m/>
    <m/>
  </r>
  <r>
    <d v="2026-06-01T00:00:00"/>
    <x v="0"/>
    <s v="FACTORY CONSUMABLES"/>
    <s v="NON"/>
    <n v="96"/>
    <s v="NO TAX"/>
    <n v="96"/>
    <m/>
    <m/>
    <m/>
    <m/>
    <n v="0"/>
    <n v="0"/>
    <m/>
    <m/>
    <m/>
    <m/>
    <m/>
  </r>
  <r>
    <d v="2026-06-01T00:00:00"/>
    <x v="0"/>
    <s v="STAFF WELFARE EXPENSES"/>
    <s v="NON"/>
    <n v="28"/>
    <s v="NO TAX"/>
    <n v="28"/>
    <m/>
    <m/>
    <m/>
    <m/>
    <n v="0"/>
    <n v="0"/>
    <m/>
    <m/>
    <m/>
    <m/>
    <m/>
  </r>
  <r>
    <d v="2026-06-01T00:00:00"/>
    <x v="0"/>
    <s v="TEA &amp; FOOD EXPENSES"/>
    <s v="NON"/>
    <n v="20"/>
    <s v="NO TAX"/>
    <n v="20"/>
    <m/>
    <m/>
    <m/>
    <m/>
    <n v="0"/>
    <n v="0"/>
    <m/>
    <m/>
    <m/>
    <m/>
    <m/>
  </r>
  <r>
    <d v="2026-06-01T00:00:00"/>
    <x v="0"/>
    <s v="STAFF WELFARE EXPENSES"/>
    <s v="NON"/>
    <n v="57"/>
    <s v="NO TAX"/>
    <n v="57"/>
    <m/>
    <m/>
    <m/>
    <m/>
    <n v="0"/>
    <n v="0"/>
    <m/>
    <m/>
    <m/>
    <m/>
    <m/>
  </r>
  <r>
    <d v="2026-06-02T00:00:00"/>
    <x v="0"/>
    <s v="COURIER CHARGE"/>
    <s v="NON"/>
    <n v="16"/>
    <s v="NO TAX"/>
    <n v="16"/>
    <m/>
    <m/>
    <m/>
    <m/>
    <n v="0"/>
    <n v="0"/>
    <m/>
    <m/>
    <m/>
    <m/>
    <m/>
  </r>
  <r>
    <d v="2026-06-02T00:00:00"/>
    <x v="0"/>
    <s v="ADVANCE TO WORKERS"/>
    <s v="NON"/>
    <m/>
    <n v="0"/>
    <n v="0"/>
    <n v="500"/>
    <m/>
    <m/>
    <m/>
    <n v="0"/>
    <n v="0"/>
    <m/>
    <m/>
    <m/>
    <m/>
    <m/>
  </r>
  <r>
    <d v="2026-06-02T00:00:00"/>
    <x v="0"/>
    <s v="PETROL TOYOTA COROLLA"/>
    <s v="NON"/>
    <n v="160"/>
    <s v="NO TAX"/>
    <n v="160"/>
    <m/>
    <m/>
    <m/>
    <m/>
    <n v="0"/>
    <n v="0"/>
    <m/>
    <m/>
    <m/>
    <m/>
    <m/>
  </r>
  <r>
    <d v="2026-06-02T00:00:00"/>
    <x v="0"/>
    <s v="FACTORY CONSUMABLES"/>
    <s v="NON"/>
    <n v="116"/>
    <n v="5.8000000000000007"/>
    <n v="121.8"/>
    <m/>
    <m/>
    <m/>
    <m/>
    <n v="0"/>
    <n v="0"/>
    <m/>
    <m/>
    <m/>
    <m/>
    <m/>
  </r>
  <r>
    <d v="2026-06-02T00:00:00"/>
    <x v="0"/>
    <s v="FACTORY CONSUMABLES"/>
    <s v="NON"/>
    <n v="10"/>
    <s v="NO TAX"/>
    <n v="10"/>
    <m/>
    <m/>
    <m/>
    <m/>
    <n v="0"/>
    <n v="0"/>
    <m/>
    <m/>
    <m/>
    <m/>
    <m/>
  </r>
  <r>
    <d v="2026-06-02T00:00:00"/>
    <x v="0"/>
    <s v="SALARY PAYBLE"/>
    <s v="NON"/>
    <n v="90"/>
    <s v="NO TAX"/>
    <n v="90"/>
    <m/>
    <m/>
    <m/>
    <m/>
    <n v="0"/>
    <n v="0"/>
    <m/>
    <m/>
    <m/>
    <m/>
    <m/>
  </r>
  <r>
    <d v="2026-06-02T00:00:00"/>
    <x v="0"/>
    <s v="STAFF WELFARE EXPENSES"/>
    <s v="NON"/>
    <n v="60"/>
    <s v="NO TAX"/>
    <n v="60"/>
    <m/>
    <m/>
    <m/>
    <m/>
    <n v="0"/>
    <n v="0"/>
    <m/>
    <m/>
    <m/>
    <m/>
    <m/>
  </r>
  <r>
    <d v="2026-06-02T00:00:00"/>
    <x v="0"/>
    <s v="TEA &amp; FOOD EXPENSES"/>
    <s v="NON"/>
    <n v="10"/>
    <s v="NO TAX"/>
    <n v="10"/>
    <m/>
    <m/>
    <m/>
    <m/>
    <n v="0"/>
    <n v="0"/>
    <m/>
    <m/>
    <m/>
    <m/>
    <m/>
  </r>
  <r>
    <d v="2026-06-02T00:00:00"/>
    <x v="1"/>
    <s v="AIR FLIGHT TRAVELLING EXPENSES"/>
    <s v="NON"/>
    <n v="883.52"/>
    <s v="NO TAX"/>
    <n v="883.52"/>
    <m/>
    <m/>
    <m/>
    <m/>
    <n v="0"/>
    <n v="0"/>
    <m/>
    <m/>
    <m/>
    <m/>
    <m/>
  </r>
  <r>
    <d v="2026-06-03T00:00:00"/>
    <x v="0"/>
    <s v="COURIER CHARGE"/>
    <s v="NON"/>
    <n v="200"/>
    <s v="NO TAX"/>
    <n v="200"/>
    <m/>
    <m/>
    <m/>
    <m/>
    <n v="0"/>
    <n v="0"/>
    <m/>
    <m/>
    <m/>
    <m/>
    <m/>
  </r>
  <r>
    <d v="2026-06-03T00:00:00"/>
    <x v="0"/>
    <s v="FACTORY CONSUMABLES"/>
    <s v="NON"/>
    <n v="49"/>
    <s v="NO TAX"/>
    <n v="49"/>
    <m/>
    <m/>
    <m/>
    <m/>
    <n v="0"/>
    <n v="0"/>
    <m/>
    <m/>
    <m/>
    <m/>
    <m/>
  </r>
  <r>
    <d v="2026-06-03T00:00:00"/>
    <x v="0"/>
    <s v="LOCAL TRAVILING EXPENSES"/>
    <s v="NON"/>
    <n v="60"/>
    <s v="NO TAX"/>
    <n v="60"/>
    <m/>
    <m/>
    <m/>
    <m/>
    <n v="0"/>
    <n v="0"/>
    <m/>
    <m/>
    <m/>
    <m/>
    <m/>
  </r>
  <r>
    <d v="2026-06-03T00:00:00"/>
    <x v="0"/>
    <s v="VISA RELATED EXPENSES"/>
    <s v="NON"/>
    <n v="1200"/>
    <s v="NO TAX"/>
    <n v="1200"/>
    <m/>
    <m/>
    <m/>
    <m/>
    <n v="0"/>
    <n v="0"/>
    <m/>
    <m/>
    <m/>
    <m/>
    <m/>
  </r>
  <r>
    <d v="2026-06-04T00:00:00"/>
    <x v="0"/>
    <s v="FACTORY CONSUMABLES"/>
    <s v="NON"/>
    <n v="142.85714285714286"/>
    <n v="7.1428571428571432"/>
    <n v="150"/>
    <m/>
    <m/>
    <m/>
    <m/>
    <n v="0"/>
    <n v="0"/>
    <m/>
    <m/>
    <m/>
    <m/>
    <m/>
  </r>
  <r>
    <d v="2026-06-04T00:00:00"/>
    <x v="0"/>
    <s v="TEA &amp; FOOD EXPENSES"/>
    <s v="NON"/>
    <n v="13"/>
    <s v="NO TAX"/>
    <n v="13"/>
    <m/>
    <m/>
    <m/>
    <m/>
    <n v="0"/>
    <n v="0"/>
    <m/>
    <m/>
    <m/>
    <m/>
    <m/>
  </r>
  <r>
    <d v="2026-06-04T00:00:00"/>
    <x v="0"/>
    <s v="FACTORY CONSUMABLES"/>
    <s v="NON"/>
    <n v="400"/>
    <n v="20"/>
    <n v="420"/>
    <m/>
    <m/>
    <m/>
    <m/>
    <n v="0"/>
    <n v="0"/>
    <m/>
    <m/>
    <m/>
    <m/>
    <m/>
  </r>
  <r>
    <d v="2026-06-04T00:00:00"/>
    <x v="0"/>
    <s v="PERSONAL EXP FAZEL BHAI"/>
    <s v="NON"/>
    <m/>
    <n v="0"/>
    <n v="0"/>
    <m/>
    <m/>
    <n v="13210"/>
    <m/>
    <n v="0"/>
    <n v="0"/>
    <m/>
    <m/>
    <m/>
    <m/>
    <m/>
  </r>
  <r>
    <d v="2026-06-04T00:00:00"/>
    <x v="0"/>
    <s v="FACTORY CONSUMABLES"/>
    <s v="NON"/>
    <n v="285.71428571428572"/>
    <n v="14.285714285714286"/>
    <n v="300"/>
    <m/>
    <m/>
    <m/>
    <m/>
    <n v="0"/>
    <n v="0"/>
    <m/>
    <m/>
    <m/>
    <m/>
    <m/>
  </r>
  <r>
    <d v="2026-06-04T00:00:00"/>
    <x v="0"/>
    <s v="PETROL TOYOTA COROLLA"/>
    <s v="NON"/>
    <n v="142"/>
    <s v="NO TAX"/>
    <n v="142"/>
    <m/>
    <m/>
    <m/>
    <m/>
    <n v="0"/>
    <n v="0"/>
    <m/>
    <m/>
    <m/>
    <m/>
    <m/>
  </r>
  <r>
    <d v="2026-06-04T00:00:00"/>
    <x v="0"/>
    <s v="STAFF WELFARE EXPENSES"/>
    <s v="NON"/>
    <n v="16120"/>
    <s v="NO TAX"/>
    <n v="16120"/>
    <m/>
    <m/>
    <m/>
    <m/>
    <n v="0"/>
    <n v="0"/>
    <m/>
    <m/>
    <m/>
    <m/>
    <m/>
  </r>
  <r>
    <d v="2026-06-05T00:00:00"/>
    <x v="0"/>
    <s v="FACTORY CONSUMABLES"/>
    <s v="NON"/>
    <n v="5714.29"/>
    <n v="285.71449999999999"/>
    <n v="6000.0045"/>
    <m/>
    <m/>
    <m/>
    <m/>
    <n v="0"/>
    <n v="0"/>
    <m/>
    <m/>
    <m/>
    <m/>
    <m/>
  </r>
  <r>
    <d v="2026-06-05T00:00:00"/>
    <x v="0"/>
    <s v="METAL TESTING CHARGES"/>
    <s v="NON"/>
    <n v="142.86000000000001"/>
    <n v="7.1430000000000007"/>
    <n v="150.00300000000001"/>
    <m/>
    <m/>
    <m/>
    <m/>
    <n v="0"/>
    <n v="0"/>
    <m/>
    <m/>
    <m/>
    <m/>
    <m/>
  </r>
  <r>
    <d v="2026-06-05T00:00:00"/>
    <x v="0"/>
    <s v="ADVANCE TO WORKERS"/>
    <s v="NON"/>
    <m/>
    <n v="0"/>
    <n v="0"/>
    <n v="100"/>
    <m/>
    <m/>
    <m/>
    <n v="0"/>
    <n v="0"/>
    <m/>
    <m/>
    <m/>
    <m/>
    <m/>
  </r>
  <r>
    <d v="2026-06-05T00:00:00"/>
    <x v="0"/>
    <s v="STAFF WELFARE EXPENSES"/>
    <s v="NON"/>
    <n v="850"/>
    <s v="NO TAX"/>
    <n v="850"/>
    <m/>
    <m/>
    <m/>
    <m/>
    <n v="0"/>
    <n v="0"/>
    <m/>
    <m/>
    <m/>
    <m/>
    <m/>
  </r>
  <r>
    <d v="2026-06-05T00:00:00"/>
    <x v="0"/>
    <s v="STAFF WELFARE EXPENSES"/>
    <s v="NON"/>
    <n v="260"/>
    <s v="NO TAX"/>
    <n v="260"/>
    <m/>
    <m/>
    <m/>
    <m/>
    <n v="0"/>
    <n v="0"/>
    <m/>
    <m/>
    <m/>
    <m/>
    <m/>
  </r>
  <r>
    <d v="2026-06-05T00:00:00"/>
    <x v="0"/>
    <s v="LOCAL TRAVILING EXPENSES"/>
    <s v="NON"/>
    <n v="210"/>
    <s v="NO TAX"/>
    <n v="210"/>
    <m/>
    <m/>
    <m/>
    <m/>
    <n v="0"/>
    <n v="0"/>
    <m/>
    <m/>
    <m/>
    <m/>
    <m/>
  </r>
  <r>
    <d v="2026-06-05T00:00:00"/>
    <x v="0"/>
    <s v="FACTORY CONSUMABLES"/>
    <s v="NON"/>
    <n v="60"/>
    <n v="3"/>
    <n v="63"/>
    <m/>
    <m/>
    <m/>
    <m/>
    <n v="0"/>
    <n v="0"/>
    <m/>
    <m/>
    <m/>
    <m/>
    <m/>
  </r>
  <r>
    <d v="2026-06-05T00:00:00"/>
    <x v="0"/>
    <s v="TEA &amp; FOOD EXPENSES"/>
    <s v="NON"/>
    <n v="7"/>
    <s v="NO TAX"/>
    <n v="7"/>
    <m/>
    <m/>
    <m/>
    <m/>
    <n v="0"/>
    <n v="0"/>
    <m/>
    <m/>
    <m/>
    <m/>
    <m/>
  </r>
  <r>
    <d v="2026-06-05T00:00:00"/>
    <x v="0"/>
    <s v="STAFF WELFARE EXPENSES"/>
    <s v="NON"/>
    <n v="35"/>
    <s v="NO TAX"/>
    <n v="35"/>
    <m/>
    <m/>
    <m/>
    <m/>
    <n v="0"/>
    <n v="0"/>
    <m/>
    <m/>
    <m/>
    <m/>
    <m/>
  </r>
  <r>
    <d v="2026-06-05T00:00:00"/>
    <x v="0"/>
    <s v="STAFF WELFARE EXPENSES"/>
    <s v="NON"/>
    <n v="343"/>
    <s v="NO TAX"/>
    <n v="343"/>
    <m/>
    <m/>
    <m/>
    <m/>
    <n v="0"/>
    <n v="0"/>
    <m/>
    <m/>
    <m/>
    <m/>
    <m/>
  </r>
  <r>
    <d v="2026-06-05T00:00:00"/>
    <x v="0"/>
    <s v="FACTORY CONSUMABLES"/>
    <s v="NON"/>
    <n v="47.62"/>
    <n v="2.3809999999999998"/>
    <n v="50.000999999999998"/>
    <m/>
    <m/>
    <m/>
    <m/>
    <n v="0"/>
    <n v="0"/>
    <m/>
    <m/>
    <m/>
    <m/>
    <m/>
  </r>
  <r>
    <d v="2026-06-06T00:00:00"/>
    <x v="0"/>
    <s v="PETROL TOYOTA COROLLA"/>
    <s v="NON"/>
    <n v="125"/>
    <s v="NO TAX"/>
    <n v="125"/>
    <m/>
    <m/>
    <m/>
    <m/>
    <n v="0"/>
    <n v="0"/>
    <m/>
    <m/>
    <m/>
    <m/>
    <m/>
  </r>
  <r>
    <d v="2026-06-06T00:00:00"/>
    <x v="0"/>
    <s v="FACTORY CONSUMABLES"/>
    <s v="NON"/>
    <n v="2596.12"/>
    <n v="129.80600000000001"/>
    <n v="2725.9259999999999"/>
    <m/>
    <m/>
    <m/>
    <m/>
    <n v="0"/>
    <n v="0"/>
    <m/>
    <m/>
    <m/>
    <m/>
    <m/>
  </r>
  <r>
    <d v="2026-06-06T00:00:00"/>
    <x v="0"/>
    <s v="AL KHAREEF RESTAURANT"/>
    <s v="NON"/>
    <n v="1500"/>
    <s v="NO TAX"/>
    <n v="1500"/>
    <m/>
    <m/>
    <m/>
    <m/>
    <n v="0"/>
    <n v="0"/>
    <m/>
    <m/>
    <m/>
    <m/>
    <m/>
  </r>
  <r>
    <d v="2026-06-06T00:00:00"/>
    <x v="0"/>
    <s v="FACTORY CONSUMABLES"/>
    <s v="NON"/>
    <n v="203.7"/>
    <n v="10.185"/>
    <n v="213.88499999999999"/>
    <m/>
    <m/>
    <m/>
    <m/>
    <n v="0"/>
    <n v="0"/>
    <m/>
    <m/>
    <m/>
    <m/>
    <m/>
  </r>
  <r>
    <d v="2026-06-06T00:00:00"/>
    <x v="0"/>
    <s v="FACTORY CONSUMABLES"/>
    <s v="NON"/>
    <n v="23.81"/>
    <n v="1.1904999999999999"/>
    <n v="25.000499999999999"/>
    <m/>
    <m/>
    <m/>
    <m/>
    <n v="0"/>
    <n v="0"/>
    <m/>
    <m/>
    <m/>
    <m/>
    <m/>
  </r>
  <r>
    <d v="2026-06-06T00:00:00"/>
    <x v="0"/>
    <s v="FACTORY EXPENSES"/>
    <s v="NON"/>
    <n v="5"/>
    <n v="0.25"/>
    <n v="5.25"/>
    <m/>
    <m/>
    <m/>
    <m/>
    <n v="0"/>
    <n v="0"/>
    <m/>
    <m/>
    <m/>
    <m/>
    <m/>
  </r>
  <r>
    <d v="2026-06-06T00:00:00"/>
    <x v="0"/>
    <s v="EMIRATES ID APPLICATION "/>
    <s v="NON"/>
    <n v="770"/>
    <s v="NO TAX"/>
    <n v="770"/>
    <m/>
    <m/>
    <m/>
    <m/>
    <n v="0"/>
    <n v="0"/>
    <m/>
    <m/>
    <m/>
    <m/>
    <m/>
  </r>
  <r>
    <d v="2026-06-06T00:00:00"/>
    <x v="0"/>
    <s v="URD MACHINERY &amp; EQUIPMENT"/>
    <s v="NON"/>
    <n v="462"/>
    <s v="NO TAX"/>
    <n v="462"/>
    <m/>
    <m/>
    <m/>
    <m/>
    <n v="0"/>
    <n v="0"/>
    <m/>
    <m/>
    <m/>
    <m/>
    <m/>
  </r>
  <r>
    <d v="2026-06-06T00:00:00"/>
    <x v="0"/>
    <s v="STAFF WELFARE EXPENSES"/>
    <s v="NON"/>
    <n v="58"/>
    <s v="NO TAX"/>
    <n v="58"/>
    <m/>
    <m/>
    <m/>
    <m/>
    <n v="0"/>
    <n v="0"/>
    <m/>
    <m/>
    <m/>
    <m/>
    <m/>
  </r>
  <r>
    <d v="2026-06-06T00:00:00"/>
    <x v="0"/>
    <s v="SALIK RECHARGE FOR CAR"/>
    <s v="NON"/>
    <n v="500"/>
    <s v="NO TAX"/>
    <n v="500"/>
    <m/>
    <m/>
    <m/>
    <m/>
    <n v="0"/>
    <n v="0"/>
    <m/>
    <m/>
    <m/>
    <m/>
    <m/>
  </r>
  <r>
    <d v="2026-06-06T00:00:00"/>
    <x v="0"/>
    <s v="PETROL TOYOTA COROLLA"/>
    <s v="NON"/>
    <n v="300"/>
    <s v="NO TAX"/>
    <n v="300"/>
    <m/>
    <m/>
    <m/>
    <m/>
    <n v="0"/>
    <n v="0"/>
    <m/>
    <m/>
    <m/>
    <m/>
    <m/>
  </r>
  <r>
    <d v="2026-06-06T00:00:00"/>
    <x v="2"/>
    <s v="PERSONAL EXP FAZEL BHAI"/>
    <s v="NON"/>
    <m/>
    <n v="0"/>
    <n v="0"/>
    <m/>
    <m/>
    <n v="6675"/>
    <m/>
    <n v="0"/>
    <n v="0"/>
    <m/>
    <m/>
    <m/>
    <m/>
    <m/>
  </r>
  <r>
    <d v="2026-06-08T00:00:00"/>
    <x v="0"/>
    <s v="FACTORY CONSUMABLES"/>
    <s v="NON"/>
    <n v="200"/>
    <n v="10"/>
    <n v="210"/>
    <m/>
    <m/>
    <m/>
    <m/>
    <n v="0"/>
    <n v="0"/>
    <m/>
    <m/>
    <m/>
    <m/>
    <m/>
  </r>
  <r>
    <d v="2026-06-08T00:00:00"/>
    <x v="0"/>
    <s v="FACTORY EXPENSES"/>
    <s v="NON"/>
    <n v="600"/>
    <s v="NO TAX"/>
    <n v="600"/>
    <m/>
    <m/>
    <m/>
    <m/>
    <n v="0"/>
    <n v="0"/>
    <m/>
    <m/>
    <m/>
    <m/>
    <m/>
  </r>
  <r>
    <d v="2026-06-08T00:00:00"/>
    <x v="0"/>
    <s v="STAFF WELFARE EXPENSES"/>
    <s v="NON"/>
    <n v="58"/>
    <s v="NO TAX"/>
    <n v="58"/>
    <m/>
    <m/>
    <m/>
    <m/>
    <n v="0"/>
    <n v="0"/>
    <m/>
    <m/>
    <m/>
    <m/>
    <m/>
  </r>
  <r>
    <d v="2026-06-08T00:00:00"/>
    <x v="0"/>
    <s v="ADVANCE TO WORKERS"/>
    <s v="NON"/>
    <m/>
    <n v="0"/>
    <n v="0"/>
    <n v="1500"/>
    <m/>
    <m/>
    <m/>
    <n v="0"/>
    <n v="0"/>
    <m/>
    <m/>
    <m/>
    <m/>
    <m/>
  </r>
  <r>
    <d v="2026-06-08T00:00:00"/>
    <x v="0"/>
    <s v="ADVANCE TO WORKERS"/>
    <s v="NON"/>
    <m/>
    <n v="0"/>
    <n v="0"/>
    <n v="3000"/>
    <m/>
    <m/>
    <m/>
    <n v="0"/>
    <n v="0"/>
    <m/>
    <m/>
    <m/>
    <m/>
    <m/>
  </r>
  <r>
    <d v="2026-06-08T00:00:00"/>
    <x v="0"/>
    <s v="FACTORY CONSUMABLES"/>
    <s v="NON"/>
    <n v="121"/>
    <n v="6.0500000000000007"/>
    <n v="127.05"/>
    <m/>
    <m/>
    <m/>
    <m/>
    <n v="0"/>
    <n v="0"/>
    <m/>
    <m/>
    <m/>
    <m/>
    <m/>
  </r>
  <r>
    <d v="2026-06-08T00:00:00"/>
    <x v="0"/>
    <s v="FACTORY CONSUMABLES"/>
    <s v="NON"/>
    <n v="14.29"/>
    <n v="0.71450000000000002"/>
    <n v="15.004499999999998"/>
    <m/>
    <m/>
    <m/>
    <m/>
    <n v="0"/>
    <n v="0"/>
    <m/>
    <m/>
    <m/>
    <m/>
    <m/>
  </r>
  <r>
    <d v="2026-06-08T00:00:00"/>
    <x v="3"/>
    <s v="SALIK RECHARGE FOR CAR"/>
    <s v="NON"/>
    <n v="1000"/>
    <s v="NO TAX"/>
    <n v="1000"/>
    <m/>
    <m/>
    <m/>
    <m/>
    <n v="0"/>
    <n v="0"/>
    <m/>
    <m/>
    <m/>
    <m/>
    <m/>
  </r>
  <r>
    <d v="2026-06-08T00:00:00"/>
    <x v="4"/>
    <s v="FACTORY EXPENSES"/>
    <s v="NON"/>
    <n v="2965"/>
    <s v="NO TAX"/>
    <n v="2965"/>
    <m/>
    <m/>
    <m/>
    <m/>
    <n v="0"/>
    <n v="0"/>
    <m/>
    <m/>
    <m/>
    <m/>
    <m/>
  </r>
  <r>
    <d v="2026-06-09T00:00:00"/>
    <x v="0"/>
    <s v="STAFF WELFARE EXPENSES"/>
    <s v="NON"/>
    <n v="38"/>
    <s v="NO TAX"/>
    <n v="38"/>
    <m/>
    <m/>
    <m/>
    <m/>
    <n v="0"/>
    <n v="0"/>
    <m/>
    <m/>
    <m/>
    <m/>
    <m/>
  </r>
  <r>
    <d v="2026-06-09T00:00:00"/>
    <x v="0"/>
    <s v="PETROL TOYOTA COROLLA"/>
    <s v="NON"/>
    <n v="166"/>
    <s v="NO TAX"/>
    <n v="166"/>
    <m/>
    <m/>
    <m/>
    <m/>
    <n v="0"/>
    <n v="0"/>
    <m/>
    <m/>
    <m/>
    <m/>
    <m/>
  </r>
  <r>
    <d v="2026-06-09T00:00:00"/>
    <x v="0"/>
    <s v="FACTORY CONSUMABLES"/>
    <s v="NON"/>
    <n v="5"/>
    <n v="0.25"/>
    <n v="5.25"/>
    <m/>
    <m/>
    <m/>
    <m/>
    <n v="0"/>
    <n v="0"/>
    <m/>
    <m/>
    <m/>
    <m/>
    <m/>
  </r>
  <r>
    <d v="2026-06-09T00:00:00"/>
    <x v="3"/>
    <s v="JAFZA PORTAL D."/>
    <s v="NON"/>
    <n v="500"/>
    <s v="NO TAX"/>
    <n v="500"/>
    <m/>
    <m/>
    <m/>
    <m/>
    <n v="0"/>
    <n v="0"/>
    <m/>
    <m/>
    <m/>
    <m/>
    <m/>
  </r>
  <r>
    <d v="2026-06-09T00:00:00"/>
    <x v="3"/>
    <s v="FACTORY CONSUMABLES"/>
    <s v="NON"/>
    <n v="918.12"/>
    <s v="NO TAX"/>
    <n v="918.12"/>
    <m/>
    <m/>
    <m/>
    <m/>
    <n v="0"/>
    <n v="0"/>
    <m/>
    <m/>
    <m/>
    <m/>
    <m/>
  </r>
  <r>
    <d v="2026-06-09T00:00:00"/>
    <x v="3"/>
    <s v="STATIONERY EXPENSES"/>
    <s v="NON"/>
    <n v="202"/>
    <s v="NO TAX"/>
    <n v="202"/>
    <m/>
    <m/>
    <m/>
    <m/>
    <n v="0"/>
    <n v="0"/>
    <m/>
    <m/>
    <m/>
    <m/>
    <m/>
  </r>
  <r>
    <d v="2026-06-09T00:00:00"/>
    <x v="3"/>
    <s v="HOSPITAL &amp; MEDICAL EXP'S"/>
    <s v="NON"/>
    <n v="161.59"/>
    <s v="NO TAX"/>
    <n v="161.59"/>
    <m/>
    <m/>
    <m/>
    <m/>
    <n v="0"/>
    <n v="0"/>
    <m/>
    <m/>
    <m/>
    <m/>
    <m/>
  </r>
  <r>
    <d v="2026-06-10T00:00:00"/>
    <x v="0"/>
    <s v="FACTORY CONSUMABLES"/>
    <s v="NON"/>
    <n v="40"/>
    <n v="2"/>
    <n v="42"/>
    <m/>
    <m/>
    <m/>
    <m/>
    <n v="0"/>
    <n v="0"/>
    <m/>
    <m/>
    <m/>
    <m/>
    <m/>
  </r>
  <r>
    <d v="2026-06-10T00:00:00"/>
    <x v="0"/>
    <s v="FACTORY EXPENSES"/>
    <s v="NON"/>
    <n v="300"/>
    <s v="NO TAX"/>
    <n v="300"/>
    <m/>
    <m/>
    <m/>
    <m/>
    <n v="0"/>
    <n v="0"/>
    <m/>
    <m/>
    <m/>
    <m/>
    <m/>
  </r>
  <r>
    <d v="2026-06-10T00:00:00"/>
    <x v="0"/>
    <s v="ADVANCE TO WORKERS"/>
    <s v="NON"/>
    <m/>
    <n v="0"/>
    <n v="0"/>
    <n v="500"/>
    <m/>
    <m/>
    <m/>
    <n v="0"/>
    <n v="0"/>
    <m/>
    <m/>
    <m/>
    <m/>
    <m/>
  </r>
  <r>
    <d v="2026-06-10T00:00:00"/>
    <x v="0"/>
    <s v="MACHINERY &amp; REPAIR MAINTAINCE"/>
    <s v="NON"/>
    <n v="2050"/>
    <s v="NO TAX"/>
    <n v="2050"/>
    <m/>
    <m/>
    <m/>
    <m/>
    <n v="0"/>
    <n v="0"/>
    <m/>
    <m/>
    <m/>
    <m/>
    <m/>
  </r>
  <r>
    <d v="2026-06-10T00:00:00"/>
    <x v="0"/>
    <s v="FACTORY CONSUMABLES"/>
    <s v="NON"/>
    <n v="286"/>
    <n v="14.3"/>
    <n v="300.3"/>
    <m/>
    <m/>
    <m/>
    <m/>
    <n v="0"/>
    <n v="0"/>
    <m/>
    <m/>
    <m/>
    <m/>
    <m/>
  </r>
  <r>
    <d v="2026-06-10T00:00:00"/>
    <x v="0"/>
    <s v="CAR PARKING"/>
    <s v="NON"/>
    <n v="5"/>
    <s v="NO TAX"/>
    <n v="5"/>
    <m/>
    <m/>
    <m/>
    <m/>
    <n v="0"/>
    <n v="0"/>
    <m/>
    <m/>
    <m/>
    <m/>
    <m/>
  </r>
  <r>
    <d v="2026-06-10T00:00:00"/>
    <x v="0"/>
    <s v="TEA &amp; FOOD EXPENSES"/>
    <s v="NON"/>
    <n v="5"/>
    <s v="NO TAX"/>
    <n v="5"/>
    <m/>
    <m/>
    <m/>
    <m/>
    <n v="0"/>
    <n v="0"/>
    <m/>
    <m/>
    <m/>
    <m/>
    <m/>
  </r>
  <r>
    <d v="2026-06-10T00:00:00"/>
    <x v="0"/>
    <s v="STAFF WELFARE EXPENSES"/>
    <s v="NON"/>
    <n v="150"/>
    <s v="NO TAX"/>
    <n v="150"/>
    <m/>
    <m/>
    <m/>
    <m/>
    <n v="0"/>
    <n v="0"/>
    <m/>
    <m/>
    <m/>
    <m/>
    <m/>
  </r>
  <r>
    <d v="2026-06-10T00:00:00"/>
    <x v="0"/>
    <s v="ADVANCE TO WORKERS"/>
    <s v="NON"/>
    <m/>
    <n v="0"/>
    <n v="0"/>
    <n v="100"/>
    <m/>
    <m/>
    <m/>
    <n v="0"/>
    <n v="0"/>
    <m/>
    <m/>
    <m/>
    <m/>
    <m/>
  </r>
  <r>
    <d v="2026-06-10T00:00:00"/>
    <x v="0"/>
    <s v="STAFF WELFARE EXPENSES"/>
    <s v="NON"/>
    <n v="220"/>
    <s v="NO TAX"/>
    <n v="220"/>
    <m/>
    <m/>
    <m/>
    <m/>
    <n v="0"/>
    <n v="0"/>
    <m/>
    <m/>
    <m/>
    <m/>
    <m/>
  </r>
  <r>
    <d v="2026-06-10T00:00:00"/>
    <x v="0"/>
    <s v="HOSPITAL &amp; MEDICAL EXP'S"/>
    <s v="NON"/>
    <n v="20"/>
    <s v="NO TAX"/>
    <n v="20"/>
    <m/>
    <m/>
    <m/>
    <m/>
    <n v="0"/>
    <n v="0"/>
    <m/>
    <m/>
    <m/>
    <m/>
    <m/>
  </r>
  <r>
    <d v="2026-06-10T00:00:00"/>
    <x v="0"/>
    <s v="ADVANCE TO WORKERS"/>
    <s v="NON"/>
    <m/>
    <n v="0"/>
    <n v="0"/>
    <n v="200"/>
    <m/>
    <m/>
    <m/>
    <n v="0"/>
    <n v="0"/>
    <m/>
    <m/>
    <m/>
    <m/>
    <m/>
  </r>
  <r>
    <d v="2026-06-11T00:00:00"/>
    <x v="0"/>
    <s v="AL KHAREEF RESTAURANT"/>
    <s v="NON"/>
    <n v="1500"/>
    <s v="NO TAX"/>
    <n v="1500"/>
    <m/>
    <m/>
    <m/>
    <m/>
    <n v="0"/>
    <n v="0"/>
    <m/>
    <m/>
    <m/>
    <m/>
    <m/>
  </r>
  <r>
    <d v="2026-06-11T00:00:00"/>
    <x v="0"/>
    <s v="FACTORY CONSUMABLES"/>
    <s v="NON"/>
    <n v="9"/>
    <n v="0.45"/>
    <n v="9.4499999999999993"/>
    <m/>
    <m/>
    <m/>
    <m/>
    <n v="0"/>
    <n v="0"/>
    <m/>
    <m/>
    <m/>
    <m/>
    <m/>
  </r>
  <r>
    <d v="2026-06-11T00:00:00"/>
    <x v="0"/>
    <s v="ADVANCE TO WORKERS"/>
    <s v="NON"/>
    <m/>
    <n v="0"/>
    <n v="0"/>
    <n v="2000"/>
    <m/>
    <m/>
    <m/>
    <n v="0"/>
    <n v="0"/>
    <m/>
    <m/>
    <m/>
    <m/>
    <m/>
  </r>
  <r>
    <d v="2026-06-11T00:00:00"/>
    <x v="0"/>
    <s v="STAFF WELFARE EXPENSES"/>
    <s v="NON"/>
    <n v="58"/>
    <s v="NO TAX"/>
    <n v="58"/>
    <m/>
    <m/>
    <m/>
    <m/>
    <n v="0"/>
    <n v="0"/>
    <m/>
    <m/>
    <m/>
    <m/>
    <m/>
  </r>
  <r>
    <d v="2026-06-11T00:00:00"/>
    <x v="0"/>
    <s v="ADVANCE TO WORKERS"/>
    <s v="NON"/>
    <m/>
    <n v="0"/>
    <n v="0"/>
    <n v="500"/>
    <m/>
    <m/>
    <m/>
    <n v="0"/>
    <n v="0"/>
    <m/>
    <m/>
    <m/>
    <m/>
    <m/>
  </r>
  <r>
    <d v="2026-06-11T00:00:00"/>
    <x v="0"/>
    <s v="PETROL TOYOTA COROLLA"/>
    <s v="NON"/>
    <n v="155"/>
    <s v="NO TAX"/>
    <n v="155"/>
    <m/>
    <m/>
    <m/>
    <m/>
    <n v="0"/>
    <n v="0"/>
    <m/>
    <m/>
    <m/>
    <m/>
    <m/>
  </r>
  <r>
    <d v="2026-06-11T00:00:00"/>
    <x v="0"/>
    <s v="FACTORY CONSUMABLES"/>
    <s v="NON"/>
    <n v="15"/>
    <n v="0.75"/>
    <n v="15.75"/>
    <m/>
    <m/>
    <m/>
    <m/>
    <n v="0"/>
    <n v="0"/>
    <m/>
    <m/>
    <m/>
    <m/>
    <m/>
  </r>
  <r>
    <d v="2026-06-11T00:00:00"/>
    <x v="0"/>
    <s v="FACTORY CONSUMABLES"/>
    <s v="NON"/>
    <n v="80"/>
    <n v="4"/>
    <n v="84"/>
    <m/>
    <m/>
    <m/>
    <m/>
    <n v="0"/>
    <n v="0"/>
    <m/>
    <m/>
    <m/>
    <m/>
    <m/>
  </r>
  <r>
    <d v="2026-06-11T00:00:00"/>
    <x v="0"/>
    <s v="FACTORY CONSUMABLES"/>
    <s v="NON"/>
    <n v="18"/>
    <n v="0.9"/>
    <n v="18.899999999999999"/>
    <m/>
    <m/>
    <m/>
    <m/>
    <n v="0"/>
    <n v="0"/>
    <m/>
    <m/>
    <m/>
    <m/>
    <m/>
  </r>
  <r>
    <d v="2026-06-11T00:00:00"/>
    <x v="0"/>
    <s v="LOCAL TRAVILING EXPENSES"/>
    <s v="NON"/>
    <n v="15"/>
    <s v="NO TAX"/>
    <n v="15"/>
    <m/>
    <m/>
    <m/>
    <m/>
    <n v="0"/>
    <n v="0"/>
    <m/>
    <m/>
    <m/>
    <m/>
    <m/>
  </r>
  <r>
    <d v="2026-06-11T00:00:00"/>
    <x v="3"/>
    <s v="SALIK RECHARGE FOR CAR"/>
    <s v="NON"/>
    <n v="150"/>
    <s v="NO TAX"/>
    <n v="150"/>
    <m/>
    <m/>
    <m/>
    <m/>
    <n v="0"/>
    <n v="0"/>
    <m/>
    <m/>
    <m/>
    <m/>
    <m/>
  </r>
  <r>
    <d v="2026-06-11T00:00:00"/>
    <x v="3"/>
    <s v="JAFZA PORTAL D."/>
    <s v="NON"/>
    <n v="1500"/>
    <s v="NO TAX"/>
    <n v="1500"/>
    <m/>
    <m/>
    <m/>
    <m/>
    <n v="0"/>
    <n v="0"/>
    <m/>
    <m/>
    <m/>
    <m/>
    <m/>
  </r>
  <r>
    <d v="2026-06-11T00:00:00"/>
    <x v="3"/>
    <s v="AIR FLIGHT TRAVELLING EXPENSES"/>
    <s v="NON"/>
    <n v="768"/>
    <s v="NO TAX"/>
    <n v="768"/>
    <m/>
    <m/>
    <m/>
    <m/>
    <n v="0"/>
    <n v="0"/>
    <m/>
    <m/>
    <m/>
    <m/>
    <m/>
  </r>
  <r>
    <d v="2026-06-11T00:00:00"/>
    <x v="5"/>
    <s v="DEWA &amp; EMPOWER EXP ALKHIAL"/>
    <s v="NON"/>
    <n v="676.46"/>
    <s v="NO TAX"/>
    <n v="676.46"/>
    <m/>
    <m/>
    <m/>
    <m/>
    <n v="0"/>
    <n v="0"/>
    <m/>
    <m/>
    <m/>
    <m/>
    <m/>
  </r>
  <r>
    <d v="2026-06-12T00:00:00"/>
    <x v="0"/>
    <s v="HOSPITAL &amp; MEDICAL EXP'S"/>
    <s v="NON"/>
    <n v="240"/>
    <s v="NO TAX"/>
    <n v="240"/>
    <m/>
    <m/>
    <m/>
    <m/>
    <n v="0"/>
    <n v="0"/>
    <m/>
    <m/>
    <m/>
    <m/>
    <m/>
  </r>
  <r>
    <d v="2026-06-12T00:00:00"/>
    <x v="0"/>
    <s v="LOCAL TRAVILING EXPENSES"/>
    <s v="NON"/>
    <n v="70"/>
    <s v="NO TAX"/>
    <n v="70"/>
    <m/>
    <m/>
    <m/>
    <m/>
    <n v="0"/>
    <n v="0"/>
    <m/>
    <m/>
    <m/>
    <m/>
    <m/>
  </r>
  <r>
    <d v="2026-06-12T00:00:00"/>
    <x v="0"/>
    <s v="ADVANCE TO WORKERS"/>
    <s v="NON"/>
    <m/>
    <n v="0"/>
    <n v="0"/>
    <n v="100"/>
    <m/>
    <m/>
    <m/>
    <n v="0"/>
    <n v="0"/>
    <m/>
    <m/>
    <m/>
    <m/>
    <m/>
  </r>
  <r>
    <d v="2026-06-12T00:00:00"/>
    <x v="0"/>
    <s v="FACTORY CONSUMABLES"/>
    <s v="NON"/>
    <n v="47.62"/>
    <n v="2.3809999999999998"/>
    <n v="50.000999999999998"/>
    <m/>
    <m/>
    <m/>
    <m/>
    <n v="0"/>
    <n v="0"/>
    <m/>
    <m/>
    <m/>
    <m/>
    <m/>
  </r>
  <r>
    <d v="2026-06-12T00:00:00"/>
    <x v="0"/>
    <s v="FACTORY EXPENSES"/>
    <s v="NON"/>
    <n v="70"/>
    <s v="NO TAX"/>
    <n v="70"/>
    <m/>
    <m/>
    <m/>
    <m/>
    <n v="0"/>
    <n v="0"/>
    <m/>
    <m/>
    <m/>
    <m/>
    <m/>
  </r>
  <r>
    <d v="2026-06-12T00:00:00"/>
    <x v="0"/>
    <s v="ADVANCE TO WORKERS"/>
    <s v="NON"/>
    <m/>
    <n v="0"/>
    <n v="0"/>
    <n v="2000"/>
    <m/>
    <m/>
    <m/>
    <n v="0"/>
    <n v="0"/>
    <m/>
    <m/>
    <m/>
    <m/>
    <m/>
  </r>
  <r>
    <d v="2026-06-11T00:00:00"/>
    <x v="0"/>
    <s v="FACTORY EXPENSES"/>
    <s v="NON"/>
    <m/>
    <n v="0"/>
    <n v="0"/>
    <m/>
    <m/>
    <m/>
    <m/>
    <n v="0"/>
    <n v="0"/>
    <n v="34000"/>
    <m/>
    <m/>
    <m/>
    <m/>
  </r>
  <r>
    <d v="2026-06-16T00:00:00"/>
    <x v="6"/>
    <s v="CAMP RENT"/>
    <s v="NON"/>
    <n v="41400"/>
    <s v="NO TAX"/>
    <n v="41400"/>
    <m/>
    <m/>
    <m/>
    <m/>
    <n v="0"/>
    <n v="0"/>
    <m/>
    <m/>
    <m/>
    <m/>
    <m/>
  </r>
  <r>
    <d v="2026-06-13T00:00:00"/>
    <x v="0"/>
    <s v="ADVANCE TO WORKERS"/>
    <s v="NON"/>
    <m/>
    <n v="0"/>
    <n v="0"/>
    <n v="100"/>
    <m/>
    <m/>
    <m/>
    <n v="0"/>
    <n v="0"/>
    <m/>
    <m/>
    <m/>
    <m/>
    <m/>
  </r>
  <r>
    <d v="2026-06-13T00:00:00"/>
    <x v="0"/>
    <s v="FACTORY CONSUMABLES"/>
    <s v="NON"/>
    <n v="8"/>
    <n v="0.4"/>
    <n v="8.4"/>
    <m/>
    <m/>
    <m/>
    <m/>
    <n v="0"/>
    <n v="0"/>
    <m/>
    <m/>
    <m/>
    <m/>
    <m/>
  </r>
  <r>
    <d v="2026-06-13T00:00:00"/>
    <x v="0"/>
    <s v="ADVANCE TO WORKERS"/>
    <s v="NON"/>
    <m/>
    <n v="0"/>
    <n v="0"/>
    <n v="300"/>
    <m/>
    <m/>
    <m/>
    <n v="0"/>
    <n v="0"/>
    <m/>
    <m/>
    <m/>
    <m/>
    <m/>
  </r>
  <r>
    <d v="2026-06-13T00:00:00"/>
    <x v="0"/>
    <s v="ADVANCE TO WORKERS"/>
    <s v="NON"/>
    <m/>
    <n v="0"/>
    <n v="0"/>
    <n v="500"/>
    <m/>
    <m/>
    <m/>
    <n v="0"/>
    <n v="0"/>
    <m/>
    <m/>
    <m/>
    <m/>
    <m/>
  </r>
  <r>
    <d v="2026-06-13T00:00:00"/>
    <x v="0"/>
    <s v="PETROL TOYOTA COROLLA"/>
    <s v="NON"/>
    <n v="140"/>
    <s v="NO TAX"/>
    <n v="140"/>
    <m/>
    <m/>
    <m/>
    <m/>
    <n v="0"/>
    <n v="0"/>
    <m/>
    <m/>
    <m/>
    <m/>
    <m/>
  </r>
  <r>
    <d v="2026-06-13T00:00:00"/>
    <x v="0"/>
    <s v="FACTORY EXPENSES"/>
    <s v="NON"/>
    <n v="11"/>
    <n v="0.55000000000000004"/>
    <n v="11.55"/>
    <m/>
    <m/>
    <m/>
    <m/>
    <n v="0"/>
    <n v="0"/>
    <m/>
    <m/>
    <m/>
    <m/>
    <m/>
  </r>
  <r>
    <d v="2026-06-13T00:00:00"/>
    <x v="0"/>
    <s v="FACTORY EXPENSES"/>
    <s v="NON"/>
    <n v="31.46"/>
    <n v="1.5730000000000002"/>
    <n v="33.033000000000001"/>
    <m/>
    <m/>
    <m/>
    <m/>
    <n v="0"/>
    <n v="0"/>
    <m/>
    <m/>
    <m/>
    <m/>
    <m/>
  </r>
  <r>
    <d v="2026-06-13T00:00:00"/>
    <x v="0"/>
    <s v="FACTORY CONSUMABLES"/>
    <s v="NON"/>
    <n v="12.5"/>
    <s v="NO TAX"/>
    <n v="12.5"/>
    <m/>
    <m/>
    <m/>
    <m/>
    <n v="0"/>
    <n v="0"/>
    <m/>
    <m/>
    <m/>
    <m/>
    <m/>
  </r>
  <r>
    <d v="2026-06-13T00:00:00"/>
    <x v="0"/>
    <s v="FACTORY EXPENSES"/>
    <s v="NON"/>
    <n v="95.24"/>
    <n v="4.7619999999999996"/>
    <n v="100.002"/>
    <m/>
    <m/>
    <m/>
    <m/>
    <n v="0"/>
    <n v="0"/>
    <m/>
    <m/>
    <m/>
    <m/>
    <m/>
  </r>
  <r>
    <d v="2026-06-13T00:00:00"/>
    <x v="0"/>
    <s v="STATIONERY EXPENSES"/>
    <s v="NON"/>
    <n v="157.97999999999999"/>
    <n v="7.899"/>
    <n v="165.87899999999999"/>
    <m/>
    <m/>
    <m/>
    <m/>
    <n v="0"/>
    <n v="0"/>
    <m/>
    <m/>
    <m/>
    <m/>
    <m/>
  </r>
  <r>
    <d v="2026-06-13T00:00:00"/>
    <x v="0"/>
    <s v="PETROL TOYOTA COROLLA"/>
    <s v="NON"/>
    <n v="220"/>
    <s v="NO TAX"/>
    <n v="220"/>
    <m/>
    <m/>
    <m/>
    <m/>
    <n v="0"/>
    <n v="0"/>
    <m/>
    <m/>
    <m/>
    <m/>
    <m/>
  </r>
  <r>
    <d v="2026-06-13T00:00:00"/>
    <x v="0"/>
    <s v="ADVANCE TO WORKERS"/>
    <s v="NON"/>
    <m/>
    <n v="0"/>
    <n v="0"/>
    <n v="3000"/>
    <m/>
    <m/>
    <m/>
    <n v="0"/>
    <n v="0"/>
    <m/>
    <m/>
    <m/>
    <m/>
    <m/>
  </r>
  <r>
    <d v="2026-06-13T00:00:00"/>
    <x v="0"/>
    <s v="ADVANCE TO WORKERS"/>
    <s v="NON"/>
    <m/>
    <n v="0"/>
    <n v="0"/>
    <n v="500"/>
    <m/>
    <m/>
    <m/>
    <n v="0"/>
    <n v="0"/>
    <m/>
    <m/>
    <m/>
    <m/>
    <m/>
  </r>
  <r>
    <d v="2026-06-13T00:00:00"/>
    <x v="0"/>
    <s v="TEA &amp; FOOD EXPENSES"/>
    <s v="NON"/>
    <n v="10"/>
    <s v="NO TAX"/>
    <n v="10"/>
    <m/>
    <m/>
    <m/>
    <m/>
    <n v="0"/>
    <n v="0"/>
    <m/>
    <m/>
    <m/>
    <m/>
    <m/>
  </r>
  <r>
    <d v="2026-06-13T00:00:00"/>
    <x v="3"/>
    <s v="JAFZA PORTAL D."/>
    <s v="NON"/>
    <n v="4000"/>
    <s v="NO TAX"/>
    <n v="4000"/>
    <m/>
    <m/>
    <m/>
    <m/>
    <n v="0"/>
    <n v="0"/>
    <m/>
    <m/>
    <m/>
    <m/>
    <m/>
  </r>
  <r>
    <d v="2026-06-15T00:00:00"/>
    <x v="0"/>
    <s v="MACHINERY &amp; REPAIR MAINTAINCE"/>
    <s v="NON"/>
    <n v="500"/>
    <s v="NO TAX"/>
    <n v="500"/>
    <m/>
    <m/>
    <m/>
    <m/>
    <n v="0"/>
    <n v="0"/>
    <m/>
    <m/>
    <m/>
    <m/>
    <m/>
  </r>
  <r>
    <d v="2026-06-15T00:00:00"/>
    <x v="0"/>
    <s v="ADVANCE TO WORKERS"/>
    <s v="NON"/>
    <m/>
    <n v="0"/>
    <n v="0"/>
    <n v="1000"/>
    <m/>
    <m/>
    <m/>
    <n v="0"/>
    <n v="0"/>
    <m/>
    <m/>
    <m/>
    <m/>
    <m/>
  </r>
  <r>
    <d v="2026-06-15T00:00:00"/>
    <x v="0"/>
    <s v="SALARY PAYBLE"/>
    <s v="NON"/>
    <n v="1630"/>
    <s v="NO TAX"/>
    <n v="1630"/>
    <m/>
    <m/>
    <m/>
    <m/>
    <n v="0"/>
    <n v="0"/>
    <m/>
    <m/>
    <m/>
    <m/>
    <m/>
  </r>
  <r>
    <d v="2026-06-15T00:00:00"/>
    <x v="0"/>
    <s v="FACTORY EXPENSES"/>
    <s v="NON"/>
    <n v="12.5"/>
    <s v="NO TAX"/>
    <n v="12.5"/>
    <m/>
    <m/>
    <m/>
    <m/>
    <n v="0"/>
    <n v="0"/>
    <m/>
    <m/>
    <m/>
    <m/>
    <m/>
  </r>
  <r>
    <d v="2026-06-15T00:00:00"/>
    <x v="0"/>
    <s v="ADVANCE TO WORKERS"/>
    <s v="NON"/>
    <m/>
    <n v="0"/>
    <n v="0"/>
    <n v="100"/>
    <m/>
    <m/>
    <m/>
    <n v="0"/>
    <n v="0"/>
    <m/>
    <m/>
    <m/>
    <m/>
    <m/>
  </r>
  <r>
    <d v="2026-06-15T00:00:00"/>
    <x v="0"/>
    <s v="STAFF WELFARE EXPENSES"/>
    <s v="NON"/>
    <n v="58"/>
    <s v="NO TAX"/>
    <n v="58"/>
    <m/>
    <m/>
    <m/>
    <m/>
    <n v="0"/>
    <n v="0"/>
    <m/>
    <m/>
    <m/>
    <m/>
    <m/>
  </r>
  <r>
    <d v="2026-06-15T00:00:00"/>
    <x v="0"/>
    <s v="TEA &amp; FOOD EXPENSES"/>
    <s v="NON"/>
    <n v="47"/>
    <s v="NO TAX"/>
    <n v="47"/>
    <m/>
    <m/>
    <m/>
    <m/>
    <n v="0"/>
    <n v="0"/>
    <m/>
    <m/>
    <m/>
    <m/>
    <m/>
  </r>
  <r>
    <d v="2026-06-16T00:00:00"/>
    <x v="0"/>
    <s v="PETROL TOYOTA COROLLA"/>
    <s v="NON"/>
    <n v="165"/>
    <s v="NO TAX"/>
    <n v="165"/>
    <m/>
    <m/>
    <m/>
    <m/>
    <n v="0"/>
    <n v="0"/>
    <m/>
    <m/>
    <m/>
    <m/>
    <m/>
  </r>
  <r>
    <d v="2026-06-16T00:00:00"/>
    <x v="0"/>
    <s v="COURIER CHARGE"/>
    <s v="NON"/>
    <n v="111"/>
    <s v="NO TAX"/>
    <n v="111"/>
    <m/>
    <m/>
    <m/>
    <m/>
    <n v="0"/>
    <n v="0"/>
    <m/>
    <m/>
    <m/>
    <m/>
    <m/>
  </r>
  <r>
    <d v="2026-06-16T00:00:00"/>
    <x v="0"/>
    <s v="COURIER CHARGE"/>
    <s v="NON"/>
    <n v="35"/>
    <s v="NO TAX"/>
    <n v="35"/>
    <m/>
    <m/>
    <m/>
    <m/>
    <n v="0"/>
    <n v="0"/>
    <m/>
    <m/>
    <m/>
    <m/>
    <m/>
  </r>
  <r>
    <d v="2026-06-16T00:00:00"/>
    <x v="0"/>
    <s v="ADVANCE TO WORKERS"/>
    <s v="NON"/>
    <m/>
    <n v="0"/>
    <n v="0"/>
    <n v="300"/>
    <m/>
    <m/>
    <m/>
    <n v="0"/>
    <n v="0"/>
    <m/>
    <m/>
    <m/>
    <m/>
    <m/>
  </r>
  <r>
    <d v="2026-06-16T00:00:00"/>
    <x v="0"/>
    <s v="FACTORY CONSUMABLES"/>
    <s v="NON"/>
    <n v="670"/>
    <n v="33.5"/>
    <n v="703.5"/>
    <m/>
    <m/>
    <m/>
    <m/>
    <n v="0"/>
    <n v="0"/>
    <m/>
    <m/>
    <m/>
    <m/>
    <m/>
  </r>
  <r>
    <d v="2026-06-16T00:00:00"/>
    <x v="0"/>
    <s v="ADVANCE TO WORKERS"/>
    <s v="NON"/>
    <m/>
    <n v="0"/>
    <n v="0"/>
    <n v="1500"/>
    <m/>
    <m/>
    <m/>
    <n v="0"/>
    <n v="0"/>
    <m/>
    <m/>
    <m/>
    <m/>
    <m/>
  </r>
  <r>
    <d v="2026-06-16T00:00:00"/>
    <x v="0"/>
    <s v="ADVANCE TO WORKERS"/>
    <s v="NON"/>
    <m/>
    <n v="0"/>
    <n v="0"/>
    <n v="1500"/>
    <m/>
    <m/>
    <m/>
    <n v="0"/>
    <n v="0"/>
    <m/>
    <m/>
    <m/>
    <m/>
    <m/>
  </r>
  <r>
    <d v="2026-06-16T00:00:00"/>
    <x v="0"/>
    <s v="SERVICE CHARGES"/>
    <s v="NON"/>
    <n v="700"/>
    <s v="NO TAX"/>
    <n v="700"/>
    <m/>
    <m/>
    <m/>
    <m/>
    <n v="0"/>
    <n v="0"/>
    <m/>
    <m/>
    <m/>
    <m/>
    <m/>
  </r>
  <r>
    <d v="2026-06-16T00:00:00"/>
    <x v="0"/>
    <s v="FACTORY CONSUMABLES"/>
    <s v="NON"/>
    <n v="19.5"/>
    <s v="NO TAX"/>
    <n v="19.5"/>
    <m/>
    <m/>
    <m/>
    <m/>
    <n v="0"/>
    <n v="0"/>
    <m/>
    <m/>
    <m/>
    <m/>
    <m/>
  </r>
  <r>
    <d v="2026-06-16T00:00:00"/>
    <x v="0"/>
    <s v="VEHICLE REPAIR &amp; MAINT"/>
    <s v="NON"/>
    <n v="147.62"/>
    <n v="7.3810000000000002"/>
    <n v="155.001"/>
    <m/>
    <m/>
    <m/>
    <m/>
    <n v="0"/>
    <n v="0"/>
    <m/>
    <m/>
    <m/>
    <m/>
    <m/>
  </r>
  <r>
    <d v="2026-06-16T00:00:00"/>
    <x v="0"/>
    <s v="STAFF WELFARE EXPENSES"/>
    <s v="NON"/>
    <n v="386"/>
    <s v="NO TAX"/>
    <n v="386"/>
    <m/>
    <m/>
    <m/>
    <m/>
    <n v="0"/>
    <n v="0"/>
    <m/>
    <m/>
    <m/>
    <m/>
    <m/>
  </r>
  <r>
    <d v="2026-06-16T00:00:00"/>
    <x v="0"/>
    <s v="FACTORY CONSUMABLES"/>
    <s v="NON"/>
    <n v="40"/>
    <n v="2"/>
    <n v="42"/>
    <m/>
    <m/>
    <m/>
    <m/>
    <n v="0"/>
    <n v="0"/>
    <m/>
    <m/>
    <m/>
    <m/>
    <m/>
  </r>
  <r>
    <d v="2026-06-16T00:00:00"/>
    <x v="0"/>
    <s v="FACTORY CONSUMABLES"/>
    <s v="NON"/>
    <n v="80"/>
    <n v="4"/>
    <n v="84"/>
    <m/>
    <m/>
    <m/>
    <m/>
    <n v="0"/>
    <n v="0"/>
    <m/>
    <m/>
    <m/>
    <m/>
    <m/>
  </r>
  <r>
    <d v="2026-06-16T00:00:00"/>
    <x v="0"/>
    <s v="STAFF WELFARE EXPENSES"/>
    <s v="NON"/>
    <n v="14"/>
    <s v="NO TAX"/>
    <n v="14"/>
    <m/>
    <m/>
    <m/>
    <m/>
    <n v="0"/>
    <n v="0"/>
    <m/>
    <m/>
    <m/>
    <m/>
    <m/>
  </r>
  <r>
    <d v="2026-06-17T00:00:00"/>
    <x v="0"/>
    <s v="METAL TESTING CHARGES"/>
    <s v="NON"/>
    <n v="333.33333333333331"/>
    <n v="16.666666666666668"/>
    <n v="350"/>
    <m/>
    <m/>
    <m/>
    <m/>
    <n v="0"/>
    <n v="0"/>
    <m/>
    <m/>
    <m/>
    <m/>
    <m/>
  </r>
  <r>
    <d v="2026-06-17T00:00:00"/>
    <x v="7"/>
    <s v="JAMAL TRAVELS"/>
    <s v="NON"/>
    <n v="6000"/>
    <s v="NO TAX"/>
    <n v="6000"/>
    <m/>
    <m/>
    <m/>
    <m/>
    <n v="0"/>
    <n v="0"/>
    <m/>
    <m/>
    <m/>
    <m/>
    <m/>
  </r>
  <r>
    <d v="2026-06-17T00:00:00"/>
    <x v="0"/>
    <s v="COURIER CHARGE"/>
    <s v="NON"/>
    <n v="250"/>
    <s v="NO TAX"/>
    <n v="250"/>
    <m/>
    <m/>
    <m/>
    <m/>
    <n v="0"/>
    <n v="0"/>
    <m/>
    <m/>
    <m/>
    <m/>
    <m/>
  </r>
  <r>
    <d v="2026-06-17T00:00:00"/>
    <x v="0"/>
    <s v="ADVANCE TO WORKERS"/>
    <s v="NON"/>
    <m/>
    <n v="0"/>
    <n v="0"/>
    <n v="100"/>
    <m/>
    <m/>
    <m/>
    <n v="0"/>
    <n v="0"/>
    <m/>
    <m/>
    <m/>
    <m/>
    <m/>
  </r>
  <r>
    <d v="2026-06-17T00:00:00"/>
    <x v="0"/>
    <s v="MOBILE,TEL &amp; WIFI EXPENSES"/>
    <s v="NON"/>
    <n v="2354"/>
    <s v="NO TAX"/>
    <n v="2354"/>
    <m/>
    <m/>
    <m/>
    <m/>
    <n v="0"/>
    <n v="0"/>
    <m/>
    <m/>
    <m/>
    <m/>
    <m/>
  </r>
  <r>
    <d v="2026-06-17T00:00:00"/>
    <x v="0"/>
    <s v="STAFF WELFARE EXPENSES"/>
    <s v="NON"/>
    <n v="60"/>
    <s v="NO TAX"/>
    <n v="60"/>
    <m/>
    <m/>
    <m/>
    <m/>
    <n v="0"/>
    <n v="0"/>
    <m/>
    <m/>
    <m/>
    <m/>
    <m/>
  </r>
  <r>
    <d v="2026-06-17T00:00:00"/>
    <x v="0"/>
    <s v="STAFF WELFARE EXPENSES"/>
    <s v="NON"/>
    <n v="60"/>
    <s v="NO TAX"/>
    <n v="60"/>
    <m/>
    <m/>
    <m/>
    <m/>
    <n v="0"/>
    <n v="0"/>
    <m/>
    <m/>
    <m/>
    <m/>
    <m/>
  </r>
  <r>
    <d v="2026-06-17T00:00:00"/>
    <x v="0"/>
    <s v="FACTORY CONSUMABLES"/>
    <s v="NON"/>
    <m/>
    <n v="0"/>
    <n v="0"/>
    <m/>
    <m/>
    <m/>
    <m/>
    <n v="0"/>
    <n v="0"/>
    <n v="240"/>
    <m/>
    <m/>
    <m/>
    <m/>
  </r>
  <r>
    <d v="2026-06-17T00:00:00"/>
    <x v="0"/>
    <s v="ADVANCE TO WORKERS"/>
    <s v="NON"/>
    <m/>
    <n v="0"/>
    <n v="0"/>
    <n v="5000"/>
    <m/>
    <m/>
    <m/>
    <n v="0"/>
    <n v="0"/>
    <m/>
    <m/>
    <m/>
    <m/>
    <m/>
  </r>
  <r>
    <d v="2026-06-17T00:00:00"/>
    <x v="5"/>
    <s v="STATIONERY EXPENSES"/>
    <s v="NON"/>
    <n v="735"/>
    <s v="NO TAX"/>
    <n v="735"/>
    <m/>
    <m/>
    <m/>
    <m/>
    <n v="0"/>
    <n v="0"/>
    <m/>
    <m/>
    <m/>
    <m/>
    <m/>
  </r>
  <r>
    <d v="2026-06-18T00:00:00"/>
    <x v="0"/>
    <s v="AL KHAREEF RESTAURANT"/>
    <s v="NON"/>
    <n v="1500"/>
    <s v="NO TAX"/>
    <n v="1500"/>
    <m/>
    <m/>
    <m/>
    <m/>
    <n v="0"/>
    <n v="0"/>
    <m/>
    <m/>
    <m/>
    <m/>
    <m/>
  </r>
  <r>
    <d v="2026-06-18T00:00:00"/>
    <x v="0"/>
    <s v="FACTORY CONSUMABLES"/>
    <s v="NON"/>
    <n v="200"/>
    <n v="10"/>
    <n v="210"/>
    <m/>
    <m/>
    <m/>
    <m/>
    <n v="0"/>
    <n v="0"/>
    <m/>
    <m/>
    <m/>
    <m/>
    <m/>
  </r>
  <r>
    <d v="2026-06-18T00:00:00"/>
    <x v="0"/>
    <s v="FACTORY CONSUMABLES"/>
    <s v="NON"/>
    <n v="570"/>
    <n v="28.5"/>
    <n v="598.5"/>
    <m/>
    <m/>
    <m/>
    <m/>
    <n v="0"/>
    <n v="0"/>
    <m/>
    <m/>
    <m/>
    <m/>
    <m/>
  </r>
  <r>
    <d v="2026-06-18T00:00:00"/>
    <x v="0"/>
    <s v="FACTORY CONSUMABLES"/>
    <s v="NON"/>
    <n v="40"/>
    <s v="NO TAX"/>
    <n v="40"/>
    <m/>
    <m/>
    <m/>
    <m/>
    <n v="0"/>
    <n v="0"/>
    <m/>
    <m/>
    <m/>
    <m/>
    <m/>
  </r>
  <r>
    <d v="2026-06-18T00:00:00"/>
    <x v="0"/>
    <s v="ADVANCE TO WORKERS"/>
    <s v="NON"/>
    <m/>
    <n v="0"/>
    <n v="0"/>
    <n v="200"/>
    <m/>
    <m/>
    <m/>
    <n v="0"/>
    <n v="0"/>
    <m/>
    <m/>
    <m/>
    <m/>
    <m/>
  </r>
  <r>
    <d v="2026-06-18T00:00:00"/>
    <x v="0"/>
    <s v="ADVANCE TO WORKERS"/>
    <s v="NON"/>
    <m/>
    <n v="0"/>
    <n v="0"/>
    <n v="100"/>
    <m/>
    <m/>
    <m/>
    <n v="0"/>
    <n v="0"/>
    <m/>
    <m/>
    <m/>
    <m/>
    <m/>
  </r>
  <r>
    <d v="2026-06-18T00:00:00"/>
    <x v="0"/>
    <s v="LOCAL TRAVILING EXPENSES"/>
    <s v="NON"/>
    <n v="15"/>
    <s v="NO TAX"/>
    <n v="15"/>
    <m/>
    <m/>
    <m/>
    <m/>
    <n v="0"/>
    <n v="0"/>
    <m/>
    <m/>
    <m/>
    <m/>
    <m/>
  </r>
  <r>
    <d v="2026-06-18T00:00:00"/>
    <x v="0"/>
    <s v="LOCAL TRAVILING EXPENSES"/>
    <s v="NON"/>
    <n v="96"/>
    <s v="NO TAX"/>
    <n v="96"/>
    <m/>
    <m/>
    <m/>
    <m/>
    <n v="0"/>
    <n v="0"/>
    <m/>
    <m/>
    <m/>
    <m/>
    <m/>
  </r>
  <r>
    <d v="2026-06-18T00:00:00"/>
    <x v="0"/>
    <s v="ADVANCE TO WORKERS"/>
    <s v="NON"/>
    <m/>
    <n v="0"/>
    <n v="0"/>
    <n v="200"/>
    <m/>
    <m/>
    <m/>
    <n v="0"/>
    <n v="0"/>
    <m/>
    <m/>
    <m/>
    <m/>
    <m/>
  </r>
  <r>
    <d v="2026-06-18T00:00:00"/>
    <x v="3"/>
    <s v="URD MACHINERY &amp; EQUIPMENT"/>
    <s v="NON"/>
    <n v="196"/>
    <s v="NO TAX"/>
    <n v="196"/>
    <m/>
    <m/>
    <m/>
    <m/>
    <n v="0"/>
    <n v="0"/>
    <m/>
    <m/>
    <m/>
    <m/>
    <m/>
  </r>
  <r>
    <d v="2026-06-19T00:00:00"/>
    <x v="0"/>
    <s v="STAFF WELFARE EXPENSES"/>
    <s v="NON"/>
    <n v="61"/>
    <s v="NO TAX"/>
    <n v="61"/>
    <m/>
    <m/>
    <m/>
    <m/>
    <n v="0"/>
    <n v="0"/>
    <m/>
    <m/>
    <m/>
    <m/>
    <m/>
  </r>
  <r>
    <d v="2026-06-19T00:00:00"/>
    <x v="0"/>
    <s v="FACTORY CONSUMABLES"/>
    <s v="NON"/>
    <n v="220"/>
    <n v="11"/>
    <n v="231"/>
    <m/>
    <m/>
    <m/>
    <m/>
    <n v="0"/>
    <n v="0"/>
    <m/>
    <m/>
    <m/>
    <m/>
    <m/>
  </r>
  <r>
    <d v="2026-06-19T00:00:00"/>
    <x v="0"/>
    <s v="PETROL TOYOTA COROLLA"/>
    <s v="NON"/>
    <n v="160"/>
    <s v="NO TAX"/>
    <n v="160"/>
    <m/>
    <m/>
    <m/>
    <m/>
    <n v="0"/>
    <n v="0"/>
    <m/>
    <m/>
    <m/>
    <m/>
    <m/>
  </r>
  <r>
    <d v="2026-06-19T00:00:00"/>
    <x v="0"/>
    <s v="FACTORY CONSUMABLES"/>
    <s v="NON"/>
    <n v="30"/>
    <n v="1.5"/>
    <n v="31.5"/>
    <m/>
    <m/>
    <m/>
    <m/>
    <n v="0"/>
    <n v="0"/>
    <m/>
    <m/>
    <m/>
    <m/>
    <m/>
  </r>
  <r>
    <d v="2026-06-19T00:00:00"/>
    <x v="0"/>
    <s v="FACTORY CONSUMABLES"/>
    <s v="NON"/>
    <n v="156"/>
    <s v="NO TAX"/>
    <n v="156"/>
    <m/>
    <m/>
    <m/>
    <m/>
    <n v="0"/>
    <n v="0"/>
    <m/>
    <m/>
    <m/>
    <m/>
    <m/>
  </r>
  <r>
    <d v="2026-06-19T00:00:00"/>
    <x v="0"/>
    <s v="STAFF WELFARE EXPENSES"/>
    <s v="NON"/>
    <n v="60"/>
    <s v="NO TAX"/>
    <n v="60"/>
    <m/>
    <m/>
    <m/>
    <m/>
    <n v="0"/>
    <n v="0"/>
    <m/>
    <m/>
    <m/>
    <m/>
    <m/>
  </r>
  <r>
    <d v="2026-06-19T00:00:00"/>
    <x v="0"/>
    <s v="ADVANCE TO WORKERS"/>
    <s v="NON"/>
    <m/>
    <n v="0"/>
    <n v="0"/>
    <n v="1000"/>
    <m/>
    <m/>
    <m/>
    <n v="0"/>
    <n v="0"/>
    <m/>
    <m/>
    <m/>
    <m/>
    <m/>
  </r>
  <r>
    <d v="2026-06-19T00:00:00"/>
    <x v="3"/>
    <s v="SALIK RECHARGE FOR CAR"/>
    <s v="NON"/>
    <n v="500"/>
    <s v="NO TAX"/>
    <n v="500"/>
    <m/>
    <m/>
    <m/>
    <m/>
    <n v="0"/>
    <n v="0"/>
    <m/>
    <m/>
    <m/>
    <m/>
    <m/>
  </r>
  <r>
    <d v="2026-06-19T00:00:00"/>
    <x v="6"/>
    <s v="URD MACHINERY &amp; EQUIPMENT"/>
    <s v="NON"/>
    <n v="15388"/>
    <s v="NO TAX"/>
    <n v="15388"/>
    <m/>
    <m/>
    <m/>
    <m/>
    <n v="0"/>
    <n v="0"/>
    <m/>
    <m/>
    <m/>
    <m/>
    <m/>
  </r>
  <r>
    <d v="2026-06-20T00:00:00"/>
    <x v="0"/>
    <s v="FACTORY CONSUMABLES"/>
    <s v="NON"/>
    <n v="5520.1"/>
    <n v="276.00500000000005"/>
    <n v="5796.1050000000005"/>
    <m/>
    <m/>
    <m/>
    <m/>
    <n v="0"/>
    <n v="0"/>
    <m/>
    <m/>
    <m/>
    <m/>
    <m/>
  </r>
  <r>
    <d v="2026-06-20T00:00:00"/>
    <x v="0"/>
    <s v="ADVANCE TO WORKERS"/>
    <s v="NON"/>
    <m/>
    <n v="0"/>
    <n v="0"/>
    <n v="0"/>
    <m/>
    <m/>
    <m/>
    <n v="0"/>
    <n v="0"/>
    <m/>
    <m/>
    <m/>
    <m/>
    <m/>
  </r>
  <r>
    <d v="2026-06-20T00:00:00"/>
    <x v="0"/>
    <s v="ADVANCE TO WORKERS"/>
    <s v="NON"/>
    <m/>
    <n v="0"/>
    <n v="0"/>
    <n v="200"/>
    <m/>
    <m/>
    <m/>
    <n v="0"/>
    <n v="0"/>
    <m/>
    <m/>
    <m/>
    <m/>
    <m/>
  </r>
  <r>
    <d v="2026-06-20T00:00:00"/>
    <x v="0"/>
    <s v="ADVANCE TO WORKERS"/>
    <s v="NON"/>
    <m/>
    <n v="0"/>
    <n v="0"/>
    <n v="500"/>
    <m/>
    <m/>
    <m/>
    <n v="0"/>
    <n v="0"/>
    <m/>
    <m/>
    <m/>
    <m/>
    <m/>
  </r>
  <r>
    <d v="2026-06-20T00:00:00"/>
    <x v="0"/>
    <s v="PERSONAL EXP FAZEL BHAI"/>
    <s v="NON"/>
    <m/>
    <n v="0"/>
    <n v="0"/>
    <m/>
    <m/>
    <n v="2000"/>
    <m/>
    <n v="0"/>
    <n v="0"/>
    <m/>
    <m/>
    <m/>
    <m/>
    <m/>
  </r>
  <r>
    <d v="2026-06-20T00:00:00"/>
    <x v="0"/>
    <s v="STAFF WELFARE EXPENSES"/>
    <s v="NON"/>
    <n v="60"/>
    <s v="NO TAX"/>
    <n v="60"/>
    <m/>
    <m/>
    <m/>
    <m/>
    <n v="0"/>
    <n v="0"/>
    <m/>
    <m/>
    <m/>
    <m/>
    <m/>
  </r>
  <r>
    <d v="2026-06-20T00:00:00"/>
    <x v="0"/>
    <s v="ADVANCE TO WORKERS"/>
    <s v="NON"/>
    <m/>
    <n v="0"/>
    <n v="0"/>
    <n v="1100"/>
    <m/>
    <m/>
    <m/>
    <n v="0"/>
    <n v="0"/>
    <m/>
    <m/>
    <m/>
    <m/>
    <m/>
  </r>
  <r>
    <d v="2026-06-20T00:00:00"/>
    <x v="0"/>
    <s v="ADVANCE TO WORKERS"/>
    <s v="NON"/>
    <m/>
    <n v="0"/>
    <n v="0"/>
    <n v="50"/>
    <m/>
    <m/>
    <m/>
    <n v="0"/>
    <n v="0"/>
    <m/>
    <m/>
    <m/>
    <m/>
    <m/>
  </r>
  <r>
    <d v="2026-06-20T00:00:00"/>
    <x v="0"/>
    <s v="AIR FLIGHT TRAVELLING EXPENSES"/>
    <s v="NON"/>
    <n v="750"/>
    <s v="NO TAX"/>
    <n v="750"/>
    <m/>
    <m/>
    <m/>
    <m/>
    <n v="0"/>
    <n v="0"/>
    <m/>
    <m/>
    <m/>
    <m/>
    <m/>
  </r>
  <r>
    <d v="2026-06-20T00:00:00"/>
    <x v="3"/>
    <s v="ADVANCE TO WORKERS"/>
    <s v="NON"/>
    <m/>
    <n v="0"/>
    <n v="0"/>
    <n v="888.5"/>
    <m/>
    <m/>
    <m/>
    <n v="0"/>
    <n v="0"/>
    <m/>
    <m/>
    <m/>
    <m/>
    <m/>
  </r>
  <r>
    <d v="2026-06-22T00:00:00"/>
    <x v="0"/>
    <s v="MACHINERY &amp; REPAIR MAINTAINCE"/>
    <s v="NON"/>
    <n v="500"/>
    <s v="NO TAX"/>
    <n v="500"/>
    <m/>
    <m/>
    <m/>
    <m/>
    <n v="0"/>
    <n v="0"/>
    <m/>
    <m/>
    <m/>
    <m/>
    <m/>
  </r>
  <r>
    <d v="2026-06-22T00:00:00"/>
    <x v="0"/>
    <s v="MACHINERY &amp; REPAIR MAINTAINCE"/>
    <s v="NON"/>
    <n v="150"/>
    <s v="NO TAX"/>
    <n v="150"/>
    <m/>
    <m/>
    <m/>
    <m/>
    <n v="0"/>
    <n v="0"/>
    <m/>
    <m/>
    <m/>
    <m/>
    <m/>
  </r>
  <r>
    <d v="2026-06-22T00:00:00"/>
    <x v="0"/>
    <s v="FACTORY CONSUMABLES"/>
    <s v="NON"/>
    <n v="142.85714285714286"/>
    <n v="7.1428571428571432"/>
    <n v="150"/>
    <m/>
    <m/>
    <m/>
    <m/>
    <n v="0"/>
    <n v="0"/>
    <m/>
    <m/>
    <m/>
    <m/>
    <m/>
  </r>
  <r>
    <d v="2026-06-22T00:00:00"/>
    <x v="0"/>
    <s v="ADVANCE TO WORKERS"/>
    <s v="NON"/>
    <m/>
    <n v="0"/>
    <n v="0"/>
    <n v="100"/>
    <m/>
    <m/>
    <m/>
    <n v="0"/>
    <n v="0"/>
    <m/>
    <m/>
    <m/>
    <m/>
    <m/>
  </r>
  <r>
    <d v="2026-06-22T00:00:00"/>
    <x v="0"/>
    <s v="PETROL TOYOTA COROLLA"/>
    <s v="NON"/>
    <n v="160"/>
    <s v="NO TAX"/>
    <n v="160"/>
    <m/>
    <m/>
    <m/>
    <m/>
    <n v="0"/>
    <n v="0"/>
    <m/>
    <m/>
    <m/>
    <m/>
    <m/>
  </r>
  <r>
    <d v="2026-06-22T00:00:00"/>
    <x v="0"/>
    <s v="TEA &amp; FOOD EXPENSES"/>
    <s v="NON"/>
    <n v="44"/>
    <s v="NO TAX"/>
    <n v="44"/>
    <m/>
    <m/>
    <m/>
    <m/>
    <n v="0"/>
    <n v="0"/>
    <m/>
    <m/>
    <m/>
    <m/>
    <m/>
  </r>
  <r>
    <d v="2026-06-22T00:00:00"/>
    <x v="0"/>
    <s v="FACTORY EXPENSES"/>
    <s v="NON"/>
    <n v="10"/>
    <n v="0.5"/>
    <n v="10.5"/>
    <m/>
    <m/>
    <m/>
    <m/>
    <n v="0"/>
    <n v="0"/>
    <m/>
    <m/>
    <m/>
    <m/>
    <m/>
  </r>
  <r>
    <d v="2026-06-22T00:00:00"/>
    <x v="0"/>
    <s v="FACTORY CONSUMABLES"/>
    <s v="NON"/>
    <n v="40"/>
    <n v="2"/>
    <n v="42"/>
    <m/>
    <m/>
    <m/>
    <m/>
    <n v="0"/>
    <n v="0"/>
    <m/>
    <m/>
    <m/>
    <m/>
    <m/>
  </r>
  <r>
    <d v="2026-06-22T00:00:00"/>
    <x v="0"/>
    <s v="FACTORY CONSUMABLES"/>
    <s v="NON"/>
    <n v="13"/>
    <s v="NO TAX"/>
    <n v="13"/>
    <m/>
    <m/>
    <m/>
    <m/>
    <n v="0"/>
    <n v="0"/>
    <m/>
    <m/>
    <m/>
    <m/>
    <m/>
  </r>
  <r>
    <d v="2026-06-22T00:00:00"/>
    <x v="0"/>
    <s v="FACTORY EXPENSES"/>
    <s v="NON"/>
    <n v="13.75"/>
    <s v="NO TAX"/>
    <n v="13.75"/>
    <m/>
    <m/>
    <m/>
    <m/>
    <n v="0"/>
    <n v="0"/>
    <m/>
    <m/>
    <m/>
    <m/>
    <m/>
  </r>
  <r>
    <d v="2026-06-22T00:00:00"/>
    <x v="0"/>
    <s v="PERSONAL EXP ZAHEER BHAI"/>
    <s v="NON"/>
    <m/>
    <n v="0"/>
    <n v="0"/>
    <m/>
    <m/>
    <n v="2000"/>
    <m/>
    <n v="0"/>
    <n v="0"/>
    <m/>
    <m/>
    <m/>
    <m/>
    <m/>
  </r>
  <r>
    <d v="2026-06-22T00:00:00"/>
    <x v="0"/>
    <s v="STAFF WELFARE EXPENSES"/>
    <s v="NON"/>
    <n v="630"/>
    <s v="NO TAX"/>
    <n v="630"/>
    <m/>
    <m/>
    <m/>
    <m/>
    <n v="0"/>
    <n v="0"/>
    <m/>
    <m/>
    <m/>
    <m/>
    <m/>
  </r>
  <r>
    <d v="2026-06-22T00:00:00"/>
    <x v="0"/>
    <s v="STAFF WELFARE EXPENSES"/>
    <s v="NON"/>
    <n v="100"/>
    <s v="NO TAX"/>
    <n v="100"/>
    <m/>
    <m/>
    <m/>
    <m/>
    <n v="0"/>
    <n v="0"/>
    <m/>
    <m/>
    <m/>
    <m/>
    <m/>
  </r>
  <r>
    <d v="2026-06-22T00:00:00"/>
    <x v="1"/>
    <s v="ADVANCE TO WORKERS"/>
    <s v="NON"/>
    <m/>
    <n v="0"/>
    <n v="0"/>
    <n v="881.55"/>
    <m/>
    <m/>
    <m/>
    <n v="0"/>
    <n v="0"/>
    <m/>
    <m/>
    <m/>
    <m/>
    <m/>
  </r>
  <r>
    <d v="2026-06-22T00:00:00"/>
    <x v="3"/>
    <s v="ADVANCE TO WORKERS"/>
    <s v="NON"/>
    <m/>
    <n v="0"/>
    <n v="0"/>
    <n v="1763.11"/>
    <m/>
    <m/>
    <m/>
    <n v="0"/>
    <n v="0"/>
    <m/>
    <m/>
    <m/>
    <m/>
    <m/>
  </r>
  <r>
    <d v="2026-06-22T00:00:00"/>
    <x v="8"/>
    <s v="ADVANCE TO WORKERS"/>
    <s v="NON"/>
    <m/>
    <n v="0"/>
    <n v="0"/>
    <n v="600"/>
    <m/>
    <m/>
    <m/>
    <n v="0"/>
    <n v="0"/>
    <m/>
    <m/>
    <m/>
    <m/>
    <m/>
  </r>
  <r>
    <d v="2026-06-22T00:00:00"/>
    <x v="0"/>
    <s v="FACTORY EXPENSES"/>
    <s v="NON"/>
    <m/>
    <n v="0"/>
    <n v="0"/>
    <m/>
    <m/>
    <m/>
    <m/>
    <n v="0"/>
    <n v="0"/>
    <n v="430"/>
    <m/>
    <m/>
    <m/>
    <m/>
  </r>
  <r>
    <d v="2026-06-22T00:00:00"/>
    <x v="0"/>
    <s v="FACTORY CONSUMABLES"/>
    <s v="NON"/>
    <m/>
    <n v="0"/>
    <n v="0"/>
    <m/>
    <m/>
    <m/>
    <m/>
    <n v="0"/>
    <n v="0"/>
    <n v="900"/>
    <m/>
    <m/>
    <m/>
    <m/>
  </r>
  <r>
    <d v="2026-06-23T00:00:00"/>
    <x v="0"/>
    <s v="AL KHAREEF RESTAURANT"/>
    <s v="NON"/>
    <n v="1500"/>
    <s v="NO TAX"/>
    <n v="1500"/>
    <m/>
    <m/>
    <m/>
    <m/>
    <n v="0"/>
    <n v="0"/>
    <m/>
    <m/>
    <m/>
    <m/>
    <m/>
  </r>
  <r>
    <d v="2026-06-23T00:00:00"/>
    <x v="0"/>
    <s v="FACTORY CONSUMABLES"/>
    <s v="NON"/>
    <n v="904.77"/>
    <n v="45.238500000000002"/>
    <n v="950.00850000000003"/>
    <m/>
    <m/>
    <m/>
    <m/>
    <n v="0"/>
    <n v="0"/>
    <m/>
    <m/>
    <m/>
    <m/>
    <m/>
  </r>
  <r>
    <d v="2026-06-23T00:00:00"/>
    <x v="0"/>
    <s v="FACTORY CONSUMABLES"/>
    <s v="NON"/>
    <n v="1161"/>
    <n v="58.050000000000004"/>
    <n v="1219.05"/>
    <m/>
    <m/>
    <m/>
    <m/>
    <n v="0"/>
    <n v="0"/>
    <m/>
    <m/>
    <m/>
    <m/>
    <m/>
  </r>
  <r>
    <d v="2026-06-23T00:00:00"/>
    <x v="0"/>
    <s v="SALIK RECHARGE FOR CAR"/>
    <s v="NON"/>
    <n v="500"/>
    <s v="NO TAX"/>
    <n v="500"/>
    <m/>
    <m/>
    <m/>
    <m/>
    <n v="0"/>
    <n v="0"/>
    <m/>
    <m/>
    <m/>
    <m/>
    <m/>
  </r>
  <r>
    <d v="2026-06-24T00:00:00"/>
    <x v="0"/>
    <s v="FACTORY CONSUMABLES"/>
    <s v="NON"/>
    <n v="560"/>
    <n v="28"/>
    <n v="588"/>
    <m/>
    <m/>
    <m/>
    <m/>
    <n v="0"/>
    <n v="0"/>
    <m/>
    <m/>
    <m/>
    <m/>
    <m/>
  </r>
  <r>
    <d v="2026-06-24T00:00:00"/>
    <x v="0"/>
    <s v="STAFF WELFARE EXPENSES"/>
    <s v="NON"/>
    <n v="14"/>
    <s v="NO TAX"/>
    <n v="14"/>
    <m/>
    <m/>
    <m/>
    <m/>
    <n v="0"/>
    <n v="0"/>
    <m/>
    <m/>
    <m/>
    <m/>
    <m/>
  </r>
  <r>
    <d v="2026-06-24T00:00:00"/>
    <x v="0"/>
    <s v="MACHINERY &amp; REPAIR MAINTAINCE"/>
    <s v="NON"/>
    <n v="1650"/>
    <s v="NO TAX"/>
    <n v="1650"/>
    <m/>
    <m/>
    <m/>
    <m/>
    <n v="0"/>
    <n v="0"/>
    <m/>
    <m/>
    <m/>
    <m/>
    <m/>
  </r>
  <r>
    <d v="2026-06-24T00:00:00"/>
    <x v="0"/>
    <s v="ADVANCE TO WORKERS"/>
    <s v="NON"/>
    <m/>
    <n v="0"/>
    <n v="0"/>
    <n v="14200"/>
    <m/>
    <m/>
    <m/>
    <n v="0"/>
    <n v="0"/>
    <m/>
    <m/>
    <m/>
    <m/>
    <m/>
  </r>
  <r>
    <d v="2026-06-24T00:00:00"/>
    <x v="0"/>
    <s v="FACTORY EXPENSES"/>
    <s v="NON"/>
    <n v="80"/>
    <s v="NO TAX"/>
    <n v="80"/>
    <m/>
    <m/>
    <m/>
    <m/>
    <n v="0"/>
    <n v="0"/>
    <m/>
    <m/>
    <m/>
    <m/>
    <m/>
  </r>
  <r>
    <d v="2026-06-24T00:00:00"/>
    <x v="0"/>
    <s v="PETROL TOYOTA COROLLA"/>
    <s v="NON"/>
    <n v="150"/>
    <s v="NO TAX"/>
    <n v="150"/>
    <m/>
    <m/>
    <m/>
    <m/>
    <n v="0"/>
    <n v="0"/>
    <m/>
    <m/>
    <m/>
    <m/>
    <m/>
  </r>
  <r>
    <d v="2026-06-24T00:00:00"/>
    <x v="0"/>
    <s v="FACTORY CONSUMABLES"/>
    <s v="NON"/>
    <n v="42"/>
    <s v="NO TAX"/>
    <n v="42"/>
    <m/>
    <m/>
    <m/>
    <m/>
    <n v="0"/>
    <n v="0"/>
    <m/>
    <m/>
    <m/>
    <m/>
    <m/>
  </r>
  <r>
    <d v="2026-06-24T00:00:00"/>
    <x v="0"/>
    <s v="FACTORY CONSUMABLES"/>
    <s v="NON"/>
    <n v="120"/>
    <n v="6"/>
    <n v="126"/>
    <m/>
    <m/>
    <m/>
    <m/>
    <n v="0"/>
    <n v="0"/>
    <m/>
    <m/>
    <m/>
    <m/>
    <m/>
  </r>
  <r>
    <d v="2026-06-24T00:00:00"/>
    <x v="0"/>
    <s v="HOSPITAL &amp; MEDICAL EXP'S"/>
    <s v="NON"/>
    <n v="44"/>
    <s v="NO TAX"/>
    <n v="44"/>
    <m/>
    <m/>
    <m/>
    <m/>
    <n v="0"/>
    <n v="0"/>
    <m/>
    <m/>
    <m/>
    <m/>
    <m/>
  </r>
  <r>
    <d v="2026-06-24T00:00:00"/>
    <x v="3"/>
    <s v="MACHINERY"/>
    <s v="NON"/>
    <m/>
    <n v="0"/>
    <n v="0"/>
    <m/>
    <m/>
    <m/>
    <n v="900"/>
    <n v="45"/>
    <n v="945"/>
    <m/>
    <m/>
    <m/>
    <m/>
    <m/>
  </r>
  <r>
    <d v="2026-06-25T00:00:00"/>
    <x v="0"/>
    <s v="FACTORY CONSUMABLES"/>
    <s v="NON"/>
    <n v="200"/>
    <n v="10"/>
    <n v="210"/>
    <m/>
    <m/>
    <m/>
    <m/>
    <n v="0"/>
    <n v="0"/>
    <m/>
    <m/>
    <m/>
    <m/>
    <m/>
  </r>
  <r>
    <d v="2026-06-25T00:00:00"/>
    <x v="0"/>
    <s v="FACTORY CONSUMABLES"/>
    <s v="NON"/>
    <n v="730"/>
    <s v="NO TAX"/>
    <n v="730"/>
    <m/>
    <m/>
    <m/>
    <m/>
    <n v="0"/>
    <n v="0"/>
    <m/>
    <m/>
    <m/>
    <m/>
    <m/>
  </r>
  <r>
    <d v="2026-06-25T00:00:00"/>
    <x v="0"/>
    <s v="FACTORY CONSUMABLES"/>
    <s v="NON"/>
    <n v="506"/>
    <s v="NO TAX"/>
    <n v="506"/>
    <m/>
    <m/>
    <m/>
    <m/>
    <n v="0"/>
    <n v="0"/>
    <m/>
    <m/>
    <m/>
    <m/>
    <m/>
  </r>
  <r>
    <d v="2026-06-25T00:00:00"/>
    <x v="0"/>
    <s v="SERVICE CHARGES"/>
    <s v="NON"/>
    <n v="50"/>
    <s v="NO TAX"/>
    <n v="50"/>
    <m/>
    <m/>
    <m/>
    <m/>
    <n v="0"/>
    <n v="0"/>
    <m/>
    <m/>
    <m/>
    <m/>
    <m/>
  </r>
  <r>
    <d v="2026-06-25T00:00:00"/>
    <x v="0"/>
    <s v="ADVANCE TO WORKERS"/>
    <s v="NON"/>
    <m/>
    <n v="0"/>
    <n v="0"/>
    <n v="2000"/>
    <m/>
    <m/>
    <m/>
    <n v="0"/>
    <n v="0"/>
    <m/>
    <m/>
    <m/>
    <m/>
    <m/>
  </r>
  <r>
    <d v="2026-06-25T00:00:00"/>
    <x v="0"/>
    <s v="STAFF WELFARE EXPENSES"/>
    <s v="NON"/>
    <n v="60"/>
    <s v="NO TAX"/>
    <n v="60"/>
    <m/>
    <m/>
    <m/>
    <m/>
    <n v="0"/>
    <n v="0"/>
    <m/>
    <m/>
    <m/>
    <m/>
    <m/>
  </r>
  <r>
    <d v="2026-06-25T00:00:00"/>
    <x v="0"/>
    <s v="FACTORY EXPENSES"/>
    <s v="NON"/>
    <n v="100"/>
    <s v="NO TAX"/>
    <n v="100"/>
    <m/>
    <m/>
    <m/>
    <m/>
    <n v="0"/>
    <n v="0"/>
    <m/>
    <m/>
    <m/>
    <m/>
    <m/>
  </r>
  <r>
    <d v="2026-06-25T00:00:00"/>
    <x v="0"/>
    <s v="STAFF WELFARE EXPENSES"/>
    <s v="NON"/>
    <n v="60"/>
    <s v="NO TAX"/>
    <n v="60"/>
    <m/>
    <m/>
    <m/>
    <m/>
    <n v="0"/>
    <n v="0"/>
    <m/>
    <m/>
    <m/>
    <m/>
    <m/>
  </r>
  <r>
    <d v="2026-06-26T00:00:00"/>
    <x v="0"/>
    <s v="STAFF WELFARE EXPENSES"/>
    <s v="NON"/>
    <n v="36"/>
    <s v="NO TAX"/>
    <n v="36"/>
    <m/>
    <m/>
    <m/>
    <m/>
    <n v="0"/>
    <n v="0"/>
    <m/>
    <m/>
    <m/>
    <m/>
    <m/>
  </r>
  <r>
    <d v="2026-06-26T00:00:00"/>
    <x v="0"/>
    <s v="FACTORY CONSUMABLES"/>
    <s v="NON"/>
    <n v="1500"/>
    <n v="75"/>
    <n v="1575"/>
    <m/>
    <m/>
    <m/>
    <m/>
    <n v="0"/>
    <n v="0"/>
    <m/>
    <m/>
    <m/>
    <m/>
    <m/>
  </r>
  <r>
    <d v="2026-06-26T00:00:00"/>
    <x v="0"/>
    <s v="STAFF WELFARE EXPENSES"/>
    <s v="NON"/>
    <n v="60"/>
    <s v="NO TAX"/>
    <n v="60"/>
    <m/>
    <m/>
    <m/>
    <m/>
    <n v="0"/>
    <n v="0"/>
    <m/>
    <m/>
    <m/>
    <m/>
    <m/>
  </r>
  <r>
    <d v="2026-06-26T00:00:00"/>
    <x v="0"/>
    <s v="ADVANCE TO WORKERS"/>
    <s v="NON"/>
    <m/>
    <n v="0"/>
    <n v="0"/>
    <n v="1000"/>
    <m/>
    <m/>
    <m/>
    <n v="0"/>
    <n v="0"/>
    <m/>
    <m/>
    <m/>
    <m/>
    <m/>
  </r>
  <r>
    <d v="2026-06-26T00:00:00"/>
    <x v="0"/>
    <s v="FACTORY EXPENSES"/>
    <s v="NON"/>
    <n v="42"/>
    <s v="NO TAX"/>
    <n v="42"/>
    <m/>
    <m/>
    <m/>
    <m/>
    <n v="0"/>
    <n v="0"/>
    <m/>
    <m/>
    <m/>
    <m/>
    <m/>
  </r>
  <r>
    <d v="2026-06-26T00:00:00"/>
    <x v="0"/>
    <s v="STAFF WELFARE EXPENSES"/>
    <s v="NON"/>
    <n v="210"/>
    <s v="NO TAX"/>
    <n v="210"/>
    <m/>
    <m/>
    <m/>
    <m/>
    <n v="0"/>
    <n v="0"/>
    <m/>
    <m/>
    <m/>
    <m/>
    <m/>
  </r>
  <r>
    <d v="2026-06-26T00:00:00"/>
    <x v="0"/>
    <s v="FACTORY CONSUMABLES"/>
    <s v="NON"/>
    <n v="6"/>
    <n v="0.30000000000000004"/>
    <n v="6.3"/>
    <m/>
    <m/>
    <m/>
    <m/>
    <n v="0"/>
    <n v="0"/>
    <m/>
    <m/>
    <m/>
    <m/>
    <m/>
  </r>
  <r>
    <d v="2026-06-26T00:00:00"/>
    <x v="0"/>
    <s v="STAFF WELFARE EXPENSES"/>
    <s v="NON"/>
    <n v="60"/>
    <s v="NO TAX"/>
    <n v="60"/>
    <m/>
    <m/>
    <m/>
    <m/>
    <n v="0"/>
    <n v="0"/>
    <m/>
    <m/>
    <m/>
    <m/>
    <m/>
  </r>
  <r>
    <d v="2026-06-26T00:00:00"/>
    <x v="0"/>
    <s v="PERSONAL EXP FAZEL BHAI"/>
    <s v="NON"/>
    <m/>
    <n v="0"/>
    <n v="0"/>
    <m/>
    <m/>
    <n v="3000"/>
    <m/>
    <n v="0"/>
    <n v="0"/>
    <m/>
    <m/>
    <m/>
    <m/>
    <m/>
  </r>
  <r>
    <d v="2026-06-26T00:00:00"/>
    <x v="0"/>
    <s v="ADVANCE TO WORKERS"/>
    <s v="NON"/>
    <m/>
    <n v="0"/>
    <n v="0"/>
    <n v="100"/>
    <m/>
    <m/>
    <m/>
    <n v="0"/>
    <n v="0"/>
    <m/>
    <m/>
    <m/>
    <m/>
    <m/>
  </r>
  <r>
    <d v="2026-06-27T00:00:00"/>
    <x v="0"/>
    <s v="COURIER CHARGE"/>
    <s v="NON"/>
    <n v="15"/>
    <s v="NO TAX"/>
    <n v="15"/>
    <m/>
    <m/>
    <m/>
    <m/>
    <n v="0"/>
    <n v="0"/>
    <m/>
    <m/>
    <m/>
    <m/>
    <m/>
  </r>
  <r>
    <d v="2026-06-27T00:00:00"/>
    <x v="0"/>
    <s v="AL KHAREEF RESTAURANT"/>
    <s v="NON"/>
    <n v="1000"/>
    <s v="NO TAX"/>
    <n v="1000"/>
    <m/>
    <m/>
    <m/>
    <m/>
    <n v="0"/>
    <n v="0"/>
    <m/>
    <m/>
    <m/>
    <m/>
    <m/>
  </r>
  <r>
    <d v="2026-06-27T00:00:00"/>
    <x v="0"/>
    <s v="TEA &amp; FOOD EXPENSES"/>
    <s v="NON"/>
    <n v="85"/>
    <s v="NO TAX"/>
    <n v="85"/>
    <m/>
    <m/>
    <m/>
    <m/>
    <n v="0"/>
    <n v="0"/>
    <m/>
    <m/>
    <m/>
    <m/>
    <m/>
  </r>
  <r>
    <d v="2026-06-27T00:00:00"/>
    <x v="0"/>
    <s v="FACTORY CONSUMABLES"/>
    <s v="NON"/>
    <n v="6000"/>
    <n v="300"/>
    <n v="6300"/>
    <m/>
    <m/>
    <m/>
    <m/>
    <n v="0"/>
    <n v="0"/>
    <m/>
    <m/>
    <m/>
    <m/>
    <m/>
  </r>
  <r>
    <d v="2026-06-27T00:00:00"/>
    <x v="0"/>
    <s v="STAFF WELFARE EXPENSES"/>
    <s v="NON"/>
    <n v="15"/>
    <s v="NO TAX"/>
    <n v="15"/>
    <m/>
    <m/>
    <m/>
    <m/>
    <n v="0"/>
    <n v="0"/>
    <m/>
    <m/>
    <m/>
    <m/>
    <m/>
  </r>
  <r>
    <d v="2026-06-27T00:00:00"/>
    <x v="0"/>
    <s v="STAFF WELFARE EXPENSES"/>
    <s v="NON"/>
    <n v="60"/>
    <s v="NO TAX"/>
    <n v="60"/>
    <m/>
    <m/>
    <m/>
    <m/>
    <n v="0"/>
    <n v="0"/>
    <m/>
    <m/>
    <m/>
    <m/>
    <m/>
  </r>
  <r>
    <d v="2026-06-27T00:00:00"/>
    <x v="0"/>
    <s v="ADVANCE TO WORKERS"/>
    <s v="NON"/>
    <m/>
    <n v="0"/>
    <n v="0"/>
    <n v="1050"/>
    <m/>
    <m/>
    <m/>
    <n v="0"/>
    <n v="0"/>
    <m/>
    <m/>
    <m/>
    <m/>
    <m/>
  </r>
  <r>
    <d v="2026-06-27T00:00:00"/>
    <x v="0"/>
    <s v="PETROL TOYOTA COROLLA"/>
    <s v="NON"/>
    <n v="160"/>
    <s v="NO TAX"/>
    <n v="160"/>
    <m/>
    <m/>
    <m/>
    <m/>
    <n v="0"/>
    <n v="0"/>
    <m/>
    <m/>
    <m/>
    <m/>
    <m/>
  </r>
  <r>
    <d v="2026-06-27T00:00:00"/>
    <x v="0"/>
    <s v="STATIONERY EXPENSES"/>
    <s v="NON"/>
    <n v="20.48"/>
    <n v="1.024"/>
    <n v="21.504000000000001"/>
    <m/>
    <m/>
    <m/>
    <m/>
    <n v="0"/>
    <n v="0"/>
    <m/>
    <m/>
    <m/>
    <m/>
    <m/>
  </r>
  <r>
    <d v="2026-06-27T00:00:00"/>
    <x v="0"/>
    <s v="HOSPITAL &amp; MEDICAL EXP'S"/>
    <s v="NON"/>
    <n v="50"/>
    <s v="NO TAX"/>
    <n v="50"/>
    <m/>
    <m/>
    <m/>
    <m/>
    <n v="0"/>
    <n v="0"/>
    <m/>
    <m/>
    <m/>
    <m/>
    <m/>
  </r>
  <r>
    <d v="2026-06-27T00:00:00"/>
    <x v="0"/>
    <s v="PETROL TOYOTA COROLLA"/>
    <s v="NON"/>
    <n v="215"/>
    <s v="NO TAX"/>
    <n v="215"/>
    <m/>
    <m/>
    <m/>
    <m/>
    <n v="0"/>
    <n v="0"/>
    <m/>
    <m/>
    <m/>
    <m/>
    <m/>
  </r>
  <r>
    <d v="2026-06-27T00:00:00"/>
    <x v="0"/>
    <s v="PERSONAL EXP FAZEL BHAI"/>
    <s v="NON"/>
    <m/>
    <n v="0"/>
    <n v="0"/>
    <m/>
    <m/>
    <n v="3000"/>
    <m/>
    <n v="0"/>
    <n v="0"/>
    <m/>
    <m/>
    <m/>
    <m/>
    <m/>
  </r>
  <r>
    <d v="2026-06-27T00:00:00"/>
    <x v="3"/>
    <s v="SALIK RECHARGE FOR CAR"/>
    <s v="NON"/>
    <n v="500"/>
    <s v="NO TAX"/>
    <n v="500"/>
    <m/>
    <m/>
    <m/>
    <m/>
    <n v="0"/>
    <n v="0"/>
    <m/>
    <m/>
    <m/>
    <m/>
    <m/>
  </r>
  <r>
    <d v="2026-06-29T00:00:00"/>
    <x v="0"/>
    <s v="ADVANCE TO WORKERS"/>
    <s v="NON"/>
    <m/>
    <n v="0"/>
    <n v="0"/>
    <n v="500"/>
    <m/>
    <m/>
    <m/>
    <n v="0"/>
    <n v="0"/>
    <m/>
    <m/>
    <m/>
    <m/>
    <m/>
  </r>
  <r>
    <d v="2026-06-29T00:00:00"/>
    <x v="0"/>
    <s v="TEA &amp; FOOD EXPENSES"/>
    <s v="NON"/>
    <n v="57"/>
    <s v="NO TAX"/>
    <n v="57"/>
    <m/>
    <m/>
    <m/>
    <m/>
    <n v="0"/>
    <n v="0"/>
    <m/>
    <m/>
    <m/>
    <m/>
    <m/>
  </r>
  <r>
    <d v="2026-06-29T00:00:00"/>
    <x v="0"/>
    <s v="COURIER CHARGE"/>
    <s v="NON"/>
    <n v="53.5"/>
    <s v="NO TAX"/>
    <n v="53.5"/>
    <m/>
    <m/>
    <m/>
    <m/>
    <n v="0"/>
    <n v="0"/>
    <m/>
    <m/>
    <m/>
    <m/>
    <m/>
  </r>
  <r>
    <d v="2026-06-29T00:00:00"/>
    <x v="0"/>
    <s v="LOCAL TRAVILING EXPENSES"/>
    <s v="NON"/>
    <n v="76"/>
    <s v="NO TAX"/>
    <n v="76"/>
    <m/>
    <m/>
    <m/>
    <m/>
    <n v="0"/>
    <n v="0"/>
    <m/>
    <m/>
    <m/>
    <m/>
    <m/>
  </r>
  <r>
    <d v="2026-06-29T00:00:00"/>
    <x v="0"/>
    <s v="MACHINERY &amp; REPAIR MAINTAINCE"/>
    <s v="NON"/>
    <n v="50"/>
    <s v="NO TAX"/>
    <n v="50"/>
    <m/>
    <m/>
    <m/>
    <m/>
    <n v="0"/>
    <n v="0"/>
    <m/>
    <m/>
    <m/>
    <m/>
    <m/>
  </r>
  <r>
    <d v="2026-06-29T00:00:00"/>
    <x v="2"/>
    <s v="PERSONAL EXP FAZEL BHAI"/>
    <s v="NON"/>
    <m/>
    <n v="0"/>
    <n v="0"/>
    <m/>
    <m/>
    <n v="6140"/>
    <m/>
    <n v="0"/>
    <n v="0"/>
    <m/>
    <m/>
    <m/>
    <m/>
    <m/>
  </r>
  <r>
    <d v="2026-06-29T00:00:00"/>
    <x v="6"/>
    <s v="MEDICAL INSURANCE"/>
    <s v="NON"/>
    <n v="37976.400000000001"/>
    <n v="1898.8200000000002"/>
    <n v="39875.22"/>
    <m/>
    <m/>
    <m/>
    <m/>
    <n v="0"/>
    <n v="0"/>
    <m/>
    <m/>
    <m/>
    <m/>
    <m/>
  </r>
  <r>
    <d v="2026-05-01T00:00:00"/>
    <x v="0"/>
    <s v="FACTORY CONSUMABLES"/>
    <s v="NON"/>
    <n v="176.19"/>
    <n v="8.8094999999999999"/>
    <n v="184.99950000000001"/>
    <m/>
    <m/>
    <m/>
    <m/>
    <n v="0"/>
    <n v="0"/>
    <m/>
    <m/>
    <m/>
    <m/>
    <m/>
  </r>
  <r>
    <d v="2026-05-01T00:00:00"/>
    <x v="0"/>
    <s v="FACTORY EXPENSES"/>
    <s v="NON"/>
    <n v="47"/>
    <s v="NO TAX"/>
    <n v="47"/>
    <m/>
    <m/>
    <m/>
    <m/>
    <n v="0"/>
    <n v="0"/>
    <m/>
    <m/>
    <m/>
    <m/>
    <m/>
  </r>
  <r>
    <d v="2026-05-01T00:00:00"/>
    <x v="0"/>
    <s v="STAFF WELFARE EXPENSES"/>
    <s v="NON"/>
    <n v="13900"/>
    <s v="NO TAX"/>
    <n v="13900"/>
    <m/>
    <m/>
    <m/>
    <m/>
    <n v="0"/>
    <n v="0"/>
    <m/>
    <m/>
    <m/>
    <m/>
    <m/>
  </r>
  <r>
    <d v="2026-05-01T00:00:00"/>
    <x v="0"/>
    <s v="STAFF WELFARE EXPENSES"/>
    <s v="NON"/>
    <n v="14"/>
    <s v="NO TAX"/>
    <n v="14"/>
    <m/>
    <m/>
    <m/>
    <m/>
    <n v="0"/>
    <n v="0"/>
    <m/>
    <m/>
    <m/>
    <m/>
    <m/>
  </r>
  <r>
    <d v="2026-05-01T00:00:00"/>
    <x v="0"/>
    <s v="AL KHAREEF RESTAURANT"/>
    <s v="NON"/>
    <n v="1500"/>
    <s v="NO TAX"/>
    <n v="1500"/>
    <m/>
    <m/>
    <m/>
    <m/>
    <n v="0"/>
    <n v="0"/>
    <m/>
    <m/>
    <m/>
    <m/>
    <m/>
  </r>
  <r>
    <d v="2026-05-02T00:00:00"/>
    <x v="9"/>
    <s v="ADVANCE TO WORKERS"/>
    <s v="NON"/>
    <m/>
    <n v="0"/>
    <n v="0"/>
    <n v="1926"/>
    <m/>
    <m/>
    <m/>
    <n v="0"/>
    <n v="0"/>
    <m/>
    <m/>
    <m/>
    <m/>
    <m/>
  </r>
  <r>
    <d v="2026-05-02T00:00:00"/>
    <x v="0"/>
    <s v="PETROL TOYOTA COROLLA"/>
    <s v="NON"/>
    <n v="150"/>
    <s v="NO TAX"/>
    <n v="150"/>
    <m/>
    <m/>
    <m/>
    <m/>
    <n v="0"/>
    <n v="0"/>
    <m/>
    <m/>
    <m/>
    <m/>
    <m/>
  </r>
  <r>
    <d v="2026-05-02T00:00:00"/>
    <x v="0"/>
    <s v="HOSPITAL &amp; MEDICAL EXP'S"/>
    <s v="NON"/>
    <n v="100"/>
    <s v="NO TAX"/>
    <n v="100"/>
    <m/>
    <m/>
    <m/>
    <m/>
    <n v="0"/>
    <n v="0"/>
    <m/>
    <m/>
    <m/>
    <m/>
    <m/>
  </r>
  <r>
    <d v="2026-05-02T00:00:00"/>
    <x v="0"/>
    <s v="PETROL TOYOTA COROLLA"/>
    <s v="NON"/>
    <n v="400"/>
    <s v="NO TAX"/>
    <n v="400"/>
    <m/>
    <m/>
    <m/>
    <m/>
    <n v="0"/>
    <n v="0"/>
    <m/>
    <m/>
    <m/>
    <m/>
    <m/>
  </r>
  <r>
    <d v="2026-05-02T00:00:00"/>
    <x v="0"/>
    <s v="TEA &amp; FOOD EXPENSES"/>
    <s v="NON"/>
    <n v="50"/>
    <s v="NO TAX"/>
    <n v="50"/>
    <m/>
    <m/>
    <m/>
    <m/>
    <n v="0"/>
    <n v="0"/>
    <m/>
    <m/>
    <m/>
    <m/>
    <m/>
  </r>
  <r>
    <d v="2026-05-04T00:00:00"/>
    <x v="0"/>
    <s v="FACTORY CONSUMABLES"/>
    <s v="NON"/>
    <n v="275"/>
    <n v="13.75"/>
    <n v="288.75"/>
    <m/>
    <m/>
    <m/>
    <m/>
    <n v="0"/>
    <n v="0"/>
    <m/>
    <m/>
    <m/>
    <m/>
    <m/>
  </r>
  <r>
    <d v="2026-05-04T00:00:00"/>
    <x v="0"/>
    <s v="FACTORY CONSUMABLES"/>
    <s v="NON"/>
    <n v="38.1"/>
    <n v="1.9050000000000002"/>
    <n v="40.005000000000003"/>
    <m/>
    <m/>
    <m/>
    <m/>
    <n v="0"/>
    <n v="0"/>
    <m/>
    <m/>
    <m/>
    <m/>
    <m/>
  </r>
  <r>
    <d v="2026-05-04T00:00:00"/>
    <x v="0"/>
    <s v="VEHICLE REPAIR &amp; MAINT"/>
    <s v="NON"/>
    <n v="2000"/>
    <s v="NO TAX"/>
    <n v="2000"/>
    <m/>
    <m/>
    <m/>
    <m/>
    <n v="0"/>
    <n v="0"/>
    <m/>
    <m/>
    <m/>
    <m/>
    <m/>
  </r>
  <r>
    <d v="2026-05-04T00:00:00"/>
    <x v="0"/>
    <s v="STATIONERY EXPENSES"/>
    <s v="NON"/>
    <n v="3"/>
    <s v="NO TAX"/>
    <n v="3"/>
    <m/>
    <m/>
    <m/>
    <m/>
    <n v="0"/>
    <n v="0"/>
    <m/>
    <m/>
    <m/>
    <m/>
    <m/>
  </r>
  <r>
    <d v="2026-05-04T00:00:00"/>
    <x v="0"/>
    <s v="FACTORY CONSUMABLES"/>
    <s v="NON"/>
    <n v="-176.19"/>
    <n v="-8.8094999999999999"/>
    <n v="-184.99950000000001"/>
    <m/>
    <m/>
    <m/>
    <m/>
    <n v="0"/>
    <n v="0"/>
    <m/>
    <m/>
    <m/>
    <m/>
    <m/>
  </r>
  <r>
    <d v="2026-05-05T00:00:00"/>
    <x v="0"/>
    <s v="STAFF WELFARE EXPENSES"/>
    <s v="NON"/>
    <n v="55"/>
    <s v="NO TAX"/>
    <n v="55"/>
    <m/>
    <m/>
    <m/>
    <m/>
    <n v="0"/>
    <n v="0"/>
    <m/>
    <m/>
    <m/>
    <m/>
    <m/>
  </r>
  <r>
    <d v="2026-05-05T00:00:00"/>
    <x v="0"/>
    <s v="STAFF WELFARE EXPENSES"/>
    <s v="NON"/>
    <n v="495"/>
    <s v="NO TAX"/>
    <n v="495"/>
    <m/>
    <m/>
    <m/>
    <m/>
    <n v="0"/>
    <n v="0"/>
    <m/>
    <m/>
    <m/>
    <m/>
    <m/>
  </r>
  <r>
    <d v="2026-05-05T00:00:00"/>
    <x v="0"/>
    <s v="TEA &amp; FOOD EXPENSES"/>
    <s v="NON"/>
    <n v="37"/>
    <s v="NO TAX"/>
    <n v="37"/>
    <m/>
    <m/>
    <m/>
    <m/>
    <n v="0"/>
    <n v="0"/>
    <m/>
    <m/>
    <m/>
    <m/>
    <m/>
  </r>
  <r>
    <d v="2026-05-05T00:00:00"/>
    <x v="0"/>
    <s v="SALARY PAYBLE"/>
    <s v="NON"/>
    <n v="340"/>
    <s v="NO TAX"/>
    <n v="340"/>
    <m/>
    <m/>
    <m/>
    <m/>
    <n v="0"/>
    <n v="0"/>
    <m/>
    <m/>
    <m/>
    <m/>
    <m/>
  </r>
  <r>
    <d v="2026-05-05T00:00:00"/>
    <x v="0"/>
    <s v="FACTORY CONSUMABLES"/>
    <s v="NON"/>
    <n v="110"/>
    <n v="5.5"/>
    <n v="115.5"/>
    <m/>
    <m/>
    <m/>
    <m/>
    <n v="0"/>
    <n v="0"/>
    <m/>
    <m/>
    <m/>
    <m/>
    <m/>
  </r>
  <r>
    <d v="2026-05-05T00:00:00"/>
    <x v="0"/>
    <s v="STATIONERY EXPENSES"/>
    <s v="NON"/>
    <n v="20.92"/>
    <n v="1.046"/>
    <n v="21.966000000000001"/>
    <m/>
    <m/>
    <m/>
    <m/>
    <n v="0"/>
    <n v="0"/>
    <m/>
    <m/>
    <m/>
    <m/>
    <m/>
  </r>
  <r>
    <d v="2026-05-05T00:00:00"/>
    <x v="0"/>
    <s v="PETROL TOYOTA COROLLA"/>
    <s v="NON"/>
    <n v="140"/>
    <s v="NO TAX"/>
    <n v="140"/>
    <m/>
    <m/>
    <m/>
    <m/>
    <n v="0"/>
    <n v="0"/>
    <m/>
    <m/>
    <m/>
    <m/>
    <m/>
  </r>
  <r>
    <d v="2026-05-04T00:00:00"/>
    <x v="0"/>
    <s v="SALARY PAYBLE"/>
    <s v="NON"/>
    <n v="169490"/>
    <s v="NO TAX"/>
    <n v="169490"/>
    <m/>
    <m/>
    <m/>
    <m/>
    <n v="0"/>
    <n v="0"/>
    <m/>
    <m/>
    <m/>
    <m/>
    <m/>
  </r>
  <r>
    <d v="2026-05-04T00:00:00"/>
    <x v="0"/>
    <s v="SERVICE CHARGES"/>
    <s v="NON"/>
    <n v="441"/>
    <s v="NO TAX"/>
    <n v="441"/>
    <m/>
    <m/>
    <m/>
    <m/>
    <n v="0"/>
    <n v="0"/>
    <m/>
    <m/>
    <m/>
    <m/>
    <m/>
  </r>
  <r>
    <d v="2026-05-06T00:00:00"/>
    <x v="0"/>
    <s v="STAFF WELFARE EXPENSES"/>
    <s v="NON"/>
    <n v="55"/>
    <s v="NO TAX"/>
    <n v="55"/>
    <m/>
    <m/>
    <m/>
    <m/>
    <n v="0"/>
    <n v="0"/>
    <m/>
    <m/>
    <m/>
    <m/>
    <m/>
  </r>
  <r>
    <d v="2026-05-07T00:00:00"/>
    <x v="0"/>
    <s v="FACTORY EXPENSES"/>
    <s v="NON"/>
    <n v="600"/>
    <n v="30"/>
    <n v="630"/>
    <m/>
    <m/>
    <m/>
    <m/>
    <n v="0"/>
    <n v="0"/>
    <m/>
    <m/>
    <m/>
    <m/>
    <m/>
  </r>
  <r>
    <d v="2026-05-07T00:00:00"/>
    <x v="0"/>
    <s v="FACTORY EXPENSES"/>
    <s v="NON"/>
    <n v="500"/>
    <s v="NO TAX"/>
    <n v="500"/>
    <m/>
    <m/>
    <m/>
    <m/>
    <n v="0"/>
    <n v="0"/>
    <m/>
    <m/>
    <m/>
    <m/>
    <m/>
  </r>
  <r>
    <d v="2026-05-07T00:00:00"/>
    <x v="0"/>
    <s v="STAFF WELFARE EXPENSES"/>
    <s v="NON"/>
    <n v="62.5"/>
    <s v="NO TAX"/>
    <n v="62.5"/>
    <m/>
    <m/>
    <m/>
    <m/>
    <n v="0"/>
    <n v="0"/>
    <m/>
    <m/>
    <m/>
    <m/>
    <m/>
  </r>
  <r>
    <d v="2026-05-07T00:00:00"/>
    <x v="0"/>
    <s v="STAFF WELFARE EXPENSES"/>
    <s v="NON"/>
    <n v="500"/>
    <s v="NO TAX"/>
    <n v="500"/>
    <m/>
    <m/>
    <m/>
    <m/>
    <n v="0"/>
    <n v="0"/>
    <m/>
    <m/>
    <m/>
    <m/>
    <m/>
  </r>
  <r>
    <d v="2026-05-07T00:00:00"/>
    <x v="0"/>
    <s v="STAFF WELFARE EXPENSES"/>
    <s v="NON"/>
    <n v="160"/>
    <s v="NO TAX"/>
    <n v="160"/>
    <m/>
    <m/>
    <m/>
    <m/>
    <n v="0"/>
    <n v="0"/>
    <m/>
    <m/>
    <m/>
    <m/>
    <m/>
  </r>
  <r>
    <d v="2026-05-07T00:00:00"/>
    <x v="0"/>
    <s v="STAFF WELFARE EXPENSES"/>
    <s v="NON"/>
    <n v="55"/>
    <s v="NO TAX"/>
    <n v="55"/>
    <m/>
    <m/>
    <m/>
    <m/>
    <n v="0"/>
    <n v="0"/>
    <m/>
    <m/>
    <m/>
    <m/>
    <m/>
  </r>
  <r>
    <d v="2026-05-07T00:00:00"/>
    <x v="0"/>
    <s v="ADVANCE TO WORKERS"/>
    <s v="NON"/>
    <m/>
    <n v="0"/>
    <n v="0"/>
    <n v="500"/>
    <m/>
    <m/>
    <m/>
    <n v="0"/>
    <n v="0"/>
    <m/>
    <m/>
    <m/>
    <m/>
    <m/>
  </r>
  <r>
    <d v="2026-05-07T00:00:00"/>
    <x v="0"/>
    <s v="COMPUTER REPAIR &amp; MAINT"/>
    <s v="NON"/>
    <n v="230"/>
    <s v="NO TAX"/>
    <n v="230"/>
    <m/>
    <m/>
    <m/>
    <m/>
    <n v="0"/>
    <n v="0"/>
    <m/>
    <m/>
    <m/>
    <m/>
    <m/>
  </r>
  <r>
    <d v="2026-05-07T00:00:00"/>
    <x v="0"/>
    <s v="FACTORY EXPENSES"/>
    <s v="NON"/>
    <n v="8"/>
    <s v="NO TAX"/>
    <n v="8"/>
    <m/>
    <m/>
    <m/>
    <m/>
    <n v="0"/>
    <n v="0"/>
    <m/>
    <m/>
    <m/>
    <m/>
    <m/>
  </r>
  <r>
    <d v="2026-05-07T00:00:00"/>
    <x v="0"/>
    <s v="STAFF WELFARE EXPENSES"/>
    <s v="NON"/>
    <n v="348.25"/>
    <s v="NO TAX"/>
    <n v="348.25"/>
    <m/>
    <m/>
    <m/>
    <m/>
    <n v="0"/>
    <n v="0"/>
    <m/>
    <m/>
    <m/>
    <m/>
    <m/>
  </r>
  <r>
    <d v="2026-05-07T00:00:00"/>
    <x v="0"/>
    <s v="LOCAL TRAVILING EXPENSES"/>
    <s v="NON"/>
    <n v="200"/>
    <s v="NO TAX"/>
    <n v="200"/>
    <m/>
    <m/>
    <m/>
    <m/>
    <n v="0"/>
    <n v="0"/>
    <m/>
    <m/>
    <m/>
    <m/>
    <m/>
  </r>
  <r>
    <d v="2026-05-07T00:00:00"/>
    <x v="6"/>
    <s v="BASE RENT"/>
    <s v="NON"/>
    <n v="41559.5"/>
    <n v="2077.9749999999999"/>
    <n v="43637.474999999999"/>
    <m/>
    <m/>
    <m/>
    <m/>
    <n v="0"/>
    <n v="0"/>
    <m/>
    <m/>
    <m/>
    <m/>
    <m/>
  </r>
  <r>
    <d v="2026-05-07T00:00:00"/>
    <x v="6"/>
    <s v="CHILER CHARGE"/>
    <s v="NON"/>
    <n v="9665"/>
    <n v="483.25"/>
    <n v="10148.25"/>
    <m/>
    <m/>
    <m/>
    <m/>
    <n v="0"/>
    <n v="0"/>
    <m/>
    <m/>
    <m/>
    <m/>
    <m/>
  </r>
  <r>
    <d v="2026-05-07T00:00:00"/>
    <x v="6"/>
    <s v="EMAAR SERVICE CHARGES"/>
    <s v="NON"/>
    <n v="16913.75"/>
    <n v="845.6875"/>
    <n v="17759.4375"/>
    <m/>
    <m/>
    <m/>
    <m/>
    <n v="0"/>
    <n v="0"/>
    <m/>
    <m/>
    <m/>
    <m/>
    <m/>
  </r>
  <r>
    <d v="2026-05-07T00:00:00"/>
    <x v="6"/>
    <s v="BANK CHARGES"/>
    <s v="NON"/>
    <n v="105"/>
    <s v="NO TAX"/>
    <n v="105"/>
    <m/>
    <m/>
    <m/>
    <m/>
    <n v="0"/>
    <n v="0"/>
    <m/>
    <m/>
    <m/>
    <m/>
    <m/>
  </r>
  <r>
    <d v="2026-05-08T00:00:00"/>
    <x v="0"/>
    <s v="HOSPITAL &amp; MEDICAL EXP'S"/>
    <s v="NON"/>
    <n v="145"/>
    <s v="NO TAX"/>
    <n v="145"/>
    <m/>
    <m/>
    <m/>
    <m/>
    <n v="0"/>
    <n v="0"/>
    <m/>
    <m/>
    <m/>
    <m/>
    <m/>
  </r>
  <r>
    <d v="2026-05-08T00:00:00"/>
    <x v="0"/>
    <s v="PETROL TOYOTA COROLLA"/>
    <s v="NON"/>
    <n v="150"/>
    <s v="NO TAX"/>
    <n v="150"/>
    <m/>
    <m/>
    <m/>
    <m/>
    <n v="0"/>
    <n v="0"/>
    <m/>
    <m/>
    <m/>
    <m/>
    <m/>
  </r>
  <r>
    <d v="2026-05-08T00:00:00"/>
    <x v="0"/>
    <s v="FACTORY CONSUMABLES"/>
    <s v="NON"/>
    <n v="40"/>
    <n v="2"/>
    <n v="42"/>
    <m/>
    <m/>
    <m/>
    <m/>
    <n v="0"/>
    <n v="0"/>
    <m/>
    <m/>
    <m/>
    <m/>
    <m/>
  </r>
  <r>
    <d v="2026-05-08T00:00:00"/>
    <x v="0"/>
    <s v="CAR PARKING"/>
    <s v="NON"/>
    <n v="20"/>
    <s v="NO TAX"/>
    <n v="20"/>
    <m/>
    <m/>
    <m/>
    <m/>
    <n v="0"/>
    <n v="0"/>
    <m/>
    <m/>
    <m/>
    <m/>
    <m/>
  </r>
  <r>
    <d v="2026-05-08T00:00:00"/>
    <x v="0"/>
    <s v="LOCAL TRAVILING EXPENSES"/>
    <s v="NON"/>
    <n v="200"/>
    <s v="NO TAX"/>
    <n v="200"/>
    <m/>
    <m/>
    <m/>
    <m/>
    <n v="0"/>
    <n v="0"/>
    <m/>
    <m/>
    <m/>
    <m/>
    <m/>
  </r>
  <r>
    <d v="2026-05-08T00:00:00"/>
    <x v="0"/>
    <s v="ADVANCE TO WORKERS"/>
    <s v="NON"/>
    <n v="0"/>
    <n v="0"/>
    <n v="0"/>
    <n v="1000"/>
    <m/>
    <m/>
    <m/>
    <n v="0"/>
    <n v="0"/>
    <m/>
    <m/>
    <m/>
    <m/>
    <m/>
  </r>
  <r>
    <d v="2026-05-08T00:00:00"/>
    <x v="0"/>
    <s v="STAFF WELFARE EXPENSES"/>
    <s v="NON"/>
    <n v="15"/>
    <s v="NO TAX"/>
    <n v="15"/>
    <m/>
    <m/>
    <m/>
    <m/>
    <n v="0"/>
    <n v="0"/>
    <m/>
    <m/>
    <m/>
    <m/>
    <m/>
  </r>
  <r>
    <d v="2026-05-09T00:00:00"/>
    <x v="0"/>
    <s v="COURIER CHARGE"/>
    <s v="NON"/>
    <n v="20"/>
    <s v="NO TAX"/>
    <n v="20"/>
    <m/>
    <m/>
    <m/>
    <m/>
    <n v="0"/>
    <n v="0"/>
    <m/>
    <m/>
    <m/>
    <m/>
    <m/>
  </r>
  <r>
    <d v="2026-05-09T00:00:00"/>
    <x v="0"/>
    <s v="FACTORY CONSUMABLES"/>
    <s v="NON"/>
    <n v="140"/>
    <s v="NO TAX"/>
    <n v="140"/>
    <m/>
    <m/>
    <m/>
    <m/>
    <n v="0"/>
    <n v="0"/>
    <m/>
    <m/>
    <m/>
    <m/>
    <m/>
  </r>
  <r>
    <d v="2026-05-09T00:00:00"/>
    <x v="0"/>
    <s v="FACTORY CONSUMABLES"/>
    <s v="NON"/>
    <n v="30"/>
    <n v="1.5"/>
    <n v="31.5"/>
    <m/>
    <m/>
    <m/>
    <m/>
    <n v="0"/>
    <n v="0"/>
    <m/>
    <m/>
    <m/>
    <m/>
    <m/>
  </r>
  <r>
    <d v="2026-05-09T00:00:00"/>
    <x v="0"/>
    <s v="HOSPITAL &amp; MEDICAL EXP'S"/>
    <s v="NON"/>
    <n v="225"/>
    <s v="NO TAX"/>
    <n v="225"/>
    <m/>
    <m/>
    <m/>
    <m/>
    <n v="0"/>
    <n v="0"/>
    <m/>
    <m/>
    <m/>
    <m/>
    <m/>
  </r>
  <r>
    <d v="2026-05-09T00:00:00"/>
    <x v="0"/>
    <s v="HOSPITAL &amp; MEDICAL EXP'S"/>
    <s v="NON"/>
    <n v="8"/>
    <s v="NO TAX"/>
    <n v="8"/>
    <m/>
    <m/>
    <m/>
    <m/>
    <n v="0"/>
    <n v="0"/>
    <m/>
    <m/>
    <m/>
    <m/>
    <m/>
  </r>
  <r>
    <d v="2026-05-09T00:00:00"/>
    <x v="0"/>
    <s v="FACTORY EXPENSES"/>
    <s v="NON"/>
    <n v="300"/>
    <s v="NO TAX"/>
    <n v="300"/>
    <m/>
    <m/>
    <m/>
    <m/>
    <n v="0"/>
    <n v="0"/>
    <m/>
    <m/>
    <m/>
    <m/>
    <m/>
  </r>
  <r>
    <d v="2026-05-09T00:00:00"/>
    <x v="0"/>
    <s v="ADVANCE TO WORKERS"/>
    <s v="NON"/>
    <m/>
    <n v="0"/>
    <n v="0"/>
    <n v="150"/>
    <m/>
    <m/>
    <m/>
    <n v="0"/>
    <n v="0"/>
    <m/>
    <m/>
    <m/>
    <m/>
    <m/>
  </r>
  <r>
    <d v="2026-05-09T00:00:00"/>
    <x v="0"/>
    <s v="TEA &amp; FOOD EXPENSES"/>
    <s v="NON"/>
    <n v="250"/>
    <s v="NO TAX"/>
    <n v="250"/>
    <m/>
    <m/>
    <m/>
    <m/>
    <n v="0"/>
    <n v="0"/>
    <m/>
    <m/>
    <m/>
    <m/>
    <m/>
  </r>
  <r>
    <d v="2026-05-11T00:00:00"/>
    <x v="6"/>
    <s v="BASE RENT"/>
    <s v="NON"/>
    <n v="19657.25"/>
    <n v="982.86250000000007"/>
    <n v="20640.112499999999"/>
    <m/>
    <m/>
    <m/>
    <m/>
    <n v="0"/>
    <n v="0"/>
    <m/>
    <m/>
    <m/>
    <m/>
    <m/>
  </r>
  <r>
    <d v="2026-05-11T00:00:00"/>
    <x v="6"/>
    <s v="CHILER CHARGE"/>
    <s v="NON"/>
    <n v="6445"/>
    <n v="322.25"/>
    <n v="6767.25"/>
    <m/>
    <m/>
    <m/>
    <m/>
    <n v="0"/>
    <n v="0"/>
    <m/>
    <m/>
    <m/>
    <m/>
    <m/>
  </r>
  <r>
    <d v="2026-05-11T00:00:00"/>
    <x v="6"/>
    <s v="EMAAR SERVICE CHARGES"/>
    <s v="NON"/>
    <n v="11278.75"/>
    <n v="563.9375"/>
    <n v="11842.6875"/>
    <m/>
    <m/>
    <m/>
    <m/>
    <n v="0"/>
    <n v="0"/>
    <m/>
    <m/>
    <m/>
    <m/>
    <m/>
  </r>
  <r>
    <d v="2026-05-11T00:00:00"/>
    <x v="0"/>
    <s v="AL KHAREEF RESTAURANT"/>
    <s v="NON"/>
    <n v="1500"/>
    <s v="NO TAX"/>
    <n v="1500"/>
    <m/>
    <m/>
    <m/>
    <m/>
    <n v="0"/>
    <n v="0"/>
    <m/>
    <m/>
    <m/>
    <m/>
    <m/>
  </r>
  <r>
    <d v="2026-05-11T00:00:00"/>
    <x v="0"/>
    <s v="HOSPITAL &amp; MEDICAL EXP'S"/>
    <s v="NON"/>
    <n v="114"/>
    <s v="NO TAX"/>
    <n v="114"/>
    <m/>
    <m/>
    <m/>
    <m/>
    <n v="0"/>
    <n v="0"/>
    <m/>
    <m/>
    <m/>
    <m/>
    <m/>
  </r>
  <r>
    <d v="2026-05-11T00:00:00"/>
    <x v="0"/>
    <s v="ELECTRICITY BILL FACTORY"/>
    <s v="NON"/>
    <n v="9232.24"/>
    <n v="461.61200000000002"/>
    <n v="9693.851999999999"/>
    <m/>
    <m/>
    <m/>
    <m/>
    <n v="0"/>
    <n v="0"/>
    <m/>
    <m/>
    <m/>
    <m/>
    <m/>
  </r>
  <r>
    <d v="2026-05-11T00:00:00"/>
    <x v="0"/>
    <s v="WATER CHARGES"/>
    <s v="NON"/>
    <n v="1415.7"/>
    <n v="70.785000000000011"/>
    <n v="1486.4850000000001"/>
    <m/>
    <m/>
    <m/>
    <m/>
    <n v="0"/>
    <n v="0"/>
    <m/>
    <m/>
    <m/>
    <m/>
    <m/>
  </r>
  <r>
    <d v="2026-05-11T00:00:00"/>
    <x v="0"/>
    <s v="FACTORY CONSUMABLES"/>
    <s v="NON"/>
    <n v="500"/>
    <n v="25"/>
    <n v="525"/>
    <m/>
    <m/>
    <m/>
    <m/>
    <n v="0"/>
    <n v="0"/>
    <m/>
    <m/>
    <m/>
    <m/>
    <m/>
  </r>
  <r>
    <d v="2026-05-11T00:00:00"/>
    <x v="0"/>
    <s v="FACTORY CONSUMABLES"/>
    <s v="NON"/>
    <n v="1425.05"/>
    <n v="71.252499999999998"/>
    <n v="1496.3025"/>
    <m/>
    <m/>
    <m/>
    <m/>
    <n v="0"/>
    <n v="0"/>
    <m/>
    <m/>
    <m/>
    <m/>
    <m/>
  </r>
  <r>
    <d v="2026-05-11T00:00:00"/>
    <x v="0"/>
    <s v="FACTORY CONSUMABLES"/>
    <s v="NON"/>
    <n v="7000"/>
    <s v="NO TAX"/>
    <n v="7000"/>
    <m/>
    <m/>
    <m/>
    <m/>
    <n v="0"/>
    <n v="0"/>
    <m/>
    <m/>
    <m/>
    <m/>
    <m/>
  </r>
  <r>
    <d v="2026-05-11T00:00:00"/>
    <x v="0"/>
    <s v="ADVANCE TO WORKERS"/>
    <s v="NON"/>
    <m/>
    <n v="0"/>
    <n v="0"/>
    <n v="200"/>
    <m/>
    <m/>
    <m/>
    <n v="0"/>
    <n v="0"/>
    <m/>
    <m/>
    <m/>
    <m/>
    <m/>
  </r>
  <r>
    <d v="2026-05-11T00:00:00"/>
    <x v="0"/>
    <s v="STAFF WELFARE EXPENSES"/>
    <s v="NON"/>
    <n v="58"/>
    <s v="NO TAX"/>
    <n v="58"/>
    <m/>
    <m/>
    <m/>
    <m/>
    <n v="0"/>
    <n v="0"/>
    <m/>
    <m/>
    <m/>
    <m/>
    <m/>
  </r>
  <r>
    <d v="2026-05-11T00:00:00"/>
    <x v="0"/>
    <s v="CAR PARKING"/>
    <s v="NON"/>
    <n v="20"/>
    <s v="NO TAX"/>
    <n v="20"/>
    <m/>
    <m/>
    <m/>
    <m/>
    <n v="0"/>
    <n v="0"/>
    <m/>
    <m/>
    <m/>
    <m/>
    <m/>
  </r>
  <r>
    <d v="2026-05-11T00:00:00"/>
    <x v="0"/>
    <s v="STAFF WELFARE EXPENSES"/>
    <s v="NON"/>
    <n v="390"/>
    <s v="NO TAX"/>
    <n v="390"/>
    <m/>
    <m/>
    <m/>
    <m/>
    <n v="0"/>
    <n v="0"/>
    <m/>
    <m/>
    <m/>
    <m/>
    <m/>
  </r>
  <r>
    <d v="2026-05-11T00:00:00"/>
    <x v="0"/>
    <s v="TEA &amp; FOOD EXPENSES"/>
    <s v="NON"/>
    <n v="8"/>
    <s v="NO TAX"/>
    <n v="8"/>
    <m/>
    <m/>
    <m/>
    <m/>
    <n v="0"/>
    <n v="0"/>
    <m/>
    <m/>
    <m/>
    <m/>
    <m/>
  </r>
  <r>
    <d v="2026-05-11T00:00:00"/>
    <x v="0"/>
    <s v="PERSONAL EXP FAZEL BHAI"/>
    <s v="NON"/>
    <m/>
    <n v="0"/>
    <n v="0"/>
    <m/>
    <m/>
    <n v="11950"/>
    <m/>
    <n v="0"/>
    <n v="0"/>
    <m/>
    <m/>
    <m/>
    <m/>
    <m/>
  </r>
  <r>
    <d v="2026-05-11T00:00:00"/>
    <x v="0"/>
    <s v="PERSONAL EXP HEKMAT BHAI"/>
    <s v="NON"/>
    <m/>
    <n v="0"/>
    <n v="0"/>
    <m/>
    <m/>
    <n v="10000"/>
    <m/>
    <n v="0"/>
    <n v="0"/>
    <m/>
    <m/>
    <m/>
    <m/>
    <m/>
  </r>
  <r>
    <d v="2026-05-09T00:00:00"/>
    <x v="0"/>
    <s v="SALARY PAYBLE"/>
    <s v="NON"/>
    <m/>
    <n v="0"/>
    <n v="0"/>
    <m/>
    <m/>
    <m/>
    <m/>
    <n v="0"/>
    <n v="0"/>
    <m/>
    <m/>
    <n v="15000"/>
    <m/>
    <m/>
  </r>
  <r>
    <d v="2026-05-11T00:00:00"/>
    <x v="0"/>
    <s v="ROOM RENT OF TWO ROOM"/>
    <s v="NON"/>
    <m/>
    <n v="0"/>
    <n v="0"/>
    <m/>
    <m/>
    <m/>
    <m/>
    <n v="0"/>
    <n v="0"/>
    <m/>
    <m/>
    <n v="4200"/>
    <m/>
    <m/>
  </r>
  <r>
    <d v="2026-05-12T00:00:00"/>
    <x v="0"/>
    <s v="STAFF WELFARE EXPENSES"/>
    <s v="NON"/>
    <n v="13"/>
    <s v="NO TAX"/>
    <n v="13"/>
    <m/>
    <m/>
    <m/>
    <m/>
    <n v="0"/>
    <n v="0"/>
    <m/>
    <m/>
    <m/>
    <m/>
    <m/>
  </r>
  <r>
    <d v="2026-05-12T00:00:00"/>
    <x v="0"/>
    <s v="PETROL TOYOTA COROLLA"/>
    <s v="NON"/>
    <n v="150"/>
    <s v="NO TAX"/>
    <n v="150"/>
    <m/>
    <m/>
    <m/>
    <m/>
    <n v="0"/>
    <n v="0"/>
    <m/>
    <m/>
    <m/>
    <m/>
    <m/>
  </r>
  <r>
    <d v="2026-05-12T00:00:00"/>
    <x v="0"/>
    <s v="STAFF WELFARE EXPENSES"/>
    <s v="NON"/>
    <n v="55"/>
    <s v="NO TAX"/>
    <n v="55"/>
    <m/>
    <m/>
    <m/>
    <m/>
    <n v="0"/>
    <n v="0"/>
    <m/>
    <m/>
    <m/>
    <m/>
    <m/>
  </r>
  <r>
    <d v="2026-05-12T00:00:00"/>
    <x v="0"/>
    <s v="ADVANCE TO WORKERS"/>
    <s v="NON"/>
    <n v="0"/>
    <n v="0"/>
    <n v="0"/>
    <n v="100"/>
    <m/>
    <m/>
    <m/>
    <n v="0"/>
    <n v="0"/>
    <m/>
    <m/>
    <m/>
    <m/>
    <m/>
  </r>
  <r>
    <d v="2026-05-12T00:00:00"/>
    <x v="0"/>
    <s v="STAFF WELFARE EXPENSES"/>
    <s v="NON"/>
    <n v="120"/>
    <s v="NO TAX"/>
    <n v="120"/>
    <m/>
    <m/>
    <m/>
    <m/>
    <n v="0"/>
    <n v="0"/>
    <m/>
    <m/>
    <m/>
    <m/>
    <m/>
  </r>
  <r>
    <d v="2026-05-12T00:00:00"/>
    <x v="0"/>
    <s v="MOBILE,TEL &amp; WIFI EXPENSES"/>
    <s v="NON"/>
    <n v="2373.75"/>
    <s v="NO TAX"/>
    <n v="2373.75"/>
    <m/>
    <m/>
    <m/>
    <m/>
    <n v="0"/>
    <n v="0"/>
    <m/>
    <m/>
    <m/>
    <m/>
    <m/>
  </r>
  <r>
    <d v="2026-05-12T00:00:00"/>
    <x v="1"/>
    <s v="AIR FLIGHT TRAVELLING EXPENSES"/>
    <s v="NON"/>
    <n v="1275"/>
    <s v="NO TAX"/>
    <n v="1275"/>
    <m/>
    <m/>
    <m/>
    <m/>
    <n v="0"/>
    <n v="0"/>
    <m/>
    <m/>
    <m/>
    <m/>
    <m/>
  </r>
  <r>
    <d v="2026-05-12T00:00:00"/>
    <x v="9"/>
    <s v="SALIK RECHARGE FOR CAR"/>
    <s v="NON"/>
    <n v="500"/>
    <s v="NO TAX"/>
    <n v="500"/>
    <m/>
    <m/>
    <m/>
    <m/>
    <n v="0"/>
    <n v="0"/>
    <m/>
    <m/>
    <m/>
    <m/>
    <m/>
  </r>
  <r>
    <d v="2026-05-12T00:00:00"/>
    <x v="9"/>
    <s v="FACTORY CONSUMABLES"/>
    <s v="NON"/>
    <n v="25886.55"/>
    <s v="NO TAX"/>
    <n v="25886.55"/>
    <m/>
    <m/>
    <m/>
    <m/>
    <n v="0"/>
    <n v="0"/>
    <m/>
    <m/>
    <m/>
    <m/>
    <m/>
  </r>
  <r>
    <d v="2026-05-12T00:00:00"/>
    <x v="0"/>
    <s v="FACTORY EXPENSES"/>
    <s v="NON"/>
    <m/>
    <n v="0"/>
    <n v="0"/>
    <m/>
    <m/>
    <m/>
    <m/>
    <n v="0"/>
    <n v="0"/>
    <n v="36000"/>
    <m/>
    <m/>
    <m/>
    <m/>
  </r>
  <r>
    <d v="2026-05-13T00:00:00"/>
    <x v="0"/>
    <s v="PERSONAL EXP FAZEL BHAI"/>
    <s v="NON"/>
    <m/>
    <n v="0"/>
    <n v="0"/>
    <m/>
    <m/>
    <n v="500"/>
    <m/>
    <n v="0"/>
    <n v="0"/>
    <m/>
    <m/>
    <m/>
    <m/>
    <m/>
  </r>
  <r>
    <d v="2026-05-13T00:00:00"/>
    <x v="0"/>
    <s v="FACTORY CONSUMABLES"/>
    <s v="NON"/>
    <n v="137"/>
    <n v="6.8500000000000005"/>
    <n v="143.85"/>
    <m/>
    <m/>
    <m/>
    <m/>
    <n v="0"/>
    <n v="0"/>
    <m/>
    <m/>
    <m/>
    <m/>
    <m/>
  </r>
  <r>
    <d v="2026-05-13T00:00:00"/>
    <x v="0"/>
    <s v="FACTORY CONSUMABLES"/>
    <s v="NON"/>
    <n v="215"/>
    <n v="10.75"/>
    <n v="225.75"/>
    <m/>
    <m/>
    <m/>
    <m/>
    <n v="0"/>
    <n v="0"/>
    <m/>
    <m/>
    <m/>
    <m/>
    <m/>
  </r>
  <r>
    <d v="2026-05-13T00:00:00"/>
    <x v="0"/>
    <s v="STAFF WELFARE EXPENSES"/>
    <s v="NON"/>
    <n v="7"/>
    <s v="NO TAX"/>
    <n v="7"/>
    <m/>
    <m/>
    <m/>
    <m/>
    <n v="0"/>
    <n v="0"/>
    <m/>
    <m/>
    <m/>
    <m/>
    <m/>
  </r>
  <r>
    <d v="2026-05-13T00:00:00"/>
    <x v="0"/>
    <s v="FACTORY CONSUMABLES"/>
    <s v="NON"/>
    <n v="439.26"/>
    <n v="21.963000000000001"/>
    <n v="461.22300000000001"/>
    <m/>
    <m/>
    <m/>
    <m/>
    <n v="0"/>
    <n v="0"/>
    <m/>
    <m/>
    <m/>
    <m/>
    <m/>
  </r>
  <r>
    <d v="2026-05-13T00:00:00"/>
    <x v="0"/>
    <s v="FACTORY CONSUMABLES"/>
    <s v="NON"/>
    <n v="190"/>
    <s v="NO TAX"/>
    <n v="190"/>
    <m/>
    <m/>
    <m/>
    <m/>
    <n v="0"/>
    <n v="0"/>
    <m/>
    <m/>
    <m/>
    <m/>
    <m/>
  </r>
  <r>
    <d v="2026-05-13T00:00:00"/>
    <x v="0"/>
    <s v="FACTORY CONSUMABLES"/>
    <s v="NON"/>
    <n v="5"/>
    <s v="NO TAX"/>
    <n v="5"/>
    <m/>
    <m/>
    <m/>
    <m/>
    <n v="0"/>
    <n v="0"/>
    <m/>
    <m/>
    <m/>
    <m/>
    <m/>
  </r>
  <r>
    <d v="2026-05-13T00:00:00"/>
    <x v="0"/>
    <s v="ADVANCE TO WORKERS"/>
    <s v="NON"/>
    <m/>
    <n v="0"/>
    <n v="0"/>
    <n v="3000"/>
    <m/>
    <m/>
    <m/>
    <n v="0"/>
    <n v="0"/>
    <m/>
    <m/>
    <m/>
    <m/>
    <m/>
  </r>
  <r>
    <d v="2026-05-13T00:00:00"/>
    <x v="0"/>
    <s v="ADVANCE TO WORKERS"/>
    <s v="NON"/>
    <m/>
    <n v="0"/>
    <n v="0"/>
    <n v="1000"/>
    <m/>
    <m/>
    <m/>
    <n v="0"/>
    <n v="0"/>
    <m/>
    <m/>
    <m/>
    <m/>
    <m/>
  </r>
  <r>
    <d v="2026-05-14T00:00:00"/>
    <x v="0"/>
    <s v="STAFF WELFARE EXPENSES"/>
    <s v="NON"/>
    <n v="55"/>
    <s v="NO TAX"/>
    <n v="55"/>
    <m/>
    <m/>
    <m/>
    <m/>
    <n v="0"/>
    <n v="0"/>
    <m/>
    <m/>
    <m/>
    <m/>
    <m/>
  </r>
  <r>
    <d v="2026-05-14T00:00:00"/>
    <x v="0"/>
    <s v="ADVANCE TO WORKERS"/>
    <s v="NON"/>
    <m/>
    <n v="0"/>
    <n v="0"/>
    <n v="100"/>
    <m/>
    <m/>
    <m/>
    <n v="0"/>
    <n v="0"/>
    <m/>
    <m/>
    <m/>
    <m/>
    <m/>
  </r>
  <r>
    <d v="2026-05-14T00:00:00"/>
    <x v="0"/>
    <s v="ADVANCE TO WORKERS"/>
    <s v="NON"/>
    <m/>
    <n v="0"/>
    <n v="0"/>
    <n v="100"/>
    <m/>
    <m/>
    <m/>
    <n v="0"/>
    <n v="0"/>
    <m/>
    <m/>
    <m/>
    <m/>
    <m/>
  </r>
  <r>
    <d v="2026-05-14T00:00:00"/>
    <x v="0"/>
    <s v="ADVANCE TO WORKERS"/>
    <s v="NON"/>
    <m/>
    <n v="0"/>
    <n v="0"/>
    <n v="1200"/>
    <m/>
    <m/>
    <m/>
    <n v="0"/>
    <n v="0"/>
    <m/>
    <m/>
    <m/>
    <m/>
    <m/>
  </r>
  <r>
    <d v="2026-05-14T00:00:00"/>
    <x v="0"/>
    <s v="FACTORY CONSUMABLES"/>
    <s v="NON"/>
    <n v="857.14"/>
    <n v="42.856999999999999"/>
    <n v="899.99699999999996"/>
    <m/>
    <m/>
    <m/>
    <m/>
    <n v="0"/>
    <n v="0"/>
    <m/>
    <m/>
    <m/>
    <m/>
    <m/>
  </r>
  <r>
    <d v="2026-05-14T00:00:00"/>
    <x v="0"/>
    <s v="PETROL TOYOTA COROLLA"/>
    <s v="NON"/>
    <n v="150"/>
    <s v="NO TAX"/>
    <n v="150"/>
    <m/>
    <m/>
    <m/>
    <m/>
    <n v="0"/>
    <n v="0"/>
    <m/>
    <m/>
    <m/>
    <m/>
    <m/>
  </r>
  <r>
    <d v="2026-05-14T00:00:00"/>
    <x v="0"/>
    <s v="FACTORY CONSUMABLES"/>
    <s v="NON"/>
    <n v="133.33000000000001"/>
    <n v="6.666500000000001"/>
    <n v="139.99650000000003"/>
    <m/>
    <m/>
    <m/>
    <m/>
    <n v="0"/>
    <n v="0"/>
    <m/>
    <m/>
    <m/>
    <m/>
    <m/>
  </r>
  <r>
    <d v="2026-05-14T00:00:00"/>
    <x v="0"/>
    <s v="FACTORY CONSUMABLES"/>
    <s v="NON"/>
    <n v="109.53"/>
    <n v="5.4765000000000006"/>
    <n v="115.0065"/>
    <m/>
    <m/>
    <m/>
    <m/>
    <n v="0"/>
    <n v="0"/>
    <m/>
    <m/>
    <m/>
    <m/>
    <m/>
  </r>
  <r>
    <d v="2026-05-14T00:00:00"/>
    <x v="0"/>
    <s v="FACTORY CONSUMABLES"/>
    <s v="NON"/>
    <n v="52.38"/>
    <n v="2.6190000000000002"/>
    <n v="54.999000000000002"/>
    <m/>
    <m/>
    <m/>
    <m/>
    <n v="0"/>
    <n v="0"/>
    <m/>
    <m/>
    <m/>
    <m/>
    <m/>
  </r>
  <r>
    <d v="2026-05-14T00:00:00"/>
    <x v="0"/>
    <s v="FACTORY CONSUMABLES"/>
    <s v="NON"/>
    <n v="2"/>
    <s v="NO TAX"/>
    <n v="2"/>
    <m/>
    <m/>
    <m/>
    <m/>
    <n v="0"/>
    <n v="0"/>
    <m/>
    <m/>
    <m/>
    <m/>
    <m/>
  </r>
  <r>
    <d v="2026-05-15T00:00:00"/>
    <x v="0"/>
    <s v="ADVANCE TO WORKERS"/>
    <s v="NON"/>
    <m/>
    <n v="0"/>
    <n v="0"/>
    <n v="1000"/>
    <m/>
    <m/>
    <m/>
    <n v="0"/>
    <n v="0"/>
    <m/>
    <m/>
    <m/>
    <m/>
    <m/>
  </r>
  <r>
    <d v="2026-05-15T00:00:00"/>
    <x v="0"/>
    <s v="ADVANCE TO WORKERS"/>
    <s v="NON"/>
    <m/>
    <n v="0"/>
    <n v="0"/>
    <n v="50"/>
    <m/>
    <m/>
    <m/>
    <n v="0"/>
    <n v="0"/>
    <m/>
    <m/>
    <m/>
    <m/>
    <m/>
  </r>
  <r>
    <d v="2026-05-15T00:00:00"/>
    <x v="0"/>
    <s v="ADVANCE TO WORKERS"/>
    <s v="NON"/>
    <m/>
    <n v="0"/>
    <n v="0"/>
    <n v="100"/>
    <m/>
    <m/>
    <m/>
    <n v="0"/>
    <n v="0"/>
    <m/>
    <m/>
    <m/>
    <m/>
    <m/>
  </r>
  <r>
    <d v="2026-05-15T00:00:00"/>
    <x v="0"/>
    <s v="ADVANCE TO WORKERS"/>
    <s v="NON"/>
    <m/>
    <n v="0"/>
    <n v="0"/>
    <n v="500"/>
    <m/>
    <m/>
    <m/>
    <n v="0"/>
    <n v="0"/>
    <m/>
    <m/>
    <m/>
    <m/>
    <m/>
  </r>
  <r>
    <d v="2026-05-15T00:00:00"/>
    <x v="0"/>
    <s v="ADVANCE TO WORKERS"/>
    <s v="NON"/>
    <m/>
    <n v="0"/>
    <n v="0"/>
    <n v="200"/>
    <m/>
    <m/>
    <m/>
    <n v="0"/>
    <n v="0"/>
    <m/>
    <m/>
    <m/>
    <m/>
    <m/>
  </r>
  <r>
    <d v="2026-05-15T00:00:00"/>
    <x v="0"/>
    <s v="STATIONERY EXPENSES"/>
    <s v="NON"/>
    <n v="11.43"/>
    <n v="0.57150000000000001"/>
    <n v="12.0015"/>
    <m/>
    <m/>
    <m/>
    <m/>
    <n v="0"/>
    <n v="0"/>
    <m/>
    <m/>
    <m/>
    <m/>
    <m/>
  </r>
  <r>
    <d v="2026-05-15T00:00:00"/>
    <x v="0"/>
    <s v="COMPUTER REPAIR &amp; MAINT"/>
    <s v="NON"/>
    <n v="25"/>
    <s v="NO TAX"/>
    <n v="25"/>
    <m/>
    <m/>
    <m/>
    <m/>
    <n v="0"/>
    <n v="0"/>
    <m/>
    <m/>
    <m/>
    <m/>
    <m/>
  </r>
  <r>
    <d v="2026-05-15T00:00:00"/>
    <x v="5"/>
    <s v="DEWA &amp; EMPOWER EXP ALKHIAL"/>
    <s v="NON"/>
    <n v="759.17"/>
    <s v="NO TAX"/>
    <n v="759.17"/>
    <m/>
    <m/>
    <m/>
    <m/>
    <n v="0"/>
    <n v="0"/>
    <m/>
    <m/>
    <m/>
    <m/>
    <m/>
  </r>
  <r>
    <d v="2026-05-16T00:00:00"/>
    <x v="0"/>
    <s v="FACTORY CONSUMABLES"/>
    <s v="NON"/>
    <n v="5714.29"/>
    <n v="285.71449999999999"/>
    <n v="6000.0045"/>
    <m/>
    <m/>
    <m/>
    <m/>
    <n v="0"/>
    <n v="0"/>
    <m/>
    <m/>
    <m/>
    <m/>
    <m/>
  </r>
  <r>
    <d v="2026-05-16T00:00:00"/>
    <x v="0"/>
    <s v="AL KHAREEF RESTAURANT"/>
    <s v="NON"/>
    <n v="1500"/>
    <s v="NO TAX"/>
    <n v="1500"/>
    <m/>
    <m/>
    <m/>
    <m/>
    <n v="0"/>
    <n v="0"/>
    <m/>
    <m/>
    <m/>
    <m/>
    <m/>
  </r>
  <r>
    <d v="2026-05-16T00:00:00"/>
    <x v="0"/>
    <s v="FACTORY CONSUMABLES"/>
    <s v="NON"/>
    <n v="1335"/>
    <n v="66.75"/>
    <n v="1401.75"/>
    <m/>
    <m/>
    <m/>
    <m/>
    <n v="0"/>
    <n v="0"/>
    <m/>
    <m/>
    <m/>
    <m/>
    <m/>
  </r>
  <r>
    <d v="2026-05-16T00:00:00"/>
    <x v="0"/>
    <s v="SALARY PAYBLE"/>
    <s v="NON"/>
    <n v="520"/>
    <s v="NO TAX"/>
    <n v="520"/>
    <m/>
    <m/>
    <m/>
    <m/>
    <n v="0"/>
    <n v="0"/>
    <m/>
    <m/>
    <m/>
    <m/>
    <m/>
  </r>
  <r>
    <d v="2026-05-16T00:00:00"/>
    <x v="0"/>
    <s v="LOCAL TRAVILING EXPENSES"/>
    <s v="NON"/>
    <n v="80"/>
    <s v="NO TAX"/>
    <n v="80"/>
    <m/>
    <m/>
    <m/>
    <m/>
    <n v="0"/>
    <n v="0"/>
    <m/>
    <m/>
    <m/>
    <m/>
    <m/>
  </r>
  <r>
    <d v="2026-05-16T00:00:00"/>
    <x v="0"/>
    <s v="ADVANCE TO WORKERS"/>
    <s v="NON"/>
    <m/>
    <n v="0"/>
    <n v="0"/>
    <n v="100"/>
    <m/>
    <m/>
    <m/>
    <n v="0"/>
    <n v="0"/>
    <m/>
    <m/>
    <m/>
    <m/>
    <m/>
  </r>
  <r>
    <d v="2026-05-16T00:00:00"/>
    <x v="0"/>
    <s v="TEA &amp; FOOD EXPENSES"/>
    <s v="NON"/>
    <n v="9"/>
    <s v="NO TAX"/>
    <n v="9"/>
    <m/>
    <m/>
    <m/>
    <m/>
    <n v="0"/>
    <n v="0"/>
    <m/>
    <m/>
    <m/>
    <m/>
    <m/>
  </r>
  <r>
    <d v="2026-05-16T00:00:00"/>
    <x v="0"/>
    <s v="HOSPITAL &amp; MEDICAL EXP'S"/>
    <s v="NON"/>
    <n v="50"/>
    <s v="NO TAX"/>
    <n v="50"/>
    <m/>
    <m/>
    <m/>
    <m/>
    <n v="0"/>
    <n v="0"/>
    <m/>
    <m/>
    <m/>
    <m/>
    <m/>
  </r>
  <r>
    <d v="2026-05-16T00:00:00"/>
    <x v="0"/>
    <s v="HOSPITAL &amp; MEDICAL EXP'S"/>
    <s v="NON"/>
    <n v="58"/>
    <s v="NO TAX"/>
    <n v="58"/>
    <m/>
    <m/>
    <m/>
    <m/>
    <n v="0"/>
    <n v="0"/>
    <m/>
    <m/>
    <m/>
    <m/>
    <m/>
  </r>
  <r>
    <d v="2026-05-16T00:00:00"/>
    <x v="0"/>
    <s v="HOSPITAL &amp; MEDICAL EXP'S"/>
    <s v="NON"/>
    <n v="50"/>
    <s v="NO TAX"/>
    <n v="50"/>
    <m/>
    <m/>
    <m/>
    <m/>
    <n v="0"/>
    <n v="0"/>
    <m/>
    <m/>
    <m/>
    <m/>
    <m/>
  </r>
  <r>
    <d v="2026-05-16T00:00:00"/>
    <x v="0"/>
    <s v="ADVANCE TO WORKERS"/>
    <s v="NON"/>
    <m/>
    <n v="0"/>
    <n v="0"/>
    <n v="1050"/>
    <m/>
    <m/>
    <m/>
    <n v="0"/>
    <n v="0"/>
    <m/>
    <m/>
    <m/>
    <m/>
    <m/>
  </r>
  <r>
    <d v="2026-05-16T00:00:00"/>
    <x v="0"/>
    <s v="PETROL TOYOTA COROLLA"/>
    <s v="NON"/>
    <n v="100"/>
    <s v="NO TAX"/>
    <n v="100"/>
    <m/>
    <m/>
    <m/>
    <m/>
    <n v="0"/>
    <n v="0"/>
    <m/>
    <m/>
    <m/>
    <m/>
    <m/>
  </r>
  <r>
    <d v="2026-05-16T00:00:00"/>
    <x v="0"/>
    <s v="COMPUTER REPAIR &amp; MAINT"/>
    <s v="NON"/>
    <n v="25"/>
    <s v="NO TAX"/>
    <n v="25"/>
    <m/>
    <m/>
    <m/>
    <m/>
    <n v="0"/>
    <n v="0"/>
    <m/>
    <m/>
    <m/>
    <m/>
    <m/>
  </r>
  <r>
    <d v="2026-05-16T00:00:00"/>
    <x v="0"/>
    <s v="ADVANCE TO WORKERS"/>
    <s v="NON"/>
    <m/>
    <n v="0"/>
    <n v="0"/>
    <n v="5440"/>
    <m/>
    <m/>
    <m/>
    <n v="0"/>
    <n v="0"/>
    <m/>
    <m/>
    <m/>
    <m/>
    <m/>
  </r>
  <r>
    <d v="2026-05-18T00:00:00"/>
    <x v="0"/>
    <s v="ADVANCE TO WORKERS"/>
    <s v="NON"/>
    <m/>
    <n v="0"/>
    <n v="0"/>
    <n v="50"/>
    <m/>
    <m/>
    <m/>
    <n v="0"/>
    <n v="0"/>
    <m/>
    <m/>
    <m/>
    <m/>
    <m/>
  </r>
  <r>
    <d v="2026-05-18T00:00:00"/>
    <x v="0"/>
    <s v="ADVANCE TO WORKERS"/>
    <s v="NON"/>
    <m/>
    <n v="0"/>
    <n v="0"/>
    <n v="400"/>
    <m/>
    <m/>
    <m/>
    <n v="0"/>
    <n v="0"/>
    <m/>
    <m/>
    <m/>
    <m/>
    <m/>
  </r>
  <r>
    <d v="2026-05-18T00:00:00"/>
    <x v="0"/>
    <s v="STAFF WELFARE EXPENSES"/>
    <s v="NON"/>
    <n v="21"/>
    <s v="NO TAX"/>
    <n v="21"/>
    <m/>
    <m/>
    <m/>
    <m/>
    <n v="0"/>
    <n v="0"/>
    <m/>
    <m/>
    <m/>
    <m/>
    <m/>
  </r>
  <r>
    <d v="2026-05-18T00:00:00"/>
    <x v="0"/>
    <s v="ADVANCE TO WORKERS"/>
    <s v="NON"/>
    <m/>
    <n v="0"/>
    <n v="0"/>
    <n v="4200"/>
    <m/>
    <m/>
    <m/>
    <n v="0"/>
    <n v="0"/>
    <m/>
    <m/>
    <m/>
    <m/>
    <m/>
  </r>
  <r>
    <d v="2026-05-18T00:00:00"/>
    <x v="0"/>
    <s v="ADVANCE TO WORKERS"/>
    <s v="NON"/>
    <m/>
    <n v="0"/>
    <n v="0"/>
    <n v="2000"/>
    <m/>
    <m/>
    <m/>
    <n v="0"/>
    <n v="0"/>
    <m/>
    <m/>
    <m/>
    <m/>
    <m/>
  </r>
  <r>
    <d v="2026-05-18T00:00:00"/>
    <x v="0"/>
    <s v="STAFF WELFARE EXPENSES"/>
    <s v="NON"/>
    <n v="58"/>
    <s v="NO TAX"/>
    <n v="58"/>
    <m/>
    <m/>
    <m/>
    <m/>
    <n v="0"/>
    <n v="0"/>
    <m/>
    <m/>
    <m/>
    <m/>
    <m/>
  </r>
  <r>
    <d v="2026-05-18T00:00:00"/>
    <x v="0"/>
    <s v="ADVANCE TO WORKERS"/>
    <s v="NON"/>
    <m/>
    <n v="0"/>
    <n v="0"/>
    <n v="100"/>
    <m/>
    <m/>
    <m/>
    <n v="0"/>
    <n v="0"/>
    <m/>
    <m/>
    <m/>
    <m/>
    <m/>
  </r>
  <r>
    <d v="2026-05-18T00:00:00"/>
    <x v="0"/>
    <s v="VISA RELATED EXPENSES"/>
    <s v="NON"/>
    <n v="1800"/>
    <s v="NO TAX"/>
    <n v="1800"/>
    <m/>
    <m/>
    <m/>
    <m/>
    <n v="0"/>
    <n v="0"/>
    <m/>
    <m/>
    <m/>
    <m/>
    <m/>
  </r>
  <r>
    <d v="2026-05-19T00:00:00"/>
    <x v="0"/>
    <s v="FACTORY CONSUMABLES"/>
    <s v="NON"/>
    <n v="3950.1"/>
    <n v="197.505"/>
    <n v="4147.6049999999996"/>
    <m/>
    <m/>
    <m/>
    <m/>
    <n v="0"/>
    <n v="0"/>
    <m/>
    <m/>
    <m/>
    <m/>
    <m/>
  </r>
  <r>
    <d v="2026-05-19T00:00:00"/>
    <x v="0"/>
    <s v="ADVANCE TO WORKERS"/>
    <s v="NON"/>
    <m/>
    <n v="0"/>
    <n v="0"/>
    <n v="100"/>
    <m/>
    <m/>
    <m/>
    <n v="0"/>
    <n v="0"/>
    <m/>
    <m/>
    <m/>
    <m/>
    <m/>
  </r>
  <r>
    <d v="2026-05-19T00:00:00"/>
    <x v="0"/>
    <s v="ADVANCE TO WORKERS"/>
    <s v="NON"/>
    <m/>
    <n v="0"/>
    <n v="0"/>
    <n v="100"/>
    <m/>
    <m/>
    <m/>
    <n v="0"/>
    <n v="0"/>
    <m/>
    <m/>
    <m/>
    <m/>
    <m/>
  </r>
  <r>
    <d v="2026-05-19T00:00:00"/>
    <x v="1"/>
    <s v="AIR FLIGHT TRAVELLING EXPENSES"/>
    <s v="NON"/>
    <n v="1630.18"/>
    <s v="NO TAX"/>
    <n v="1630.18"/>
    <m/>
    <m/>
    <m/>
    <m/>
    <n v="0"/>
    <n v="0"/>
    <m/>
    <m/>
    <m/>
    <m/>
    <m/>
  </r>
  <r>
    <d v="2026-05-19T00:00:00"/>
    <x v="1"/>
    <s v="SALIK RECHARGE FOR CAR"/>
    <s v="NON"/>
    <n v="500"/>
    <s v="NO TAX"/>
    <n v="500"/>
    <m/>
    <m/>
    <m/>
    <m/>
    <n v="0"/>
    <n v="0"/>
    <m/>
    <m/>
    <m/>
    <m/>
    <m/>
  </r>
  <r>
    <d v="2026-05-20T00:00:00"/>
    <x v="0"/>
    <s v="STAFF WELFARE EXPENSES"/>
    <s v="NON"/>
    <n v="441.5"/>
    <s v="NO TAX"/>
    <n v="441.5"/>
    <m/>
    <m/>
    <m/>
    <m/>
    <n v="0"/>
    <n v="0"/>
    <m/>
    <m/>
    <m/>
    <m/>
    <m/>
  </r>
  <r>
    <d v="2026-05-20T00:00:00"/>
    <x v="0"/>
    <s v="VAT PAYABLE"/>
    <s v="NON"/>
    <n v="40221.96"/>
    <s v="NO TAX"/>
    <n v="40221.96"/>
    <m/>
    <m/>
    <m/>
    <m/>
    <n v="0"/>
    <n v="0"/>
    <m/>
    <m/>
    <m/>
    <m/>
    <m/>
  </r>
  <r>
    <d v="2026-05-20T00:00:00"/>
    <x v="0"/>
    <s v="FACTORY CONSUMABLES"/>
    <s v="NON"/>
    <n v="200"/>
    <n v="10"/>
    <n v="210"/>
    <m/>
    <m/>
    <m/>
    <m/>
    <n v="0"/>
    <n v="0"/>
    <m/>
    <m/>
    <m/>
    <m/>
    <m/>
  </r>
  <r>
    <d v="2026-05-20T00:00:00"/>
    <x v="0"/>
    <s v="PETROL TOYOTA COROLLA"/>
    <s v="NON"/>
    <n v="165"/>
    <s v="NO TAX"/>
    <n v="165"/>
    <m/>
    <m/>
    <m/>
    <m/>
    <n v="0"/>
    <n v="0"/>
    <m/>
    <m/>
    <m/>
    <m/>
    <m/>
  </r>
  <r>
    <d v="2026-05-20T00:00:00"/>
    <x v="1"/>
    <s v="AIR FLIGHT TRAVELLING EXPENSES"/>
    <s v="NON"/>
    <n v="3226.56"/>
    <s v="NO TAX"/>
    <n v="3226.56"/>
    <m/>
    <m/>
    <m/>
    <m/>
    <n v="0"/>
    <n v="0"/>
    <m/>
    <m/>
    <m/>
    <m/>
    <m/>
  </r>
  <r>
    <d v="2026-05-20T00:00:00"/>
    <x v="0"/>
    <s v="SERVICE CHARGES"/>
    <s v="NON"/>
    <n v="24.26"/>
    <s v="NO TAX"/>
    <n v="24.26"/>
    <m/>
    <m/>
    <m/>
    <m/>
    <n v="0"/>
    <n v="0"/>
    <m/>
    <m/>
    <m/>
    <m/>
    <m/>
  </r>
  <r>
    <d v="2026-05-20T00:00:00"/>
    <x v="1"/>
    <s v="ADVANCE TO WORKERS"/>
    <s v="NON"/>
    <m/>
    <n v="0"/>
    <n v="0"/>
    <n v="2151.04"/>
    <m/>
    <m/>
    <m/>
    <n v="0"/>
    <n v="0"/>
    <m/>
    <m/>
    <m/>
    <m/>
    <m/>
  </r>
  <r>
    <d v="2026-05-21T00:00:00"/>
    <x v="0"/>
    <s v="FACTORY CONSUMABLES"/>
    <s v="NON"/>
    <n v="76.2"/>
    <n v="3.8100000000000005"/>
    <n v="80.010000000000005"/>
    <m/>
    <m/>
    <m/>
    <m/>
    <n v="0"/>
    <n v="0"/>
    <m/>
    <m/>
    <m/>
    <m/>
    <m/>
  </r>
  <r>
    <d v="2026-05-21T00:00:00"/>
    <x v="0"/>
    <s v="FACTORY CONSUMABLES"/>
    <s v="NON"/>
    <n v="238.1"/>
    <n v="11.905000000000001"/>
    <n v="250.005"/>
    <m/>
    <m/>
    <m/>
    <m/>
    <n v="0"/>
    <n v="0"/>
    <m/>
    <m/>
    <m/>
    <m/>
    <m/>
  </r>
  <r>
    <d v="2026-05-21T00:00:00"/>
    <x v="0"/>
    <s v="LOCAL TRAVILING EXPENSES"/>
    <s v="NON"/>
    <n v="80"/>
    <s v="NO TAX"/>
    <n v="80"/>
    <m/>
    <m/>
    <m/>
    <m/>
    <n v="0"/>
    <n v="0"/>
    <m/>
    <m/>
    <m/>
    <m/>
    <m/>
  </r>
  <r>
    <d v="2026-05-21T00:00:00"/>
    <x v="0"/>
    <s v="ADVANCE TO WORKERS"/>
    <s v="NON"/>
    <m/>
    <n v="0"/>
    <n v="0"/>
    <n v="200"/>
    <m/>
    <m/>
    <m/>
    <n v="0"/>
    <n v="0"/>
    <m/>
    <m/>
    <m/>
    <m/>
    <m/>
  </r>
  <r>
    <d v="2026-05-21T00:00:00"/>
    <x v="0"/>
    <s v="ADVANCE TO WORKERS"/>
    <s v="NON"/>
    <m/>
    <n v="0"/>
    <n v="0"/>
    <n v="1300"/>
    <m/>
    <m/>
    <m/>
    <n v="0"/>
    <n v="0"/>
    <m/>
    <m/>
    <m/>
    <m/>
    <m/>
  </r>
  <r>
    <d v="2026-05-21T00:00:00"/>
    <x v="0"/>
    <s v="STAFF WELFARE EXPENSES"/>
    <s v="NON"/>
    <n v="58"/>
    <s v="NO TAX"/>
    <n v="58"/>
    <m/>
    <m/>
    <m/>
    <m/>
    <n v="0"/>
    <n v="0"/>
    <m/>
    <m/>
    <m/>
    <m/>
    <m/>
  </r>
  <r>
    <d v="2026-05-21T00:00:00"/>
    <x v="0"/>
    <s v="ADVANCE TO WORKERS"/>
    <s v="NON"/>
    <m/>
    <n v="0"/>
    <n v="0"/>
    <n v="500"/>
    <m/>
    <m/>
    <m/>
    <n v="0"/>
    <n v="0"/>
    <m/>
    <m/>
    <m/>
    <m/>
    <m/>
  </r>
  <r>
    <d v="2026-05-21T00:00:00"/>
    <x v="0"/>
    <s v="TEA &amp; FOOD EXPENSES"/>
    <s v="NON"/>
    <n v="10"/>
    <s v="NO TAX"/>
    <n v="10"/>
    <m/>
    <m/>
    <m/>
    <m/>
    <n v="0"/>
    <n v="0"/>
    <m/>
    <m/>
    <m/>
    <m/>
    <m/>
  </r>
  <r>
    <d v="2026-05-21T00:00:00"/>
    <x v="1"/>
    <s v="AIR FLIGHT TRAVELLING EXPENSES"/>
    <s v="NON"/>
    <n v="1072.75"/>
    <s v="NO TAX"/>
    <n v="1072.75"/>
    <m/>
    <m/>
    <m/>
    <m/>
    <n v="0"/>
    <n v="0"/>
    <m/>
    <m/>
    <m/>
    <m/>
    <m/>
  </r>
  <r>
    <d v="2026-05-22T00:00:00"/>
    <x v="0"/>
    <s v="PROFESSIONAL FEES"/>
    <s v="NON"/>
    <n v="7875"/>
    <s v="NO TAX"/>
    <n v="7875"/>
    <m/>
    <m/>
    <m/>
    <m/>
    <n v="0"/>
    <n v="0"/>
    <m/>
    <m/>
    <m/>
    <m/>
    <m/>
  </r>
  <r>
    <d v="2026-05-22T00:00:00"/>
    <x v="0"/>
    <s v="ADVANCE TO WORKERS"/>
    <s v="NON"/>
    <m/>
    <n v="0"/>
    <n v="0"/>
    <n v="500"/>
    <m/>
    <m/>
    <m/>
    <n v="0"/>
    <n v="0"/>
    <m/>
    <m/>
    <m/>
    <m/>
    <m/>
  </r>
  <r>
    <d v="2026-05-22T00:00:00"/>
    <x v="0"/>
    <s v="FACTORY EXPENSES"/>
    <s v="NON"/>
    <n v="37"/>
    <s v="NO TAX"/>
    <n v="37"/>
    <m/>
    <m/>
    <m/>
    <m/>
    <n v="0"/>
    <n v="0"/>
    <m/>
    <m/>
    <m/>
    <m/>
    <m/>
  </r>
  <r>
    <d v="2026-05-22T00:00:00"/>
    <x v="0"/>
    <s v="PERSONAL EXP ZAHEER BHAI"/>
    <s v="NON"/>
    <m/>
    <n v="0"/>
    <n v="0"/>
    <m/>
    <m/>
    <n v="15000"/>
    <m/>
    <n v="0"/>
    <n v="0"/>
    <m/>
    <m/>
    <m/>
    <m/>
    <m/>
  </r>
  <r>
    <d v="2026-05-22T00:00:00"/>
    <x v="0"/>
    <s v="AIR FLIGHT TRAVELLING EXPENSES"/>
    <s v="NON"/>
    <n v="200"/>
    <s v="NO TAX"/>
    <n v="200"/>
    <m/>
    <m/>
    <m/>
    <m/>
    <n v="0"/>
    <n v="0"/>
    <m/>
    <m/>
    <m/>
    <m/>
    <m/>
  </r>
  <r>
    <d v="2026-05-22T00:00:00"/>
    <x v="0"/>
    <s v="STAFF WELFARE EXPENSES"/>
    <s v="NON"/>
    <n v="58"/>
    <s v="NO TAX"/>
    <n v="58"/>
    <m/>
    <m/>
    <m/>
    <m/>
    <n v="0"/>
    <n v="0"/>
    <m/>
    <m/>
    <m/>
    <m/>
    <m/>
  </r>
  <r>
    <d v="2026-05-22T00:00:00"/>
    <x v="0"/>
    <s v="HOSPITAL &amp; MEDICAL EXP'S"/>
    <s v="NON"/>
    <n v="126.5"/>
    <s v="NO TAX"/>
    <n v="126.5"/>
    <m/>
    <m/>
    <m/>
    <m/>
    <n v="0"/>
    <n v="0"/>
    <m/>
    <m/>
    <m/>
    <m/>
    <m/>
  </r>
  <r>
    <d v="2026-05-22T00:00:00"/>
    <x v="0"/>
    <s v="STAFF WELFARE EXPENSES"/>
    <s v="NON"/>
    <n v="58"/>
    <s v="NO TAX"/>
    <n v="58"/>
    <m/>
    <m/>
    <m/>
    <m/>
    <n v="0"/>
    <n v="0"/>
    <m/>
    <m/>
    <m/>
    <m/>
    <m/>
  </r>
  <r>
    <d v="2026-05-22T00:00:00"/>
    <x v="0"/>
    <s v="STAFF WELFARE EXPENSES"/>
    <s v="NON"/>
    <n v="58"/>
    <s v="NO TAX"/>
    <n v="58"/>
    <m/>
    <m/>
    <m/>
    <m/>
    <n v="0"/>
    <n v="0"/>
    <m/>
    <m/>
    <m/>
    <m/>
    <m/>
  </r>
  <r>
    <d v="2026-05-23T00:00:00"/>
    <x v="1"/>
    <s v="FACTORY CONSUMABLES"/>
    <s v="NON"/>
    <n v="10451.459999999999"/>
    <s v="NO TAX"/>
    <n v="10451.459999999999"/>
    <m/>
    <m/>
    <m/>
    <m/>
    <n v="0"/>
    <n v="0"/>
    <m/>
    <m/>
    <m/>
    <m/>
    <m/>
  </r>
  <r>
    <d v="2026-05-20T00:00:00"/>
    <x v="0"/>
    <s v="PERSONAL EXP ZAHEER BHAI"/>
    <s v="NON"/>
    <m/>
    <n v="0"/>
    <n v="0"/>
    <m/>
    <m/>
    <n v="10000"/>
    <m/>
    <n v="0"/>
    <n v="0"/>
    <m/>
    <m/>
    <m/>
    <m/>
    <m/>
  </r>
  <r>
    <d v="2026-05-22T00:00:00"/>
    <x v="6"/>
    <s v="BANK CHARGES"/>
    <s v="NON"/>
    <n v="26.25"/>
    <s v="NO TAX"/>
    <n v="26.25"/>
    <m/>
    <m/>
    <m/>
    <m/>
    <n v="0"/>
    <n v="0"/>
    <m/>
    <m/>
    <m/>
    <m/>
    <m/>
  </r>
  <r>
    <d v="2026-05-22T00:00:00"/>
    <x v="0"/>
    <s v="SCRAP INCOME"/>
    <s v="NON"/>
    <m/>
    <n v="0"/>
    <n v="0"/>
    <m/>
    <m/>
    <m/>
    <m/>
    <n v="0"/>
    <n v="0"/>
    <m/>
    <m/>
    <n v="800"/>
    <m/>
    <m/>
  </r>
  <r>
    <d v="2026-05-22T00:00:00"/>
    <x v="0"/>
    <s v="FACTORY CONSUMABLES"/>
    <s v="NON"/>
    <m/>
    <n v="0"/>
    <n v="0"/>
    <m/>
    <m/>
    <m/>
    <m/>
    <n v="0"/>
    <n v="0"/>
    <n v="1970"/>
    <m/>
    <m/>
    <m/>
    <m/>
  </r>
  <r>
    <d v="2026-05-23T00:00:00"/>
    <x v="0"/>
    <s v="AL KHAREEF RESTAURANT"/>
    <s v="NON"/>
    <n v="1000"/>
    <s v="NO TAX"/>
    <n v="1000"/>
    <m/>
    <m/>
    <m/>
    <m/>
    <n v="0"/>
    <n v="0"/>
    <m/>
    <m/>
    <m/>
    <m/>
    <m/>
  </r>
  <r>
    <d v="2026-05-23T00:00:00"/>
    <x v="0"/>
    <s v="FACTORY CONSUMABLES"/>
    <s v="NON"/>
    <n v="1030.48"/>
    <n v="51.524000000000001"/>
    <n v="1082.0039999999999"/>
    <m/>
    <m/>
    <m/>
    <m/>
    <n v="0"/>
    <n v="0"/>
    <m/>
    <m/>
    <m/>
    <m/>
    <m/>
  </r>
  <r>
    <d v="2026-05-23T00:00:00"/>
    <x v="0"/>
    <s v="SOFTWARE"/>
    <s v="NON"/>
    <n v="160"/>
    <s v="NO TAX"/>
    <n v="160"/>
    <m/>
    <m/>
    <m/>
    <m/>
    <n v="0"/>
    <n v="0"/>
    <m/>
    <m/>
    <m/>
    <m/>
    <m/>
  </r>
  <r>
    <d v="2026-05-23T00:00:00"/>
    <x v="0"/>
    <s v="MACHINERY &amp; REPAIR MAINTAINCE"/>
    <s v="NON"/>
    <n v="250"/>
    <s v="NO TAX"/>
    <n v="250"/>
    <m/>
    <m/>
    <m/>
    <m/>
    <n v="0"/>
    <n v="0"/>
    <m/>
    <m/>
    <m/>
    <m/>
    <m/>
  </r>
  <r>
    <d v="2026-05-23T00:00:00"/>
    <x v="0"/>
    <s v="ADVANCE TO WORKERS"/>
    <s v="NON"/>
    <m/>
    <n v="0"/>
    <n v="0"/>
    <n v="500"/>
    <m/>
    <m/>
    <m/>
    <n v="0"/>
    <n v="0"/>
    <m/>
    <m/>
    <m/>
    <m/>
    <m/>
  </r>
  <r>
    <d v="2026-05-23T00:00:00"/>
    <x v="0"/>
    <s v="ADVANCE TO WORKERS"/>
    <s v="NON"/>
    <m/>
    <n v="0"/>
    <n v="0"/>
    <n v="250"/>
    <m/>
    <m/>
    <m/>
    <n v="0"/>
    <n v="0"/>
    <m/>
    <m/>
    <m/>
    <m/>
    <m/>
  </r>
  <r>
    <d v="2026-05-23T00:00:00"/>
    <x v="0"/>
    <s v="ADVANCE TO WORKERS"/>
    <s v="NON"/>
    <m/>
    <n v="0"/>
    <n v="0"/>
    <n v="1250"/>
    <m/>
    <m/>
    <m/>
    <n v="0"/>
    <n v="0"/>
    <m/>
    <m/>
    <m/>
    <m/>
    <m/>
  </r>
  <r>
    <d v="2026-05-23T00:00:00"/>
    <x v="0"/>
    <s v="STAFF WELFARE EXPENSES"/>
    <s v="NON"/>
    <n v="58"/>
    <s v="NO TAX"/>
    <n v="58"/>
    <m/>
    <m/>
    <m/>
    <m/>
    <n v="0"/>
    <n v="0"/>
    <m/>
    <m/>
    <m/>
    <m/>
    <m/>
  </r>
  <r>
    <d v="2026-05-23T00:00:00"/>
    <x v="0"/>
    <s v="PETROL TOYOTA COROLLA"/>
    <s v="NON"/>
    <n v="160"/>
    <s v="NO TAX"/>
    <n v="160"/>
    <m/>
    <m/>
    <m/>
    <m/>
    <n v="0"/>
    <n v="0"/>
    <m/>
    <m/>
    <m/>
    <m/>
    <m/>
  </r>
  <r>
    <d v="2026-05-23T00:00:00"/>
    <x v="0"/>
    <s v="FACTORY EXPENSES"/>
    <s v="NON"/>
    <n v="30"/>
    <n v="1.5"/>
    <n v="31.5"/>
    <m/>
    <m/>
    <m/>
    <m/>
    <n v="0"/>
    <n v="0"/>
    <m/>
    <m/>
    <m/>
    <m/>
    <m/>
  </r>
  <r>
    <d v="2026-05-23T00:00:00"/>
    <x v="0"/>
    <s v="STAFF WELFARE EXPENSES"/>
    <s v="NON"/>
    <n v="58"/>
    <s v="NO TAX"/>
    <n v="58"/>
    <m/>
    <m/>
    <m/>
    <m/>
    <n v="0"/>
    <n v="0"/>
    <m/>
    <m/>
    <m/>
    <m/>
    <m/>
  </r>
  <r>
    <d v="2026-05-23T00:00:00"/>
    <x v="0"/>
    <s v="PERSONAL EXP ZAHEER BHAI"/>
    <s v="NON"/>
    <m/>
    <n v="0"/>
    <n v="0"/>
    <m/>
    <m/>
    <n v="1000"/>
    <m/>
    <n v="0"/>
    <n v="0"/>
    <m/>
    <m/>
    <m/>
    <m/>
    <m/>
  </r>
  <r>
    <d v="2026-05-23T00:00:00"/>
    <x v="0"/>
    <s v="TEA &amp; FOOD EXPENSES"/>
    <s v="NON"/>
    <n v="10"/>
    <s v="NO TAX"/>
    <n v="10"/>
    <m/>
    <m/>
    <m/>
    <m/>
    <n v="0"/>
    <n v="0"/>
    <m/>
    <m/>
    <m/>
    <m/>
    <m/>
  </r>
  <r>
    <d v="2026-05-23T00:00:00"/>
    <x v="0"/>
    <s v="STAFF WELFARE EXPENSES"/>
    <s v="NON"/>
    <n v="200"/>
    <s v="NO TAX"/>
    <n v="200"/>
    <m/>
    <m/>
    <m/>
    <m/>
    <n v="0"/>
    <n v="0"/>
    <m/>
    <m/>
    <m/>
    <m/>
    <m/>
  </r>
  <r>
    <d v="2026-05-25T00:00:00"/>
    <x v="0"/>
    <s v="FACTORY CONSUMABLES"/>
    <s v="NON"/>
    <n v="29.5"/>
    <n v="1.4750000000000001"/>
    <n v="30.975000000000001"/>
    <m/>
    <m/>
    <m/>
    <m/>
    <n v="0"/>
    <n v="0"/>
    <m/>
    <m/>
    <m/>
    <m/>
    <m/>
  </r>
  <r>
    <d v="2026-05-25T00:00:00"/>
    <x v="0"/>
    <s v="FACTORY EXPENSES"/>
    <s v="NON"/>
    <n v="14"/>
    <s v="NO TAX"/>
    <n v="14"/>
    <m/>
    <m/>
    <m/>
    <m/>
    <n v="0"/>
    <n v="0"/>
    <m/>
    <m/>
    <m/>
    <m/>
    <m/>
  </r>
  <r>
    <d v="2026-05-25T00:00:00"/>
    <x v="0"/>
    <s v="STAFF WELFARE EXPENSES"/>
    <s v="NON"/>
    <n v="58"/>
    <s v="NO TAX"/>
    <n v="58"/>
    <m/>
    <m/>
    <m/>
    <m/>
    <n v="0"/>
    <n v="0"/>
    <m/>
    <m/>
    <m/>
    <m/>
    <m/>
  </r>
  <r>
    <d v="2026-05-25T00:00:00"/>
    <x v="0"/>
    <s v="ADVANCE TO WORKERS"/>
    <s v="NON"/>
    <m/>
    <n v="0"/>
    <n v="0"/>
    <n v="100"/>
    <m/>
    <m/>
    <m/>
    <n v="0"/>
    <n v="0"/>
    <m/>
    <m/>
    <m/>
    <m/>
    <m/>
  </r>
  <r>
    <d v="2026-05-25T00:00:00"/>
    <x v="0"/>
    <s v="TEA &amp; FOOD EXPENSES"/>
    <s v="NON"/>
    <n v="7"/>
    <s v="NO TAX"/>
    <n v="7"/>
    <m/>
    <m/>
    <m/>
    <m/>
    <n v="0"/>
    <n v="0"/>
    <m/>
    <m/>
    <m/>
    <m/>
    <m/>
  </r>
  <r>
    <d v="2026-05-26T00:00:00"/>
    <x v="0"/>
    <s v="GOLDEN ROSE"/>
    <s v="NON"/>
    <n v="385"/>
    <s v="NO TAX"/>
    <n v="385"/>
    <m/>
    <m/>
    <m/>
    <m/>
    <n v="0"/>
    <n v="0"/>
    <m/>
    <m/>
    <m/>
    <m/>
    <m/>
  </r>
  <r>
    <d v="2026-05-26T00:00:00"/>
    <x v="0"/>
    <s v="JAMAL TRAVELS"/>
    <s v="NON"/>
    <n v="5000"/>
    <s v="NO TAX"/>
    <n v="5000"/>
    <m/>
    <m/>
    <m/>
    <m/>
    <n v="0"/>
    <n v="0"/>
    <m/>
    <m/>
    <m/>
    <m/>
    <m/>
  </r>
  <r>
    <d v="2026-05-26T00:00:00"/>
    <x v="0"/>
    <s v="FACTORY CONSUMABLES"/>
    <s v="NON"/>
    <n v="527.4"/>
    <n v="26.37"/>
    <n v="553.77"/>
    <m/>
    <m/>
    <m/>
    <m/>
    <n v="0"/>
    <n v="0"/>
    <m/>
    <m/>
    <m/>
    <m/>
    <m/>
  </r>
  <r>
    <d v="2026-05-26T00:00:00"/>
    <x v="0"/>
    <s v="FACTORY EXPENSES"/>
    <s v="NON"/>
    <n v="1000"/>
    <n v="50"/>
    <n v="1050"/>
    <m/>
    <m/>
    <m/>
    <m/>
    <n v="0"/>
    <n v="0"/>
    <m/>
    <m/>
    <m/>
    <m/>
    <m/>
  </r>
  <r>
    <d v="2026-05-26T00:00:00"/>
    <x v="0"/>
    <s v="HOSPITAL &amp; MEDICAL EXP'S"/>
    <s v="NON"/>
    <n v="42"/>
    <s v="NO TAX"/>
    <n v="42"/>
    <m/>
    <m/>
    <m/>
    <m/>
    <n v="0"/>
    <n v="0"/>
    <m/>
    <m/>
    <m/>
    <m/>
    <m/>
  </r>
  <r>
    <d v="2026-05-26T00:00:00"/>
    <x v="0"/>
    <s v="PERSONAL EXP ZAHEER BHAI"/>
    <s v="NON"/>
    <m/>
    <n v="0"/>
    <n v="0"/>
    <m/>
    <m/>
    <n v="1000"/>
    <m/>
    <n v="0"/>
    <n v="0"/>
    <m/>
    <m/>
    <m/>
    <m/>
    <m/>
  </r>
  <r>
    <d v="2026-05-26T00:00:00"/>
    <x v="0"/>
    <s v="STAFF WELFARE EXPENSES"/>
    <s v="NON"/>
    <n v="9000"/>
    <s v="NO TAX"/>
    <n v="9000"/>
    <m/>
    <m/>
    <m/>
    <m/>
    <n v="0"/>
    <n v="0"/>
    <m/>
    <m/>
    <m/>
    <m/>
    <m/>
  </r>
  <r>
    <d v="2026-05-26T00:00:00"/>
    <x v="0"/>
    <s v="SALARY PAYBLE"/>
    <s v="NON"/>
    <n v="1800"/>
    <s v="NO TAX"/>
    <n v="1800"/>
    <m/>
    <m/>
    <m/>
    <m/>
    <n v="0"/>
    <n v="0"/>
    <m/>
    <m/>
    <m/>
    <m/>
    <m/>
  </r>
  <r>
    <d v="2026-05-26T00:00:00"/>
    <x v="0"/>
    <s v="STAFF WELFARE EXPENSES"/>
    <s v="NON"/>
    <n v="100"/>
    <s v="NO TAX"/>
    <n v="100"/>
    <m/>
    <m/>
    <m/>
    <m/>
    <n v="0"/>
    <n v="0"/>
    <m/>
    <m/>
    <m/>
    <m/>
    <m/>
  </r>
  <r>
    <d v="2026-05-26T00:00:00"/>
    <x v="0"/>
    <s v="STAFF WELFARE EXPENSES"/>
    <s v="NON"/>
    <n v="56"/>
    <s v="NO TAX"/>
    <n v="56"/>
    <m/>
    <m/>
    <m/>
    <m/>
    <n v="0"/>
    <n v="0"/>
    <m/>
    <m/>
    <m/>
    <m/>
    <m/>
  </r>
  <r>
    <d v="2026-05-26T00:00:00"/>
    <x v="0"/>
    <s v="VEHICLE REPAIR &amp; MAINT"/>
    <s v="NON"/>
    <n v="160"/>
    <s v="NO TAX"/>
    <n v="160"/>
    <m/>
    <m/>
    <m/>
    <m/>
    <n v="0"/>
    <n v="0"/>
    <m/>
    <m/>
    <m/>
    <m/>
    <m/>
  </r>
  <r>
    <d v="2026-05-26T00:00:00"/>
    <x v="0"/>
    <s v="PETROL TOYOTA COROLLA"/>
    <s v="NON"/>
    <n v="120"/>
    <s v="NO TAX"/>
    <n v="120"/>
    <m/>
    <m/>
    <m/>
    <m/>
    <n v="0"/>
    <n v="0"/>
    <m/>
    <m/>
    <m/>
    <m/>
    <m/>
  </r>
  <r>
    <d v="2026-05-26T00:00:00"/>
    <x v="0"/>
    <s v="ADVANCE TO WORKERS"/>
    <s v="NON"/>
    <m/>
    <n v="0"/>
    <n v="0"/>
    <n v="500"/>
    <m/>
    <m/>
    <m/>
    <n v="0"/>
    <n v="0"/>
    <m/>
    <m/>
    <m/>
    <m/>
    <m/>
  </r>
  <r>
    <d v="2026-05-26T00:00:00"/>
    <x v="0"/>
    <s v="TEA &amp; FOOD EXPENSES"/>
    <s v="NON"/>
    <n v="27"/>
    <s v="NO TAX"/>
    <n v="27"/>
    <m/>
    <m/>
    <m/>
    <m/>
    <n v="0"/>
    <n v="0"/>
    <m/>
    <m/>
    <m/>
    <m/>
    <m/>
  </r>
  <r>
    <d v="2026-05-29T00:00:00"/>
    <x v="0"/>
    <s v="FACTORY CONSUMABLES"/>
    <s v="NON"/>
    <n v="200"/>
    <n v="10"/>
    <n v="210"/>
    <m/>
    <m/>
    <m/>
    <m/>
    <n v="0"/>
    <n v="0"/>
    <m/>
    <m/>
    <m/>
    <m/>
    <m/>
  </r>
  <r>
    <d v="2026-05-29T00:00:00"/>
    <x v="0"/>
    <s v="PETROL TOYOTA COROLLA"/>
    <s v="NON"/>
    <n v="140"/>
    <s v="NO TAX"/>
    <n v="140"/>
    <m/>
    <m/>
    <m/>
    <m/>
    <n v="0"/>
    <n v="0"/>
    <m/>
    <m/>
    <m/>
    <m/>
    <m/>
  </r>
  <r>
    <d v="2026-05-29T00:00:00"/>
    <x v="0"/>
    <s v="STAFF WELFARE EXPENSES"/>
    <s v="NON"/>
    <n v="20"/>
    <s v="NO TAX"/>
    <n v="20"/>
    <m/>
    <m/>
    <m/>
    <m/>
    <n v="0"/>
    <n v="0"/>
    <m/>
    <m/>
    <m/>
    <m/>
    <m/>
  </r>
  <r>
    <d v="2026-05-29T00:00:00"/>
    <x v="0"/>
    <s v="TEA &amp; FOOD EXPENSES"/>
    <s v="NON"/>
    <n v="7"/>
    <s v="NO TAX"/>
    <n v="7"/>
    <m/>
    <m/>
    <m/>
    <m/>
    <n v="0"/>
    <n v="0"/>
    <m/>
    <m/>
    <m/>
    <m/>
    <m/>
  </r>
  <r>
    <d v="2026-05-30T00:00:00"/>
    <x v="10"/>
    <s v="STAFF WELFARE EXPENSES"/>
    <s v="NON"/>
    <n v="7500"/>
    <s v="NO TAX"/>
    <n v="7500"/>
    <m/>
    <m/>
    <m/>
    <m/>
    <n v="0"/>
    <n v="0"/>
    <m/>
    <m/>
    <m/>
    <m/>
    <m/>
  </r>
  <r>
    <d v="2026-05-08T00:00:00"/>
    <x v="11"/>
    <s v="VISA RELATED EXPENSES"/>
    <s v="NON"/>
    <n v="591"/>
    <s v="NO TAX"/>
    <n v="591"/>
    <m/>
    <m/>
    <m/>
    <m/>
    <n v="0"/>
    <n v="0"/>
    <m/>
    <m/>
    <m/>
    <m/>
    <m/>
  </r>
  <r>
    <d v="2026-05-12T00:00:00"/>
    <x v="11"/>
    <s v="VISA RELATED EXPENSES"/>
    <s v="NON"/>
    <n v="323.25"/>
    <s v="NO TAX"/>
    <n v="323.25"/>
    <m/>
    <m/>
    <m/>
    <m/>
    <n v="0"/>
    <n v="0"/>
    <m/>
    <m/>
    <m/>
    <m/>
    <m/>
  </r>
  <r>
    <d v="2026-05-12T00:00:00"/>
    <x v="11"/>
    <s v="VISA RELATED EXPENSES"/>
    <s v="NON"/>
    <n v="591.5"/>
    <s v="NO TAX"/>
    <n v="591.5"/>
    <m/>
    <m/>
    <m/>
    <m/>
    <n v="0"/>
    <n v="0"/>
    <m/>
    <m/>
    <m/>
    <m/>
    <m/>
  </r>
  <r>
    <d v="2026-05-13T00:00:00"/>
    <x v="11"/>
    <s v="VISA RELATED EXPENSES"/>
    <s v="NON"/>
    <n v="1451.5"/>
    <s v="NO TAX"/>
    <n v="1451.5"/>
    <m/>
    <m/>
    <m/>
    <m/>
    <n v="0"/>
    <n v="0"/>
    <m/>
    <m/>
    <m/>
    <m/>
    <m/>
  </r>
  <r>
    <d v="2026-05-20T00:00:00"/>
    <x v="11"/>
    <s v="VISA RELATED EXPENSES"/>
    <s v="NON"/>
    <n v="295.75"/>
    <s v="NO TAX"/>
    <n v="295.75"/>
    <m/>
    <m/>
    <m/>
    <m/>
    <n v="0"/>
    <n v="0"/>
    <m/>
    <m/>
    <m/>
    <m/>
    <m/>
  </r>
  <r>
    <d v="2026-05-21T00:00:00"/>
    <x v="11"/>
    <s v="VISA RELATED EXPENSES"/>
    <s v="NON"/>
    <n v="325.75"/>
    <s v="NO TAX"/>
    <n v="325.75"/>
    <m/>
    <m/>
    <m/>
    <m/>
    <n v="0"/>
    <n v="0"/>
    <m/>
    <m/>
    <m/>
    <m/>
    <m/>
  </r>
  <r>
    <d v="2026-05-30T00:00:00"/>
    <x v="11"/>
    <s v="VISA EXPS"/>
    <s v="NON"/>
    <n v="4215.5"/>
    <s v="NO TAX"/>
    <n v="4215.5"/>
    <m/>
    <m/>
    <m/>
    <m/>
    <n v="0"/>
    <n v="0"/>
    <m/>
    <m/>
    <m/>
    <m/>
    <m/>
  </r>
  <r>
    <d v="2026-05-30T00:00:00"/>
    <x v="0"/>
    <s v="AL KHAREEF RESTAURANT"/>
    <s v="NON"/>
    <n v="2000"/>
    <s v="NO TAX"/>
    <n v="2000"/>
    <m/>
    <m/>
    <m/>
    <m/>
    <n v="0"/>
    <n v="0"/>
    <m/>
    <m/>
    <m/>
    <m/>
    <m/>
  </r>
  <r>
    <d v="2026-05-30T00:00:00"/>
    <x v="0"/>
    <s v="SALARY PAYBLE"/>
    <s v="NON"/>
    <n v="168539"/>
    <s v="NO TAX"/>
    <n v="168539"/>
    <m/>
    <m/>
    <m/>
    <m/>
    <n v="0"/>
    <n v="0"/>
    <m/>
    <m/>
    <m/>
    <m/>
    <m/>
  </r>
  <r>
    <d v="2026-05-30T00:00:00"/>
    <x v="0"/>
    <s v="SERVICE CHARGES"/>
    <s v="NON"/>
    <n v="467.25"/>
    <s v="NO TAX"/>
    <n v="467.25"/>
    <m/>
    <m/>
    <m/>
    <m/>
    <n v="0"/>
    <n v="0"/>
    <m/>
    <m/>
    <m/>
    <m/>
    <m/>
  </r>
  <r>
    <d v="2026-05-30T00:00:00"/>
    <x v="0"/>
    <s v="PETROL TOYOTA COROLLA"/>
    <s v="NON"/>
    <n v="140"/>
    <s v="NO TAX"/>
    <n v="140"/>
    <m/>
    <m/>
    <m/>
    <m/>
    <n v="0"/>
    <n v="0"/>
    <m/>
    <m/>
    <m/>
    <m/>
    <m/>
  </r>
  <r>
    <d v="2026-05-30T00:00:00"/>
    <x v="0"/>
    <s v="STAFF WELFARE EXPENSES"/>
    <s v="NON"/>
    <n v="21"/>
    <s v="NO TAX"/>
    <n v="21"/>
    <m/>
    <m/>
    <m/>
    <m/>
    <n v="0"/>
    <n v="0"/>
    <m/>
    <m/>
    <m/>
    <m/>
    <m/>
  </r>
  <r>
    <d v="2026-05-30T00:00:00"/>
    <x v="0"/>
    <s v="MACHINERY &amp; REPAIR MAINTAINCE"/>
    <s v="NON"/>
    <n v="84.76"/>
    <n v="4.2380000000000004"/>
    <n v="88.998000000000005"/>
    <m/>
    <m/>
    <m/>
    <m/>
    <n v="0"/>
    <n v="0"/>
    <m/>
    <m/>
    <m/>
    <m/>
    <m/>
  </r>
  <r>
    <d v="2026-05-30T00:00:00"/>
    <x v="0"/>
    <s v="STAFF WELFARE EXPENSES"/>
    <s v="NON"/>
    <n v="57"/>
    <s v="NO TAX"/>
    <n v="57"/>
    <m/>
    <m/>
    <m/>
    <m/>
    <n v="0"/>
    <n v="0"/>
    <m/>
    <m/>
    <m/>
    <m/>
    <m/>
  </r>
  <r>
    <d v="2026-05-30T00:00:00"/>
    <x v="0"/>
    <s v="SALARY PAYBLE"/>
    <s v="NON"/>
    <n v="420"/>
    <s v="NO TAX"/>
    <n v="420"/>
    <m/>
    <m/>
    <m/>
    <m/>
    <n v="0"/>
    <n v="0"/>
    <m/>
    <m/>
    <m/>
    <m/>
    <m/>
  </r>
  <r>
    <d v="2026-05-30T00:00:00"/>
    <x v="0"/>
    <s v="VEHICLE REPAIR &amp; MAINT"/>
    <s v="NON"/>
    <n v="345"/>
    <s v="NO TAX"/>
    <n v="345"/>
    <m/>
    <m/>
    <m/>
    <m/>
    <n v="0"/>
    <n v="0"/>
    <m/>
    <m/>
    <m/>
    <m/>
    <m/>
  </r>
  <r>
    <d v="2026-05-30T00:00:00"/>
    <x v="0"/>
    <s v="TEA &amp; FOOD EXPENSES"/>
    <s v="NON"/>
    <n v="12"/>
    <s v="NO TAX"/>
    <n v="12"/>
    <m/>
    <m/>
    <m/>
    <m/>
    <n v="0"/>
    <n v="0"/>
    <m/>
    <m/>
    <m/>
    <m/>
    <m/>
  </r>
  <r>
    <d v="2026-04-01T00:00:00"/>
    <x v="0"/>
    <s v="AL KHAREEF RESTAURANT"/>
    <s v="NON"/>
    <n v="1800"/>
    <s v="NO TAX"/>
    <n v="1800"/>
    <m/>
    <m/>
    <m/>
    <m/>
    <n v="0"/>
    <n v="0"/>
    <m/>
    <m/>
    <m/>
    <m/>
    <m/>
  </r>
  <r>
    <d v="2026-04-01T00:00:00"/>
    <x v="0"/>
    <s v="VEHICLE REPAIR &amp; MAINT"/>
    <s v="NON"/>
    <n v="50"/>
    <s v="NO TAX"/>
    <n v="50"/>
    <m/>
    <m/>
    <m/>
    <m/>
    <n v="0"/>
    <n v="0"/>
    <m/>
    <m/>
    <m/>
    <m/>
    <m/>
  </r>
  <r>
    <d v="2026-04-01T00:00:00"/>
    <x v="0"/>
    <s v="STAFF WELFARE EXPENSES"/>
    <s v="NON"/>
    <n v="234"/>
    <s v="NO TAX"/>
    <n v="234"/>
    <m/>
    <m/>
    <m/>
    <m/>
    <n v="0"/>
    <n v="0"/>
    <m/>
    <m/>
    <m/>
    <m/>
    <m/>
  </r>
  <r>
    <d v="2026-04-01T00:00:00"/>
    <x v="0"/>
    <s v="STAFF WELFARE EXPENSES"/>
    <s v="NON"/>
    <n v="16060"/>
    <s v="NO TAX"/>
    <n v="16060"/>
    <m/>
    <m/>
    <m/>
    <m/>
    <n v="0"/>
    <n v="0"/>
    <m/>
    <m/>
    <m/>
    <m/>
    <m/>
  </r>
  <r>
    <d v="2026-04-01T00:00:00"/>
    <x v="0"/>
    <s v="RAK BANK"/>
    <s v="NON"/>
    <n v="100000"/>
    <s v="NO TAX"/>
    <n v="100000"/>
    <m/>
    <m/>
    <m/>
    <m/>
    <n v="0"/>
    <n v="0"/>
    <m/>
    <m/>
    <m/>
    <m/>
    <m/>
  </r>
  <r>
    <d v="2026-04-01T00:00:00"/>
    <x v="0"/>
    <s v="FACTORY CONSUMABLES"/>
    <s v="NON"/>
    <m/>
    <n v="0"/>
    <n v="0"/>
    <m/>
    <m/>
    <m/>
    <m/>
    <n v="0"/>
    <n v="0"/>
    <n v="2500"/>
    <m/>
    <m/>
    <m/>
    <m/>
  </r>
  <r>
    <d v="2026-04-02T00:00:00"/>
    <x v="0"/>
    <s v="SALARY PAYBLE"/>
    <s v="NON"/>
    <n v="1100"/>
    <s v="NO TAX"/>
    <n v="1100"/>
    <m/>
    <m/>
    <m/>
    <m/>
    <n v="0"/>
    <n v="0"/>
    <m/>
    <m/>
    <m/>
    <m/>
    <m/>
  </r>
  <r>
    <d v="2026-04-02T00:00:00"/>
    <x v="0"/>
    <s v="TEA &amp; FOOD EXPENSES"/>
    <s v="NON"/>
    <n v="15"/>
    <s v="NO TAX"/>
    <n v="15"/>
    <m/>
    <m/>
    <m/>
    <m/>
    <n v="0"/>
    <n v="0"/>
    <m/>
    <m/>
    <m/>
    <m/>
    <m/>
  </r>
  <r>
    <d v="2026-04-02T00:00:00"/>
    <x v="0"/>
    <s v="ADVANCE TO WORKERS"/>
    <s v="NON"/>
    <m/>
    <n v="0"/>
    <n v="0"/>
    <m/>
    <n v="10020"/>
    <m/>
    <m/>
    <n v="0"/>
    <n v="0"/>
    <m/>
    <m/>
    <m/>
    <m/>
    <m/>
  </r>
  <r>
    <d v="2026-04-03T00:00:00"/>
    <x v="0"/>
    <s v="TEA &amp; FOOD EXPENSES"/>
    <s v="NON"/>
    <n v="14"/>
    <s v="NO TAX"/>
    <n v="14"/>
    <m/>
    <m/>
    <m/>
    <m/>
    <n v="0"/>
    <n v="0"/>
    <m/>
    <m/>
    <m/>
    <m/>
    <m/>
  </r>
  <r>
    <d v="2026-04-03T00:00:00"/>
    <x v="0"/>
    <s v="SALARY PAYBLE"/>
    <s v="NON"/>
    <n v="153019"/>
    <s v="NO TAX"/>
    <n v="153019"/>
    <m/>
    <m/>
    <m/>
    <m/>
    <n v="0"/>
    <n v="0"/>
    <m/>
    <m/>
    <m/>
    <m/>
    <m/>
  </r>
  <r>
    <d v="2026-04-03T00:00:00"/>
    <x v="0"/>
    <s v="SERVICE CHARGES"/>
    <s v="NON"/>
    <n v="451.5"/>
    <s v="NO TAX"/>
    <n v="451.5"/>
    <m/>
    <m/>
    <m/>
    <m/>
    <n v="0"/>
    <n v="0"/>
    <m/>
    <m/>
    <m/>
    <m/>
    <m/>
  </r>
  <r>
    <d v="2026-04-04T00:00:00"/>
    <x v="0"/>
    <s v="PETROL TOYOTA COROLLA"/>
    <s v="NON"/>
    <n v="100"/>
    <s v="NO TAX"/>
    <n v="100"/>
    <m/>
    <m/>
    <m/>
    <m/>
    <n v="0"/>
    <n v="0"/>
    <m/>
    <m/>
    <m/>
    <m/>
    <m/>
  </r>
  <r>
    <d v="2026-04-04T00:00:00"/>
    <x v="0"/>
    <s v="VEHICLE REPAIR &amp; MAINT"/>
    <s v="NON"/>
    <n v="350"/>
    <s v="NO TAX"/>
    <n v="350"/>
    <m/>
    <m/>
    <m/>
    <m/>
    <n v="0"/>
    <n v="0"/>
    <m/>
    <m/>
    <m/>
    <m/>
    <m/>
  </r>
  <r>
    <d v="2026-04-04T00:00:00"/>
    <x v="0"/>
    <s v="SALIK RECHARGE FOR CAR"/>
    <s v="NON"/>
    <n v="500"/>
    <s v="NO TAX"/>
    <n v="500"/>
    <m/>
    <m/>
    <m/>
    <m/>
    <n v="0"/>
    <n v="0"/>
    <m/>
    <m/>
    <m/>
    <m/>
    <m/>
  </r>
  <r>
    <d v="2026-04-04T00:00:00"/>
    <x v="0"/>
    <s v="PERSONAL EXP FAZEL BHAI"/>
    <s v="NON"/>
    <m/>
    <n v="0"/>
    <n v="0"/>
    <m/>
    <m/>
    <n v="1000"/>
    <m/>
    <n v="0"/>
    <n v="0"/>
    <m/>
    <m/>
    <m/>
    <m/>
    <m/>
  </r>
  <r>
    <d v="2026-04-04T00:00:00"/>
    <x v="3"/>
    <s v="SALIK RECHARGE FOR CAR"/>
    <s v="NON"/>
    <n v="500"/>
    <s v="NO TAX"/>
    <n v="500"/>
    <m/>
    <m/>
    <m/>
    <m/>
    <n v="0"/>
    <n v="0"/>
    <m/>
    <m/>
    <m/>
    <m/>
    <m/>
  </r>
  <r>
    <d v="2026-04-04T00:00:00"/>
    <x v="0"/>
    <s v="PETROL TOYOTA COROLLA"/>
    <s v="NON"/>
    <n v="100"/>
    <s v="NO TAX"/>
    <n v="100"/>
    <m/>
    <m/>
    <m/>
    <m/>
    <n v="0"/>
    <n v="0"/>
    <m/>
    <m/>
    <m/>
    <m/>
    <m/>
  </r>
  <r>
    <d v="2026-04-04T00:00:00"/>
    <x v="0"/>
    <s v="VEHICLE REPAIR &amp; MAINT"/>
    <s v="NON"/>
    <n v="30"/>
    <s v="NO TAX"/>
    <n v="30"/>
    <m/>
    <m/>
    <m/>
    <m/>
    <n v="0"/>
    <n v="0"/>
    <m/>
    <m/>
    <m/>
    <m/>
    <m/>
  </r>
  <r>
    <d v="2026-04-06T00:00:00"/>
    <x v="3"/>
    <s v="AIR FLIGHT TRAVELLING EXPENSES"/>
    <s v="NON"/>
    <n v="685"/>
    <s v="NO TAX"/>
    <n v="685"/>
    <m/>
    <m/>
    <m/>
    <m/>
    <n v="0"/>
    <n v="0"/>
    <m/>
    <m/>
    <m/>
    <m/>
    <m/>
  </r>
  <r>
    <d v="2026-04-06T00:00:00"/>
    <x v="0"/>
    <s v="TEA &amp; FOOD EXPENSES"/>
    <s v="NON"/>
    <n v="27.75"/>
    <s v="NO TAX"/>
    <n v="27.75"/>
    <m/>
    <m/>
    <m/>
    <m/>
    <n v="0"/>
    <n v="0"/>
    <m/>
    <m/>
    <m/>
    <m/>
    <m/>
  </r>
  <r>
    <d v="2026-04-06T00:00:00"/>
    <x v="0"/>
    <s v="FACTORY CONSUMABLES"/>
    <s v="NON"/>
    <n v="18"/>
    <n v="0.9"/>
    <n v="18.899999999999999"/>
    <m/>
    <m/>
    <m/>
    <m/>
    <n v="0"/>
    <n v="0"/>
    <m/>
    <m/>
    <m/>
    <m/>
    <m/>
  </r>
  <r>
    <d v="2026-04-07T00:00:00"/>
    <x v="0"/>
    <s v="TEA &amp; FOOD EXPENSES"/>
    <s v="NON"/>
    <n v="70"/>
    <s v="NO TAX"/>
    <n v="70"/>
    <m/>
    <m/>
    <m/>
    <m/>
    <n v="0"/>
    <n v="0"/>
    <m/>
    <m/>
    <m/>
    <m/>
    <m/>
  </r>
  <r>
    <d v="2026-04-07T00:00:00"/>
    <x v="0"/>
    <s v="SALARY PAYBLE"/>
    <s v="NON"/>
    <n v="2000"/>
    <s v="NO TAX"/>
    <n v="2000"/>
    <m/>
    <m/>
    <m/>
    <m/>
    <n v="0"/>
    <n v="0"/>
    <m/>
    <m/>
    <m/>
    <m/>
    <m/>
  </r>
  <r>
    <d v="2026-04-07T00:00:00"/>
    <x v="0"/>
    <s v="STAFF WELFARE EXPENSES"/>
    <s v="NON"/>
    <n v="21"/>
    <s v="NO TAX"/>
    <n v="21"/>
    <m/>
    <m/>
    <m/>
    <m/>
    <n v="0"/>
    <n v="0"/>
    <m/>
    <m/>
    <m/>
    <m/>
    <m/>
  </r>
  <r>
    <d v="2026-04-07T00:00:00"/>
    <x v="0"/>
    <s v="STATIONERY EXPENSES"/>
    <s v="NON"/>
    <n v="14.29"/>
    <n v="0.71450000000000002"/>
    <n v="15.004499999999998"/>
    <m/>
    <m/>
    <m/>
    <m/>
    <n v="0"/>
    <n v="0"/>
    <m/>
    <m/>
    <m/>
    <m/>
    <m/>
  </r>
  <r>
    <d v="2026-04-08T00:00:00"/>
    <x v="0"/>
    <s v="TEA &amp; FOOD EXPENSES"/>
    <s v="NON"/>
    <n v="21"/>
    <s v="NO TAX"/>
    <n v="21"/>
    <m/>
    <m/>
    <m/>
    <m/>
    <n v="0"/>
    <n v="0"/>
    <m/>
    <m/>
    <m/>
    <m/>
    <m/>
  </r>
  <r>
    <d v="2026-04-08T00:00:00"/>
    <x v="0"/>
    <s v="ELECTRICITY BILL FACTORY"/>
    <s v="NON"/>
    <n v="6979.73"/>
    <n v="348.98649999999998"/>
    <n v="7328.7164999999995"/>
    <m/>
    <m/>
    <m/>
    <m/>
    <n v="0"/>
    <n v="0"/>
    <m/>
    <m/>
    <m/>
    <m/>
    <m/>
  </r>
  <r>
    <d v="2026-04-08T00:00:00"/>
    <x v="0"/>
    <s v="TEA &amp; FOOD EXPENSES"/>
    <s v="NON"/>
    <n v="41"/>
    <s v="NO TAX"/>
    <n v="41"/>
    <m/>
    <m/>
    <m/>
    <m/>
    <n v="0"/>
    <n v="0"/>
    <m/>
    <m/>
    <m/>
    <m/>
    <m/>
  </r>
  <r>
    <d v="2026-04-08T00:00:00"/>
    <x v="0"/>
    <s v="PERSONAL EXP FAZEL BHAI"/>
    <s v="NON"/>
    <m/>
    <n v="0"/>
    <n v="0"/>
    <m/>
    <m/>
    <n v="10000"/>
    <m/>
    <n v="0"/>
    <n v="0"/>
    <m/>
    <m/>
    <m/>
    <m/>
    <m/>
  </r>
  <r>
    <d v="2026-04-08T00:00:00"/>
    <x v="0"/>
    <s v="WATER CHARGES"/>
    <s v="NON"/>
    <n v="1017.98"/>
    <n v="50.899000000000001"/>
    <n v="1068.8789999999999"/>
    <m/>
    <m/>
    <m/>
    <m/>
    <n v="0"/>
    <n v="0"/>
    <m/>
    <m/>
    <m/>
    <m/>
    <m/>
  </r>
  <r>
    <d v="2026-04-08T00:00:00"/>
    <x v="0"/>
    <s v="TEA &amp; FOOD EXPENSES"/>
    <s v="NON"/>
    <n v="15"/>
    <s v="NO TAX"/>
    <n v="15"/>
    <m/>
    <m/>
    <m/>
    <m/>
    <n v="0"/>
    <n v="0"/>
    <m/>
    <m/>
    <m/>
    <m/>
    <m/>
  </r>
  <r>
    <d v="2026-04-08T00:00:00"/>
    <x v="0"/>
    <s v="FACTORY CONSUMABLES"/>
    <s v="NON"/>
    <n v="915.24"/>
    <n v="45.762"/>
    <n v="961.00199999999995"/>
    <m/>
    <m/>
    <m/>
    <m/>
    <n v="0"/>
    <n v="0"/>
    <m/>
    <m/>
    <m/>
    <m/>
    <m/>
  </r>
  <r>
    <d v="2026-04-08T00:00:00"/>
    <x v="0"/>
    <s v="SALARY PAYBLE"/>
    <s v="NON"/>
    <m/>
    <n v="0"/>
    <n v="0"/>
    <m/>
    <n v="10000"/>
    <m/>
    <m/>
    <n v="0"/>
    <n v="0"/>
    <m/>
    <m/>
    <m/>
    <m/>
    <m/>
  </r>
  <r>
    <d v="2026-04-09T00:00:00"/>
    <x v="0"/>
    <s v="FACTORY CONSUMABLES"/>
    <s v="NON"/>
    <n v="12"/>
    <n v="0.60000000000000009"/>
    <n v="12.6"/>
    <m/>
    <m/>
    <m/>
    <m/>
    <n v="0"/>
    <n v="0"/>
    <m/>
    <m/>
    <m/>
    <m/>
    <m/>
  </r>
  <r>
    <d v="2026-04-09T00:00:00"/>
    <x v="0"/>
    <s v="STATIONERY EXPENSES"/>
    <s v="NON"/>
    <n v="80.25"/>
    <s v="NO TAX"/>
    <n v="80.25"/>
    <m/>
    <m/>
    <m/>
    <m/>
    <n v="0"/>
    <n v="0"/>
    <m/>
    <m/>
    <m/>
    <m/>
    <m/>
  </r>
  <r>
    <d v="2026-04-09T00:00:00"/>
    <x v="0"/>
    <s v="FACTORY CONSUMABLES"/>
    <s v="NON"/>
    <m/>
    <n v="0"/>
    <n v="0"/>
    <m/>
    <m/>
    <m/>
    <m/>
    <n v="0"/>
    <n v="0"/>
    <n v="600"/>
    <m/>
    <m/>
    <m/>
    <m/>
  </r>
  <r>
    <d v="2026-04-09T00:00:00"/>
    <x v="0"/>
    <s v="TEA &amp; FOOD EXPENSES"/>
    <s v="NON"/>
    <n v="46"/>
    <s v="NO TAX"/>
    <n v="46"/>
    <m/>
    <m/>
    <m/>
    <m/>
    <n v="0"/>
    <n v="0"/>
    <m/>
    <m/>
    <m/>
    <m/>
    <m/>
  </r>
  <r>
    <d v="2026-04-09T00:00:00"/>
    <x v="0"/>
    <s v="PETROL TOYOTA COROLLA"/>
    <s v="NON"/>
    <n v="100"/>
    <s v="NO TAX"/>
    <n v="100"/>
    <m/>
    <m/>
    <m/>
    <m/>
    <n v="0"/>
    <n v="0"/>
    <m/>
    <m/>
    <m/>
    <m/>
    <m/>
  </r>
  <r>
    <d v="2026-04-09T00:00:00"/>
    <x v="0"/>
    <s v="VEHICLE REPAIR &amp; MAINT"/>
    <s v="NON"/>
    <n v="25"/>
    <s v="NO TAX"/>
    <n v="25"/>
    <m/>
    <m/>
    <m/>
    <m/>
    <n v="0"/>
    <n v="0"/>
    <m/>
    <m/>
    <m/>
    <m/>
    <m/>
  </r>
  <r>
    <d v="2026-04-10T00:00:00"/>
    <x v="0"/>
    <s v="ADVANCE TO WORKERS"/>
    <s v="NON"/>
    <m/>
    <n v="0"/>
    <n v="0"/>
    <n v="150"/>
    <m/>
    <m/>
    <m/>
    <n v="0"/>
    <n v="0"/>
    <m/>
    <m/>
    <m/>
    <m/>
    <m/>
  </r>
  <r>
    <d v="2026-04-10T00:00:00"/>
    <x v="0"/>
    <s v="SALARY PAYBLE"/>
    <s v="NON"/>
    <n v="150"/>
    <s v="NO TAX"/>
    <n v="150"/>
    <m/>
    <m/>
    <m/>
    <m/>
    <n v="0"/>
    <n v="0"/>
    <m/>
    <m/>
    <m/>
    <m/>
    <m/>
  </r>
  <r>
    <d v="2026-04-10T00:00:00"/>
    <x v="3"/>
    <s v="AIR FLIGHT TRAVELLING EXPENSES"/>
    <s v="NON"/>
    <n v="-495"/>
    <s v="NO TAX"/>
    <n v="-495"/>
    <m/>
    <m/>
    <m/>
    <m/>
    <n v="0"/>
    <n v="0"/>
    <m/>
    <m/>
    <m/>
    <m/>
    <m/>
  </r>
  <r>
    <d v="2026-04-10T00:00:00"/>
    <x v="0"/>
    <s v="METAL TESTING CHARGES"/>
    <s v="NON"/>
    <n v="95.24"/>
    <n v="4.7619999999999996"/>
    <n v="100.002"/>
    <m/>
    <m/>
    <m/>
    <m/>
    <n v="0"/>
    <n v="0"/>
    <m/>
    <m/>
    <m/>
    <m/>
    <m/>
  </r>
  <r>
    <d v="2026-04-10T00:00:00"/>
    <x v="0"/>
    <s v="FACTORY CONSUMABLES"/>
    <s v="NON"/>
    <n v="527.4"/>
    <n v="26.37"/>
    <n v="553.77"/>
    <m/>
    <m/>
    <m/>
    <m/>
    <n v="0"/>
    <n v="0"/>
    <m/>
    <m/>
    <m/>
    <m/>
    <m/>
  </r>
  <r>
    <d v="2026-04-10T00:00:00"/>
    <x v="0"/>
    <s v="FACTORY CONSUMABLES"/>
    <s v="NON"/>
    <n v="55.75"/>
    <s v="NO TAX"/>
    <n v="55.75"/>
    <m/>
    <m/>
    <m/>
    <m/>
    <n v="0"/>
    <n v="0"/>
    <m/>
    <m/>
    <m/>
    <m/>
    <m/>
  </r>
  <r>
    <d v="2026-04-10T00:00:00"/>
    <x v="0"/>
    <s v="STAFF WELFARE EXPENSES"/>
    <s v="NON"/>
    <n v="55"/>
    <s v="NO TAX"/>
    <n v="55"/>
    <m/>
    <m/>
    <m/>
    <m/>
    <n v="0"/>
    <n v="0"/>
    <m/>
    <m/>
    <m/>
    <m/>
    <m/>
  </r>
  <r>
    <d v="2026-04-11T00:00:00"/>
    <x v="5"/>
    <s v="DEWA &amp; EMPOWER EXP ALKHIAL"/>
    <s v="NON"/>
    <n v="953.84999999999991"/>
    <s v="NO TAX"/>
    <n v="953.84999999999991"/>
    <m/>
    <m/>
    <m/>
    <m/>
    <n v="0"/>
    <n v="0"/>
    <m/>
    <m/>
    <m/>
    <m/>
    <m/>
  </r>
  <r>
    <d v="2026-04-11T00:00:00"/>
    <x v="0"/>
    <s v="TEA &amp; FOOD EXPENSES"/>
    <s v="NON"/>
    <n v="40"/>
    <s v="NO TAX"/>
    <n v="40"/>
    <m/>
    <m/>
    <m/>
    <m/>
    <n v="0"/>
    <n v="0"/>
    <m/>
    <m/>
    <m/>
    <m/>
    <m/>
  </r>
  <r>
    <d v="2026-04-11T00:00:00"/>
    <x v="0"/>
    <s v="FACTORY CONSUMABLES"/>
    <s v="NON"/>
    <n v="19.05"/>
    <n v="0.95250000000000012"/>
    <n v="20.002500000000001"/>
    <m/>
    <m/>
    <m/>
    <m/>
    <n v="0"/>
    <n v="0"/>
    <m/>
    <m/>
    <m/>
    <m/>
    <m/>
  </r>
  <r>
    <d v="2026-04-11T00:00:00"/>
    <x v="0"/>
    <s v="ADVANCE TO WORKERS"/>
    <s v="NON"/>
    <m/>
    <n v="0"/>
    <n v="0"/>
    <n v="40"/>
    <m/>
    <m/>
    <m/>
    <n v="0"/>
    <n v="0"/>
    <m/>
    <m/>
    <m/>
    <m/>
    <m/>
  </r>
  <r>
    <d v="2026-04-11T00:00:00"/>
    <x v="0"/>
    <s v="PERSONAL EXP FAZEL BHAI"/>
    <s v="NON"/>
    <m/>
    <n v="0"/>
    <n v="0"/>
    <m/>
    <m/>
    <n v="2000"/>
    <m/>
    <n v="0"/>
    <n v="0"/>
    <m/>
    <m/>
    <m/>
    <m/>
    <m/>
  </r>
  <r>
    <d v="2026-04-11T00:00:00"/>
    <x v="0"/>
    <s v="AL KHAREEF RESTAURANT"/>
    <s v="NON"/>
    <n v="1000"/>
    <s v="NO TAX"/>
    <n v="1000"/>
    <m/>
    <m/>
    <m/>
    <m/>
    <n v="0"/>
    <n v="0"/>
    <m/>
    <m/>
    <m/>
    <m/>
    <m/>
  </r>
  <r>
    <d v="2026-04-11T00:00:00"/>
    <x v="0"/>
    <s v="STAFF WELFARE EXPENSES"/>
    <s v="NON"/>
    <n v="50"/>
    <s v="NO TAX"/>
    <n v="50"/>
    <m/>
    <m/>
    <m/>
    <m/>
    <n v="0"/>
    <n v="0"/>
    <m/>
    <m/>
    <m/>
    <m/>
    <m/>
  </r>
  <r>
    <d v="2026-04-11T00:00:00"/>
    <x v="0"/>
    <s v="PETROL TOYOTA COROLLA"/>
    <s v="NON"/>
    <n v="100"/>
    <s v="NO TAX"/>
    <n v="100"/>
    <m/>
    <m/>
    <m/>
    <m/>
    <n v="0"/>
    <n v="0"/>
    <m/>
    <m/>
    <m/>
    <m/>
    <m/>
  </r>
  <r>
    <d v="2026-04-13T00:00:00"/>
    <x v="0"/>
    <s v="STATIONERY EXPENSES"/>
    <s v="NON"/>
    <n v="10"/>
    <s v="NO TAX"/>
    <n v="10"/>
    <m/>
    <m/>
    <m/>
    <m/>
    <n v="0"/>
    <n v="0"/>
    <m/>
    <m/>
    <m/>
    <m/>
    <m/>
  </r>
  <r>
    <d v="2026-04-13T00:00:00"/>
    <x v="0"/>
    <s v="MACHINERY &amp; REPAIR MAINTAINCE"/>
    <s v="NON"/>
    <n v="135"/>
    <s v="NO TAX"/>
    <n v="135"/>
    <m/>
    <m/>
    <m/>
    <m/>
    <n v="0"/>
    <n v="0"/>
    <m/>
    <m/>
    <m/>
    <m/>
    <m/>
  </r>
  <r>
    <d v="2026-04-13T00:00:00"/>
    <x v="0"/>
    <s v="FACTORY CONSUMABLES"/>
    <s v="NON"/>
    <n v="47.62"/>
    <n v="2.3809999999999998"/>
    <n v="50.000999999999998"/>
    <m/>
    <m/>
    <m/>
    <m/>
    <n v="0"/>
    <n v="0"/>
    <m/>
    <m/>
    <m/>
    <m/>
    <m/>
  </r>
  <r>
    <d v="2026-04-13T00:00:00"/>
    <x v="0"/>
    <s v="TEA &amp; FOOD EXPENSES"/>
    <s v="NON"/>
    <n v="20"/>
    <s v="NO TAX"/>
    <n v="20"/>
    <m/>
    <m/>
    <m/>
    <m/>
    <n v="0"/>
    <n v="0"/>
    <m/>
    <m/>
    <m/>
    <m/>
    <m/>
  </r>
  <r>
    <d v="2026-04-13T00:00:00"/>
    <x v="0"/>
    <s v="AIR FLIGHT TRAVELLING EXPENSES"/>
    <s v="NON"/>
    <n v="850"/>
    <s v="NO TAX"/>
    <n v="850"/>
    <m/>
    <m/>
    <m/>
    <m/>
    <n v="0"/>
    <n v="0"/>
    <m/>
    <m/>
    <m/>
    <m/>
    <m/>
  </r>
  <r>
    <d v="2026-04-13T00:00:00"/>
    <x v="0"/>
    <s v="STAFF WELFARE EXPENSES"/>
    <s v="NON"/>
    <n v="55"/>
    <s v="NO TAX"/>
    <n v="55"/>
    <m/>
    <m/>
    <m/>
    <m/>
    <n v="0"/>
    <n v="0"/>
    <m/>
    <m/>
    <m/>
    <m/>
    <m/>
  </r>
  <r>
    <d v="2026-04-14T00:00:00"/>
    <x v="0"/>
    <s v="TEA &amp; FOOD EXPENSES"/>
    <s v="NON"/>
    <n v="14"/>
    <s v="NO TAX"/>
    <n v="14"/>
    <m/>
    <m/>
    <m/>
    <m/>
    <n v="0"/>
    <n v="0"/>
    <m/>
    <m/>
    <m/>
    <m/>
    <m/>
  </r>
  <r>
    <d v="2026-04-14T00:00:00"/>
    <x v="0"/>
    <s v="TEA &amp; FOOD EXPENSES"/>
    <s v="NON"/>
    <n v="38"/>
    <s v="NO TAX"/>
    <n v="38"/>
    <m/>
    <m/>
    <m/>
    <m/>
    <n v="0"/>
    <n v="0"/>
    <m/>
    <m/>
    <m/>
    <m/>
    <m/>
  </r>
  <r>
    <d v="2026-04-14T00:00:00"/>
    <x v="0"/>
    <s v="FACTORY CONSUMABLES"/>
    <s v="NON"/>
    <n v="1625.05"/>
    <n v="81.252499999999998"/>
    <n v="1706.3025"/>
    <m/>
    <m/>
    <m/>
    <m/>
    <n v="0"/>
    <n v="0"/>
    <m/>
    <m/>
    <m/>
    <m/>
    <m/>
  </r>
  <r>
    <d v="2026-04-14T00:00:00"/>
    <x v="0"/>
    <s v="TEA &amp; FOOD EXPENSES"/>
    <s v="NON"/>
    <n v="8"/>
    <s v="NO TAX"/>
    <n v="8"/>
    <m/>
    <m/>
    <m/>
    <m/>
    <n v="0"/>
    <n v="0"/>
    <m/>
    <m/>
    <m/>
    <m/>
    <m/>
  </r>
  <r>
    <d v="2026-04-14T00:00:00"/>
    <x v="0"/>
    <s v="AL KHAREEF RESTAURANT"/>
    <s v="NON"/>
    <n v="1000"/>
    <s v="NO TAX"/>
    <n v="1000"/>
    <m/>
    <m/>
    <m/>
    <m/>
    <n v="0"/>
    <n v="0"/>
    <m/>
    <m/>
    <m/>
    <m/>
    <m/>
  </r>
  <r>
    <d v="2026-04-14T00:00:00"/>
    <x v="0"/>
    <s v="STAFF WELFARE EXPENSES"/>
    <s v="NON"/>
    <n v="55"/>
    <s v="NO TAX"/>
    <n v="55"/>
    <m/>
    <m/>
    <m/>
    <m/>
    <n v="0"/>
    <n v="0"/>
    <m/>
    <m/>
    <m/>
    <m/>
    <m/>
  </r>
  <r>
    <d v="2026-04-14T00:00:00"/>
    <x v="0"/>
    <s v="FACTORY CONSUMABLES"/>
    <s v="NON"/>
    <n v="44"/>
    <s v="NO TAX"/>
    <n v="44"/>
    <m/>
    <m/>
    <m/>
    <m/>
    <n v="0"/>
    <n v="0"/>
    <m/>
    <m/>
    <m/>
    <m/>
    <m/>
  </r>
  <r>
    <d v="2026-04-14T00:00:00"/>
    <x v="3"/>
    <s v="ADVANCE TO WORKERS"/>
    <s v="NON"/>
    <m/>
    <n v="0"/>
    <n v="0"/>
    <n v="755"/>
    <m/>
    <m/>
    <m/>
    <n v="0"/>
    <n v="0"/>
    <m/>
    <m/>
    <m/>
    <m/>
    <m/>
  </r>
  <r>
    <d v="2026-04-14T00:00:00"/>
    <x v="0"/>
    <s v="SALARY PAYBLE"/>
    <s v="NON"/>
    <m/>
    <n v="0"/>
    <n v="0"/>
    <m/>
    <m/>
    <m/>
    <m/>
    <n v="0"/>
    <n v="0"/>
    <m/>
    <m/>
    <n v="9000"/>
    <m/>
    <m/>
  </r>
  <r>
    <d v="2026-04-15T00:00:00"/>
    <x v="0"/>
    <s v="TEA &amp; FOOD EXPENSES"/>
    <s v="NON"/>
    <n v="37"/>
    <s v="NO TAX"/>
    <n v="37"/>
    <m/>
    <m/>
    <m/>
    <m/>
    <n v="0"/>
    <n v="0"/>
    <m/>
    <m/>
    <m/>
    <m/>
    <m/>
  </r>
  <r>
    <d v="2026-04-15T00:00:00"/>
    <x v="0"/>
    <s v="PETROL TOYOTA COROLLA"/>
    <s v="NON"/>
    <n v="140"/>
    <s v="NO TAX"/>
    <n v="140"/>
    <m/>
    <m/>
    <m/>
    <m/>
    <n v="0"/>
    <n v="0"/>
    <m/>
    <m/>
    <m/>
    <m/>
    <m/>
  </r>
  <r>
    <d v="2026-04-15T00:00:00"/>
    <x v="0"/>
    <s v="STAFF WELFARE EXPENSES"/>
    <s v="NON"/>
    <n v="105"/>
    <s v="NO TAX"/>
    <n v="105"/>
    <m/>
    <m/>
    <m/>
    <m/>
    <n v="0"/>
    <n v="0"/>
    <m/>
    <m/>
    <m/>
    <m/>
    <m/>
  </r>
  <r>
    <d v="2026-04-15T00:00:00"/>
    <x v="0"/>
    <s v="TEA &amp; FOOD EXPENSES"/>
    <s v="NON"/>
    <n v="10"/>
    <s v="NO TAX"/>
    <n v="10"/>
    <m/>
    <m/>
    <m/>
    <m/>
    <n v="0"/>
    <n v="0"/>
    <m/>
    <m/>
    <m/>
    <m/>
    <m/>
  </r>
  <r>
    <d v="2026-04-16T00:00:00"/>
    <x v="0"/>
    <s v="FACTORY CONSUMABLES"/>
    <s v="NON"/>
    <m/>
    <n v="0"/>
    <n v="0"/>
    <m/>
    <m/>
    <m/>
    <m/>
    <n v="0"/>
    <n v="0"/>
    <n v="1860"/>
    <m/>
    <m/>
    <m/>
    <m/>
  </r>
  <r>
    <d v="2026-04-16T00:00:00"/>
    <x v="0"/>
    <s v="TEA &amp; FOOD EXPENSES"/>
    <s v="NON"/>
    <n v="39"/>
    <s v="NO TAX"/>
    <n v="39"/>
    <m/>
    <m/>
    <m/>
    <m/>
    <n v="0"/>
    <n v="0"/>
    <m/>
    <m/>
    <m/>
    <m/>
    <m/>
  </r>
  <r>
    <d v="2026-04-16T00:00:00"/>
    <x v="0"/>
    <s v="ADVANCE TO WORKERS"/>
    <s v="NON"/>
    <m/>
    <n v="0"/>
    <n v="0"/>
    <n v="200"/>
    <m/>
    <m/>
    <m/>
    <n v="0"/>
    <n v="0"/>
    <m/>
    <m/>
    <m/>
    <m/>
    <m/>
  </r>
  <r>
    <d v="2026-04-16T00:00:00"/>
    <x v="0"/>
    <s v="ADVANCE TO WORKERS"/>
    <s v="NON"/>
    <m/>
    <n v="0"/>
    <n v="0"/>
    <n v="2000"/>
    <m/>
    <m/>
    <m/>
    <n v="0"/>
    <n v="0"/>
    <m/>
    <m/>
    <m/>
    <m/>
    <m/>
  </r>
  <r>
    <d v="2026-04-16T00:00:00"/>
    <x v="0"/>
    <s v="STAFF WELFARE EXPENSES"/>
    <s v="NON"/>
    <n v="362.25"/>
    <s v="NO TAX"/>
    <n v="362.25"/>
    <m/>
    <m/>
    <m/>
    <m/>
    <n v="0"/>
    <n v="0"/>
    <m/>
    <m/>
    <m/>
    <m/>
    <m/>
  </r>
  <r>
    <d v="2026-04-16T00:00:00"/>
    <x v="0"/>
    <s v="COURIER CHARGE"/>
    <s v="NON"/>
    <n v="21"/>
    <s v="NO TAX"/>
    <n v="21"/>
    <m/>
    <m/>
    <m/>
    <m/>
    <n v="0"/>
    <n v="0"/>
    <m/>
    <m/>
    <m/>
    <m/>
    <m/>
  </r>
  <r>
    <d v="2026-04-16T00:00:00"/>
    <x v="0"/>
    <s v="STAFF WELFARE EXPENSES"/>
    <s v="NON"/>
    <n v="31.5"/>
    <s v="NO TAX"/>
    <n v="31.5"/>
    <m/>
    <m/>
    <m/>
    <m/>
    <n v="0"/>
    <n v="0"/>
    <m/>
    <m/>
    <m/>
    <m/>
    <m/>
  </r>
  <r>
    <d v="2026-04-16T00:00:00"/>
    <x v="0"/>
    <s v="MACHINERY &amp; REPAIR MAINTAINCE"/>
    <s v="NON"/>
    <n v="142.85714285714286"/>
    <n v="7.1428571428571432"/>
    <n v="150"/>
    <m/>
    <m/>
    <m/>
    <m/>
    <n v="0"/>
    <n v="0"/>
    <m/>
    <m/>
    <m/>
    <m/>
    <m/>
  </r>
  <r>
    <d v="2026-04-17T00:00:00"/>
    <x v="0"/>
    <s v="FACTORY CONSUMABLES"/>
    <s v="NON"/>
    <n v="11788.6"/>
    <n v="589.43000000000006"/>
    <n v="12378.03"/>
    <m/>
    <m/>
    <m/>
    <m/>
    <n v="0"/>
    <n v="0"/>
    <m/>
    <m/>
    <m/>
    <m/>
    <m/>
  </r>
  <r>
    <d v="2026-04-17T00:00:00"/>
    <x v="0"/>
    <s v="FACTORY CONSUMABLES"/>
    <s v="NON"/>
    <n v="2340"/>
    <n v="117"/>
    <n v="2457"/>
    <m/>
    <m/>
    <m/>
    <m/>
    <n v="0"/>
    <n v="0"/>
    <m/>
    <m/>
    <m/>
    <m/>
    <m/>
  </r>
  <r>
    <d v="2026-04-17T00:00:00"/>
    <x v="3"/>
    <s v="FACTORY CONSUMABLES"/>
    <s v="NON"/>
    <n v="6430"/>
    <s v="NO TAX"/>
    <n v="6430"/>
    <m/>
    <m/>
    <m/>
    <m/>
    <n v="0"/>
    <n v="0"/>
    <m/>
    <m/>
    <m/>
    <m/>
    <m/>
  </r>
  <r>
    <d v="2026-04-17T00:00:00"/>
    <x v="3"/>
    <s v="FACTORY CONSUMABLES"/>
    <s v="NON"/>
    <n v="-8384.2999999999993"/>
    <s v="NO TAX"/>
    <n v="-8384.2999999999993"/>
    <m/>
    <m/>
    <m/>
    <m/>
    <n v="0"/>
    <n v="0"/>
    <m/>
    <m/>
    <m/>
    <m/>
    <m/>
  </r>
  <r>
    <d v="2026-04-17T00:00:00"/>
    <x v="3"/>
    <s v="MACHINERY"/>
    <s v="NON"/>
    <m/>
    <n v="0"/>
    <n v="0"/>
    <m/>
    <m/>
    <m/>
    <n v="-7432.47"/>
    <s v="NO TAX"/>
    <n v="-7432.47"/>
    <m/>
    <m/>
    <m/>
    <m/>
    <m/>
  </r>
  <r>
    <d v="2026-04-17T00:00:00"/>
    <x v="0"/>
    <s v="TEA &amp; FOOD EXPENSES"/>
    <s v="NON"/>
    <n v="40"/>
    <s v="NO TAX"/>
    <n v="40"/>
    <m/>
    <m/>
    <m/>
    <m/>
    <n v="0"/>
    <n v="0"/>
    <m/>
    <m/>
    <m/>
    <m/>
    <m/>
  </r>
  <r>
    <d v="2026-04-17T00:00:00"/>
    <x v="0"/>
    <s v="METAL TESTING CHARGES"/>
    <s v="NON"/>
    <n v="95.24"/>
    <n v="4.7619999999999996"/>
    <n v="100.002"/>
    <m/>
    <m/>
    <m/>
    <m/>
    <n v="0"/>
    <n v="0"/>
    <m/>
    <m/>
    <m/>
    <m/>
    <m/>
  </r>
  <r>
    <d v="2026-04-17T00:00:00"/>
    <x v="0"/>
    <s v="MACHINERY &amp; REPAIR MAINTAINCE"/>
    <s v="NON"/>
    <n v="333.33"/>
    <n v="16.666499999999999"/>
    <n v="349.99649999999997"/>
    <m/>
    <m/>
    <m/>
    <m/>
    <n v="0"/>
    <n v="0"/>
    <m/>
    <m/>
    <m/>
    <m/>
    <m/>
  </r>
  <r>
    <d v="2026-04-17T00:00:00"/>
    <x v="0"/>
    <s v="SALARY PAYBLE"/>
    <s v="NON"/>
    <m/>
    <n v="0"/>
    <n v="0"/>
    <m/>
    <m/>
    <m/>
    <m/>
    <n v="0"/>
    <n v="0"/>
    <m/>
    <m/>
    <n v="7500"/>
    <m/>
    <m/>
  </r>
  <r>
    <d v="2026-04-18T00:00:00"/>
    <x v="0"/>
    <s v="GAS BILL FOR FACTORY"/>
    <s v="NON"/>
    <n v="3937"/>
    <n v="196.85000000000002"/>
    <n v="4133.8500000000004"/>
    <m/>
    <m/>
    <m/>
    <m/>
    <n v="0"/>
    <n v="0"/>
    <m/>
    <m/>
    <m/>
    <m/>
    <m/>
  </r>
  <r>
    <d v="2026-04-18T00:00:00"/>
    <x v="0"/>
    <s v="AL KHAREEF RESTAURANT"/>
    <s v="NON"/>
    <n v="1000"/>
    <s v="NO TAX"/>
    <n v="1000"/>
    <m/>
    <m/>
    <m/>
    <m/>
    <n v="0"/>
    <n v="0"/>
    <m/>
    <m/>
    <m/>
    <m/>
    <m/>
  </r>
  <r>
    <d v="2026-04-18T00:00:00"/>
    <x v="0"/>
    <s v="ADVANCE TO WORKERS"/>
    <s v="NON"/>
    <n v="0"/>
    <n v="0"/>
    <n v="0"/>
    <n v="500"/>
    <m/>
    <m/>
    <m/>
    <n v="0"/>
    <n v="0"/>
    <m/>
    <m/>
    <m/>
    <m/>
    <m/>
  </r>
  <r>
    <d v="2026-04-18T00:00:00"/>
    <x v="0"/>
    <s v="FACTORY CONSUMABLES"/>
    <s v="NON"/>
    <n v="2525.0500000000002"/>
    <n v="126.25250000000001"/>
    <n v="2651.3025000000002"/>
    <m/>
    <m/>
    <m/>
    <m/>
    <n v="0"/>
    <n v="0"/>
    <m/>
    <m/>
    <m/>
    <m/>
    <m/>
  </r>
  <r>
    <d v="2026-04-18T00:00:00"/>
    <x v="0"/>
    <s v="ADVANCE TO WORKERS"/>
    <s v="NON"/>
    <m/>
    <n v="0"/>
    <n v="0"/>
    <n v="50"/>
    <m/>
    <m/>
    <m/>
    <n v="0"/>
    <n v="0"/>
    <m/>
    <m/>
    <m/>
    <m/>
    <m/>
  </r>
  <r>
    <d v="2026-04-18T00:00:00"/>
    <x v="0"/>
    <s v="ADVANCE TO WORKERS"/>
    <s v="NON"/>
    <m/>
    <n v="0"/>
    <n v="0"/>
    <n v="50"/>
    <m/>
    <m/>
    <m/>
    <n v="0"/>
    <n v="0"/>
    <m/>
    <m/>
    <m/>
    <m/>
    <m/>
  </r>
  <r>
    <d v="2026-04-18T00:00:00"/>
    <x v="0"/>
    <s v="STAFF WELFARE EXPENSES"/>
    <s v="NON"/>
    <n v="55"/>
    <s v="NO TAX"/>
    <n v="55"/>
    <m/>
    <m/>
    <m/>
    <m/>
    <n v="0"/>
    <n v="0"/>
    <m/>
    <m/>
    <m/>
    <m/>
    <m/>
  </r>
  <r>
    <d v="2026-04-18T00:00:00"/>
    <x v="0"/>
    <s v="FACTORY CONSUMABLES"/>
    <s v="NON"/>
    <n v="209"/>
    <n v="10.450000000000001"/>
    <n v="219.45"/>
    <m/>
    <m/>
    <m/>
    <m/>
    <n v="0"/>
    <n v="0"/>
    <m/>
    <m/>
    <m/>
    <m/>
    <m/>
  </r>
  <r>
    <d v="2026-04-18T00:00:00"/>
    <x v="0"/>
    <s v="HOSPITAL &amp; MEDICAL EXP'S"/>
    <s v="NON"/>
    <n v="9.5"/>
    <s v="NO TAX"/>
    <n v="9.5"/>
    <m/>
    <m/>
    <m/>
    <m/>
    <n v="0"/>
    <n v="0"/>
    <m/>
    <m/>
    <m/>
    <m/>
    <m/>
  </r>
  <r>
    <d v="2026-04-18T00:00:00"/>
    <x v="0"/>
    <s v="SALARY PAYBLE"/>
    <s v="NON"/>
    <n v="1500"/>
    <s v="NO TAX"/>
    <n v="1500"/>
    <m/>
    <m/>
    <m/>
    <m/>
    <n v="0"/>
    <n v="0"/>
    <m/>
    <m/>
    <m/>
    <m/>
    <m/>
  </r>
  <r>
    <d v="2026-04-18T00:00:00"/>
    <x v="0"/>
    <s v="ADVANCE TO WORKERS"/>
    <s v="NON"/>
    <m/>
    <n v="0"/>
    <n v="0"/>
    <n v="1000"/>
    <m/>
    <m/>
    <m/>
    <n v="0"/>
    <n v="0"/>
    <m/>
    <m/>
    <m/>
    <m/>
    <m/>
  </r>
  <r>
    <d v="2026-04-18T00:00:00"/>
    <x v="0"/>
    <s v="ADVANCE TO WORKERS"/>
    <s v="NON"/>
    <m/>
    <n v="0"/>
    <n v="0"/>
    <n v="50"/>
    <m/>
    <m/>
    <m/>
    <n v="0"/>
    <n v="0"/>
    <m/>
    <m/>
    <m/>
    <m/>
    <m/>
  </r>
  <r>
    <d v="2026-04-18T00:00:00"/>
    <x v="12"/>
    <s v="BASE RENT"/>
    <s v="NON"/>
    <n v="32142.5"/>
    <n v="1607.125"/>
    <n v="33749.625"/>
    <m/>
    <m/>
    <m/>
    <m/>
    <n v="0"/>
    <n v="0"/>
    <m/>
    <m/>
    <m/>
    <m/>
    <m/>
  </r>
  <r>
    <d v="2026-04-18T00:00:00"/>
    <x v="12"/>
    <s v="CHILER CHARGE"/>
    <s v="NON"/>
    <n v="9890"/>
    <n v="494.5"/>
    <n v="10384.5"/>
    <m/>
    <m/>
    <m/>
    <m/>
    <n v="0"/>
    <n v="0"/>
    <m/>
    <m/>
    <m/>
    <m/>
    <m/>
  </r>
  <r>
    <d v="2026-04-18T00:00:00"/>
    <x v="12"/>
    <s v="EMAAR SERVICE CHARGES"/>
    <s v="NON"/>
    <n v="17307.5"/>
    <n v="865.375"/>
    <n v="18172.875"/>
    <m/>
    <m/>
    <m/>
    <m/>
    <n v="0"/>
    <n v="0"/>
    <m/>
    <m/>
    <m/>
    <m/>
    <m/>
  </r>
  <r>
    <d v="2026-04-20T00:00:00"/>
    <x v="0"/>
    <s v="FACTORY CONSUMABLES"/>
    <s v="NON"/>
    <n v="3110"/>
    <n v="155.5"/>
    <n v="3265.5"/>
    <m/>
    <m/>
    <m/>
    <m/>
    <n v="0"/>
    <n v="0"/>
    <m/>
    <m/>
    <m/>
    <m/>
    <m/>
  </r>
  <r>
    <d v="2026-04-20T00:00:00"/>
    <x v="0"/>
    <s v="ADVANCE TO WORKERS"/>
    <s v="NON"/>
    <m/>
    <n v="0"/>
    <n v="0"/>
    <n v="500"/>
    <m/>
    <m/>
    <m/>
    <n v="0"/>
    <n v="0"/>
    <m/>
    <m/>
    <m/>
    <m/>
    <m/>
  </r>
  <r>
    <d v="2026-04-20T00:00:00"/>
    <x v="0"/>
    <s v="PETROL TOYOTA COROLLA"/>
    <s v="NON"/>
    <n v="100"/>
    <s v="NO TAX"/>
    <n v="100"/>
    <m/>
    <m/>
    <m/>
    <m/>
    <n v="0"/>
    <n v="0"/>
    <m/>
    <m/>
    <m/>
    <m/>
    <m/>
  </r>
  <r>
    <d v="2026-04-20T00:00:00"/>
    <x v="0"/>
    <s v="ADVANCE TO WORKERS"/>
    <s v="NON"/>
    <n v="0"/>
    <n v="0"/>
    <n v="0"/>
    <n v="50"/>
    <m/>
    <m/>
    <m/>
    <n v="0"/>
    <n v="0"/>
    <m/>
    <m/>
    <m/>
    <m/>
    <m/>
  </r>
  <r>
    <d v="2026-04-20T00:00:00"/>
    <x v="0"/>
    <s v="STAFF WELFARE EXPENSES"/>
    <s v="NON"/>
    <n v="52"/>
    <s v="NO TAX"/>
    <n v="52"/>
    <m/>
    <m/>
    <m/>
    <m/>
    <n v="0"/>
    <n v="0"/>
    <m/>
    <m/>
    <m/>
    <m/>
    <m/>
  </r>
  <r>
    <d v="2026-04-20T00:00:00"/>
    <x v="0"/>
    <s v="WASTAGE SELLING INCOME"/>
    <s v="NON"/>
    <m/>
    <n v="0"/>
    <n v="0"/>
    <m/>
    <m/>
    <m/>
    <m/>
    <n v="0"/>
    <n v="0"/>
    <m/>
    <m/>
    <n v="5900"/>
    <m/>
    <m/>
  </r>
  <r>
    <d v="2026-04-21T00:00:00"/>
    <x v="0"/>
    <s v="VEHICLE REPAIR &amp; MAINT"/>
    <s v="NON"/>
    <n v="165"/>
    <n v="8.25"/>
    <n v="173.25"/>
    <m/>
    <m/>
    <m/>
    <m/>
    <n v="0"/>
    <n v="0"/>
    <m/>
    <m/>
    <m/>
    <m/>
    <m/>
  </r>
  <r>
    <d v="2026-04-21T00:00:00"/>
    <x v="0"/>
    <s v="STAFF WELFARE EXPENSES"/>
    <s v="NON"/>
    <n v="52"/>
    <s v="NO TAX"/>
    <n v="52"/>
    <m/>
    <m/>
    <m/>
    <m/>
    <n v="0"/>
    <n v="0"/>
    <m/>
    <m/>
    <m/>
    <m/>
    <m/>
  </r>
  <r>
    <d v="2026-04-21T00:00:00"/>
    <x v="0"/>
    <s v="PETROL TOYOTA COROLLA"/>
    <s v="NON"/>
    <n v="120"/>
    <s v="NO TAX"/>
    <n v="120"/>
    <m/>
    <m/>
    <m/>
    <m/>
    <n v="0"/>
    <n v="0"/>
    <m/>
    <m/>
    <m/>
    <m/>
    <m/>
  </r>
  <r>
    <d v="2026-04-21T00:00:00"/>
    <x v="0"/>
    <s v="VEHICLE REPAIR &amp; MAINT"/>
    <s v="NON"/>
    <n v="40"/>
    <s v="NO TAX"/>
    <n v="40"/>
    <m/>
    <m/>
    <m/>
    <m/>
    <n v="0"/>
    <n v="0"/>
    <m/>
    <m/>
    <m/>
    <m/>
    <m/>
  </r>
  <r>
    <d v="2026-04-21T00:00:00"/>
    <x v="3"/>
    <s v="AIR FLIGHT TRAVELLING EXPENSES"/>
    <s v="NON"/>
    <n v="4809.8100000000004"/>
    <s v="NO TAX"/>
    <n v="4809.8100000000004"/>
    <m/>
    <m/>
    <m/>
    <m/>
    <n v="0"/>
    <n v="0"/>
    <m/>
    <m/>
    <m/>
    <m/>
    <m/>
  </r>
  <r>
    <d v="2026-04-21T00:00:00"/>
    <x v="0"/>
    <s v="TEA &amp; FOOD EXPENSES"/>
    <s v="NON"/>
    <n v="8"/>
    <s v="NO TAX"/>
    <n v="8"/>
    <m/>
    <m/>
    <m/>
    <m/>
    <n v="0"/>
    <n v="0"/>
    <m/>
    <m/>
    <m/>
    <m/>
    <m/>
  </r>
  <r>
    <d v="2026-04-21T00:00:00"/>
    <x v="0"/>
    <s v="SALIK RECHARGE FOR CAR"/>
    <s v="NON"/>
    <n v="500"/>
    <s v="NO TAX"/>
    <n v="500"/>
    <m/>
    <m/>
    <m/>
    <m/>
    <n v="0"/>
    <n v="0"/>
    <m/>
    <m/>
    <m/>
    <m/>
    <m/>
  </r>
  <r>
    <d v="2026-04-21T00:00:00"/>
    <x v="0"/>
    <s v="PETROL TOYOTA COROLLA"/>
    <s v="NON"/>
    <n v="200"/>
    <s v="NO TAX"/>
    <n v="200"/>
    <m/>
    <m/>
    <m/>
    <m/>
    <n v="0"/>
    <n v="0"/>
    <m/>
    <m/>
    <m/>
    <m/>
    <m/>
  </r>
  <r>
    <d v="2026-04-22T00:00:00"/>
    <x v="0"/>
    <s v="FACTORY CONSUMABLES"/>
    <s v="NON"/>
    <n v="480"/>
    <n v="24"/>
    <n v="504"/>
    <m/>
    <m/>
    <m/>
    <m/>
    <n v="0"/>
    <n v="0"/>
    <m/>
    <m/>
    <m/>
    <m/>
    <m/>
  </r>
  <r>
    <d v="2026-04-22T00:00:00"/>
    <x v="0"/>
    <s v="TEA &amp; FOOD EXPENSES"/>
    <s v="NON"/>
    <n v="38"/>
    <s v="NO TAX"/>
    <n v="38"/>
    <m/>
    <m/>
    <m/>
    <m/>
    <n v="0"/>
    <n v="0"/>
    <m/>
    <m/>
    <m/>
    <m/>
    <m/>
  </r>
  <r>
    <d v="2026-04-22T00:00:00"/>
    <x v="0"/>
    <s v="FACTORY CONSUMABLES"/>
    <s v="NON"/>
    <n v="24"/>
    <n v="1.2000000000000002"/>
    <n v="25.2"/>
    <m/>
    <m/>
    <m/>
    <m/>
    <n v="0"/>
    <n v="0"/>
    <m/>
    <m/>
    <m/>
    <m/>
    <m/>
  </r>
  <r>
    <d v="2026-04-22T00:00:00"/>
    <x v="0"/>
    <s v="STAFF WELFARE EXPENSES"/>
    <s v="NON"/>
    <n v="52"/>
    <s v="NO TAX"/>
    <n v="52"/>
    <m/>
    <m/>
    <m/>
    <m/>
    <n v="0"/>
    <n v="0"/>
    <m/>
    <m/>
    <m/>
    <m/>
    <m/>
  </r>
  <r>
    <d v="2026-04-22T00:00:00"/>
    <x v="0"/>
    <s v="ADVANCE TO WORKERS"/>
    <s v="NON"/>
    <m/>
    <n v="0"/>
    <n v="0"/>
    <n v="100"/>
    <m/>
    <m/>
    <m/>
    <n v="0"/>
    <n v="0"/>
    <m/>
    <m/>
    <m/>
    <m/>
    <m/>
  </r>
  <r>
    <d v="2026-04-22T00:00:00"/>
    <x v="3"/>
    <s v="SALIK RECHARGE FOR CAR"/>
    <s v="NON"/>
    <n v="500"/>
    <s v="NO TAX"/>
    <n v="500"/>
    <m/>
    <m/>
    <m/>
    <m/>
    <n v="0"/>
    <n v="0"/>
    <m/>
    <m/>
    <m/>
    <m/>
    <m/>
  </r>
  <r>
    <d v="2026-04-23T00:00:00"/>
    <x v="0"/>
    <s v="TEA &amp; FOOD EXPENSES"/>
    <s v="NON"/>
    <n v="26"/>
    <s v="NO TAX"/>
    <n v="26"/>
    <m/>
    <m/>
    <m/>
    <m/>
    <n v="0"/>
    <n v="0"/>
    <m/>
    <m/>
    <m/>
    <m/>
    <m/>
  </r>
  <r>
    <d v="2026-04-23T00:00:00"/>
    <x v="0"/>
    <s v="STAFF WELFARE EXPENSES"/>
    <s v="NON"/>
    <n v="55"/>
    <s v="NO TAX"/>
    <n v="55"/>
    <m/>
    <m/>
    <m/>
    <m/>
    <n v="0"/>
    <n v="0"/>
    <m/>
    <m/>
    <m/>
    <m/>
    <m/>
  </r>
  <r>
    <d v="2026-04-23T00:00:00"/>
    <x v="0"/>
    <s v="FACTORY CONSUMABLES"/>
    <s v="NON"/>
    <n v="215"/>
    <n v="10.75"/>
    <n v="225.75"/>
    <m/>
    <m/>
    <m/>
    <m/>
    <n v="0"/>
    <n v="0"/>
    <m/>
    <m/>
    <m/>
    <m/>
    <m/>
  </r>
  <r>
    <d v="2026-04-23T00:00:00"/>
    <x v="0"/>
    <s v="FACTORY CONSUMABLES"/>
    <s v="NON"/>
    <n v="115.2"/>
    <n v="5.7600000000000007"/>
    <n v="120.96000000000001"/>
    <m/>
    <m/>
    <m/>
    <m/>
    <n v="0"/>
    <n v="0"/>
    <m/>
    <m/>
    <m/>
    <m/>
    <m/>
  </r>
  <r>
    <d v="2026-04-24T00:00:00"/>
    <x v="0"/>
    <s v="ADVANCE TO WORKERS"/>
    <s v="NON"/>
    <m/>
    <n v="0"/>
    <n v="0"/>
    <n v="5000"/>
    <m/>
    <m/>
    <m/>
    <n v="0"/>
    <n v="0"/>
    <m/>
    <m/>
    <m/>
    <m/>
    <m/>
  </r>
  <r>
    <d v="2026-04-24T00:00:00"/>
    <x v="7"/>
    <s v="JAMAL TRAVELS"/>
    <s v="NON"/>
    <n v="6000"/>
    <s v="NO TAX"/>
    <n v="6000"/>
    <m/>
    <m/>
    <m/>
    <m/>
    <n v="0"/>
    <n v="0"/>
    <m/>
    <m/>
    <m/>
    <m/>
    <m/>
  </r>
  <r>
    <d v="2026-04-24T00:00:00"/>
    <x v="0"/>
    <s v="TEA &amp; FOOD EXPENSES"/>
    <s v="NON"/>
    <n v="55"/>
    <s v="NO TAX"/>
    <n v="55"/>
    <m/>
    <m/>
    <m/>
    <m/>
    <n v="0"/>
    <n v="0"/>
    <m/>
    <m/>
    <m/>
    <m/>
    <m/>
  </r>
  <r>
    <d v="2026-04-24T00:00:00"/>
    <x v="0"/>
    <s v="ADVANCE TO WORKERS"/>
    <s v="NON"/>
    <n v="0"/>
    <n v="0"/>
    <n v="0"/>
    <n v="50"/>
    <m/>
    <m/>
    <m/>
    <n v="0"/>
    <n v="0"/>
    <m/>
    <m/>
    <m/>
    <m/>
    <m/>
  </r>
  <r>
    <d v="2026-04-24T00:00:00"/>
    <x v="0"/>
    <s v="STAFF WELFARE EXPENSES"/>
    <s v="NON"/>
    <n v="21"/>
    <s v="NO TAX"/>
    <n v="21"/>
    <m/>
    <m/>
    <m/>
    <m/>
    <n v="0"/>
    <n v="0"/>
    <m/>
    <m/>
    <m/>
    <m/>
    <m/>
  </r>
  <r>
    <d v="2026-04-24T00:00:00"/>
    <x v="3"/>
    <s v="ADVANCE TO WORKERS"/>
    <s v="NON"/>
    <m/>
    <n v="0"/>
    <n v="0"/>
    <n v="1510"/>
    <m/>
    <m/>
    <m/>
    <n v="0"/>
    <n v="0"/>
    <m/>
    <m/>
    <m/>
    <m/>
    <m/>
  </r>
  <r>
    <d v="2026-04-24T00:00:00"/>
    <x v="1"/>
    <s v="ADVANCE TO WORKERS"/>
    <s v="NON"/>
    <m/>
    <n v="0"/>
    <n v="0"/>
    <n v="5553"/>
    <m/>
    <m/>
    <m/>
    <n v="0"/>
    <n v="0"/>
    <m/>
    <m/>
    <m/>
    <m/>
    <m/>
  </r>
  <r>
    <d v="2026-04-24T00:00:00"/>
    <x v="1"/>
    <s v="ADVANCE TO WORKERS"/>
    <s v="NON"/>
    <m/>
    <n v="0"/>
    <n v="0"/>
    <n v="2300"/>
    <m/>
    <m/>
    <m/>
    <n v="0"/>
    <n v="0"/>
    <m/>
    <m/>
    <m/>
    <m/>
    <m/>
  </r>
  <r>
    <d v="2026-04-25T00:00:00"/>
    <x v="0"/>
    <s v="AL KHAREEF RESTAURANT"/>
    <s v="NON"/>
    <n v="1000"/>
    <s v="NO TAX"/>
    <n v="1000"/>
    <m/>
    <m/>
    <m/>
    <m/>
    <n v="0"/>
    <n v="0"/>
    <m/>
    <m/>
    <m/>
    <m/>
    <m/>
  </r>
  <r>
    <d v="2026-04-25T00:00:00"/>
    <x v="0"/>
    <s v="TEA &amp; FOOD EXPENSES"/>
    <s v="NON"/>
    <n v="37"/>
    <s v="NO TAX"/>
    <n v="37"/>
    <m/>
    <m/>
    <m/>
    <m/>
    <n v="0"/>
    <n v="0"/>
    <m/>
    <m/>
    <m/>
    <m/>
    <m/>
  </r>
  <r>
    <d v="2026-04-25T00:00:00"/>
    <x v="0"/>
    <s v="ADVANCE TO WORKERS"/>
    <s v="NON"/>
    <n v="0"/>
    <n v="0"/>
    <n v="0"/>
    <n v="1000"/>
    <m/>
    <m/>
    <m/>
    <n v="0"/>
    <n v="0"/>
    <m/>
    <m/>
    <m/>
    <m/>
    <m/>
  </r>
  <r>
    <d v="2026-04-25T00:00:00"/>
    <x v="0"/>
    <s v="ADVANCE TO WORKERS"/>
    <s v="NON"/>
    <n v="0"/>
    <n v="0"/>
    <n v="0"/>
    <n v="100"/>
    <m/>
    <m/>
    <m/>
    <n v="0"/>
    <n v="0"/>
    <m/>
    <m/>
    <m/>
    <m/>
    <m/>
  </r>
  <r>
    <d v="2026-04-25T00:00:00"/>
    <x v="0"/>
    <s v="ADVANCE TO WORKERS"/>
    <s v="NON"/>
    <n v="0"/>
    <n v="0"/>
    <n v="0"/>
    <n v="2000"/>
    <m/>
    <m/>
    <m/>
    <n v="0"/>
    <n v="0"/>
    <m/>
    <m/>
    <m/>
    <m/>
    <m/>
  </r>
  <r>
    <d v="2026-04-25T00:00:00"/>
    <x v="0"/>
    <s v="SALARY PAYBLE"/>
    <s v="NON"/>
    <n v="3330"/>
    <s v="NO TAX"/>
    <n v="3330"/>
    <m/>
    <m/>
    <m/>
    <m/>
    <n v="0"/>
    <n v="0"/>
    <m/>
    <m/>
    <m/>
    <m/>
    <m/>
  </r>
  <r>
    <d v="2026-04-25T00:00:00"/>
    <x v="0"/>
    <s v="STAFF WELFARE EXPENSES"/>
    <s v="NON"/>
    <n v="53"/>
    <s v="NO TAX"/>
    <n v="53"/>
    <m/>
    <m/>
    <m/>
    <m/>
    <n v="0"/>
    <n v="0"/>
    <m/>
    <m/>
    <m/>
    <m/>
    <m/>
  </r>
  <r>
    <d v="2026-04-25T00:00:00"/>
    <x v="0"/>
    <s v="STAFF WELFARE EXPENSES"/>
    <s v="NON"/>
    <n v="50"/>
    <s v="NO TAX"/>
    <n v="50"/>
    <m/>
    <m/>
    <m/>
    <m/>
    <n v="0"/>
    <n v="0"/>
    <m/>
    <m/>
    <m/>
    <m/>
    <m/>
  </r>
  <r>
    <d v="2026-04-25T00:00:00"/>
    <x v="0"/>
    <s v="PETROL TOYOTA COROLLA"/>
    <s v="NON"/>
    <n v="140"/>
    <s v="NO TAX"/>
    <n v="140"/>
    <m/>
    <m/>
    <m/>
    <m/>
    <n v="0"/>
    <n v="0"/>
    <m/>
    <m/>
    <m/>
    <m/>
    <m/>
  </r>
  <r>
    <d v="2026-04-25T00:00:00"/>
    <x v="0"/>
    <s v="FACTORY CONSUMABLES"/>
    <s v="NON"/>
    <n v="8.25"/>
    <s v="NO TAX"/>
    <n v="8.25"/>
    <m/>
    <m/>
    <m/>
    <m/>
    <n v="0"/>
    <n v="0"/>
    <m/>
    <m/>
    <m/>
    <m/>
    <m/>
  </r>
  <r>
    <d v="2026-04-25T00:00:00"/>
    <x v="0"/>
    <s v="FACTORY CONSUMABLES"/>
    <s v="NON"/>
    <n v="57.2"/>
    <n v="2.8600000000000003"/>
    <n v="60.06"/>
    <m/>
    <m/>
    <m/>
    <m/>
    <n v="0"/>
    <n v="0"/>
    <m/>
    <m/>
    <m/>
    <m/>
    <m/>
  </r>
  <r>
    <d v="2026-04-25T00:00:00"/>
    <x v="0"/>
    <s v="FACTORY CONSUMABLES"/>
    <s v="NON"/>
    <n v="27"/>
    <n v="1.35"/>
    <n v="28.35"/>
    <m/>
    <m/>
    <m/>
    <m/>
    <n v="0"/>
    <n v="0"/>
    <m/>
    <m/>
    <m/>
    <m/>
    <m/>
  </r>
  <r>
    <d v="2026-04-25T00:00:00"/>
    <x v="0"/>
    <s v="ADVANCE TO WORKERS"/>
    <s v="NON"/>
    <n v="0"/>
    <n v="0"/>
    <n v="0"/>
    <n v="150"/>
    <m/>
    <m/>
    <m/>
    <n v="0"/>
    <n v="0"/>
    <m/>
    <m/>
    <m/>
    <m/>
    <m/>
  </r>
  <r>
    <d v="2026-04-27T00:00:00"/>
    <x v="0"/>
    <s v="FACTORY CONSUMABLES"/>
    <s v="NON"/>
    <n v="692.62"/>
    <n v="34.631"/>
    <n v="727.25099999999998"/>
    <m/>
    <m/>
    <m/>
    <m/>
    <n v="0"/>
    <n v="0"/>
    <m/>
    <m/>
    <m/>
    <m/>
    <m/>
  </r>
  <r>
    <d v="2026-04-27T00:00:00"/>
    <x v="0"/>
    <s v="COURIER CHARGE"/>
    <s v="NON"/>
    <n v="48"/>
    <s v="NO TAX"/>
    <n v="48"/>
    <m/>
    <m/>
    <m/>
    <m/>
    <n v="0"/>
    <n v="0"/>
    <m/>
    <m/>
    <m/>
    <m/>
    <m/>
  </r>
  <r>
    <d v="2026-04-27T00:00:00"/>
    <x v="0"/>
    <s v="METAL TESTING CHARGES"/>
    <s v="NON"/>
    <n v="47.62"/>
    <n v="2.3809999999999998"/>
    <n v="50.000999999999998"/>
    <m/>
    <m/>
    <m/>
    <m/>
    <n v="0"/>
    <n v="0"/>
    <m/>
    <m/>
    <m/>
    <m/>
    <m/>
  </r>
  <r>
    <d v="2026-04-27T00:00:00"/>
    <x v="0"/>
    <s v="TEA &amp; FOOD EXPENSES"/>
    <s v="NON"/>
    <n v="65"/>
    <s v="NO TAX"/>
    <n v="65"/>
    <m/>
    <m/>
    <m/>
    <m/>
    <n v="0"/>
    <n v="0"/>
    <m/>
    <m/>
    <m/>
    <m/>
    <m/>
  </r>
  <r>
    <d v="2026-04-27T00:00:00"/>
    <x v="0"/>
    <s v="FACTORY CONSUMABLES"/>
    <s v="NON"/>
    <n v="276.19"/>
    <n v="13.8095"/>
    <n v="289.99950000000001"/>
    <m/>
    <m/>
    <m/>
    <m/>
    <n v="0"/>
    <n v="0"/>
    <m/>
    <m/>
    <m/>
    <m/>
    <m/>
  </r>
  <r>
    <d v="2026-04-27T00:00:00"/>
    <x v="0"/>
    <s v="PERSONAL EXP FAZEL BHAI"/>
    <s v="NON"/>
    <m/>
    <n v="0"/>
    <n v="0"/>
    <m/>
    <m/>
    <n v="14000"/>
    <m/>
    <n v="0"/>
    <n v="0"/>
    <m/>
    <m/>
    <m/>
    <m/>
    <m/>
  </r>
  <r>
    <d v="2026-04-27T00:00:00"/>
    <x v="0"/>
    <s v="CAMP RENT"/>
    <s v="NON"/>
    <m/>
    <n v="0"/>
    <n v="0"/>
    <m/>
    <m/>
    <m/>
    <m/>
    <n v="0"/>
    <n v="0"/>
    <m/>
    <m/>
    <n v="4200"/>
    <m/>
    <m/>
  </r>
  <r>
    <d v="2026-04-28T00:00:00"/>
    <x v="0"/>
    <s v="MOBILE,TEL &amp; WIFI EXPENSES"/>
    <s v="NON"/>
    <n v="2355"/>
    <s v="NO TAX"/>
    <n v="2355"/>
    <m/>
    <m/>
    <m/>
    <m/>
    <n v="0"/>
    <n v="0"/>
    <m/>
    <m/>
    <m/>
    <m/>
    <m/>
  </r>
  <r>
    <d v="2026-04-28T00:00:00"/>
    <x v="0"/>
    <s v="PETROL TOYOTA COROLLA"/>
    <s v="NON"/>
    <n v="280"/>
    <s v="NO TAX"/>
    <n v="280"/>
    <m/>
    <m/>
    <m/>
    <m/>
    <n v="0"/>
    <n v="0"/>
    <m/>
    <m/>
    <m/>
    <m/>
    <m/>
  </r>
  <r>
    <d v="2026-04-28T00:00:00"/>
    <x v="0"/>
    <s v="PERSONAL EXP ZAHEER BHAI"/>
    <s v="NON"/>
    <n v="0"/>
    <n v="0"/>
    <n v="0"/>
    <m/>
    <m/>
    <n v="400"/>
    <m/>
    <n v="0"/>
    <n v="0"/>
    <m/>
    <m/>
    <m/>
    <m/>
    <m/>
  </r>
  <r>
    <d v="2026-04-28T00:00:00"/>
    <x v="0"/>
    <s v="FACTORY EXPENSES"/>
    <s v="NON"/>
    <n v="190"/>
    <n v="9.5"/>
    <n v="199.5"/>
    <m/>
    <m/>
    <m/>
    <m/>
    <n v="0"/>
    <n v="0"/>
    <m/>
    <m/>
    <m/>
    <m/>
    <m/>
  </r>
  <r>
    <d v="2026-04-28T00:00:00"/>
    <x v="0"/>
    <s v="ADVANCE TO WORKERS"/>
    <s v="NON"/>
    <m/>
    <n v="0"/>
    <n v="0"/>
    <n v="50"/>
    <m/>
    <m/>
    <m/>
    <n v="0"/>
    <n v="0"/>
    <m/>
    <m/>
    <m/>
    <m/>
    <m/>
  </r>
  <r>
    <d v="2026-04-28T00:00:00"/>
    <x v="0"/>
    <s v="STAFF WELFARE EXPENSES"/>
    <s v="NON"/>
    <n v="459"/>
    <s v="NO TAX"/>
    <n v="459"/>
    <m/>
    <m/>
    <m/>
    <m/>
    <n v="0"/>
    <n v="0"/>
    <m/>
    <m/>
    <m/>
    <m/>
    <m/>
  </r>
  <r>
    <d v="2026-04-28T00:00:00"/>
    <x v="0"/>
    <s v="TEA &amp; FOOD EXPENSES"/>
    <s v="NON"/>
    <n v="48"/>
    <s v="NO TAX"/>
    <n v="48"/>
    <m/>
    <m/>
    <m/>
    <m/>
    <n v="0"/>
    <n v="0"/>
    <m/>
    <m/>
    <m/>
    <m/>
    <m/>
  </r>
  <r>
    <d v="2026-04-28T00:00:00"/>
    <x v="3"/>
    <s v="FACTORY CONSUMABLES"/>
    <s v="NON"/>
    <n v="3777"/>
    <s v="NO TAX"/>
    <n v="3777"/>
    <m/>
    <m/>
    <m/>
    <m/>
    <n v="0"/>
    <n v="0"/>
    <m/>
    <m/>
    <m/>
    <m/>
    <m/>
  </r>
  <r>
    <d v="2026-04-28T00:00:00"/>
    <x v="3"/>
    <s v="SERVICE CHARGES"/>
    <s v="NON"/>
    <n v="181.85"/>
    <s v="NO TAX"/>
    <n v="181.85"/>
    <m/>
    <m/>
    <m/>
    <m/>
    <n v="0"/>
    <n v="0"/>
    <m/>
    <m/>
    <m/>
    <m/>
    <m/>
  </r>
  <r>
    <d v="2026-04-29T00:00:00"/>
    <x v="0"/>
    <s v="PETROL TOYOTA COROLLA"/>
    <s v="NON"/>
    <n v="140"/>
    <s v="NO TAX"/>
    <n v="140"/>
    <m/>
    <m/>
    <m/>
    <m/>
    <n v="0"/>
    <n v="0"/>
    <m/>
    <m/>
    <m/>
    <m/>
    <m/>
  </r>
  <r>
    <d v="2026-04-29T00:00:00"/>
    <x v="0"/>
    <s v="STATIONERY EXPENSES"/>
    <s v="NON"/>
    <n v="10"/>
    <s v="NO TAX"/>
    <n v="10"/>
    <m/>
    <m/>
    <m/>
    <m/>
    <n v="0"/>
    <n v="0"/>
    <m/>
    <m/>
    <m/>
    <m/>
    <m/>
  </r>
  <r>
    <d v="2026-04-29T00:00:00"/>
    <x v="0"/>
    <s v="ADVANCE TO WORKERS"/>
    <s v="NON"/>
    <m/>
    <n v="0"/>
    <n v="0"/>
    <n v="50"/>
    <m/>
    <m/>
    <m/>
    <n v="0"/>
    <n v="0"/>
    <m/>
    <m/>
    <m/>
    <m/>
    <m/>
  </r>
  <r>
    <d v="2026-04-29T00:00:00"/>
    <x v="0"/>
    <s v="ADVANCE TO WORKERS"/>
    <s v="NON"/>
    <m/>
    <n v="0"/>
    <n v="0"/>
    <n v="50"/>
    <m/>
    <m/>
    <m/>
    <n v="0"/>
    <n v="0"/>
    <m/>
    <m/>
    <m/>
    <m/>
    <m/>
  </r>
  <r>
    <d v="2026-04-29T00:00:00"/>
    <x v="0"/>
    <s v="PERSONAL EXP FAZEL BHAI"/>
    <s v="NON"/>
    <m/>
    <n v="0"/>
    <n v="0"/>
    <m/>
    <m/>
    <n v="5000"/>
    <m/>
    <n v="0"/>
    <n v="0"/>
    <m/>
    <m/>
    <m/>
    <m/>
    <m/>
  </r>
  <r>
    <d v="2026-04-29T00:00:00"/>
    <x v="0"/>
    <s v="WASTAGE SELLING INCOME"/>
    <s v="NON"/>
    <m/>
    <n v="0"/>
    <n v="0"/>
    <m/>
    <m/>
    <m/>
    <m/>
    <n v="0"/>
    <n v="0"/>
    <m/>
    <m/>
    <n v="1000"/>
    <m/>
    <m/>
  </r>
  <r>
    <d v="2026-04-30T00:00:00"/>
    <x v="0"/>
    <s v="WASTAGE SELLING INCOME"/>
    <s v="NON"/>
    <m/>
    <n v="0"/>
    <n v="0"/>
    <m/>
    <m/>
    <m/>
    <m/>
    <n v="0"/>
    <n v="0"/>
    <m/>
    <m/>
    <n v="7000"/>
    <m/>
    <m/>
  </r>
  <r>
    <d v="2026-04-30T00:00:00"/>
    <x v="0"/>
    <s v="FACTORY CONSUMABLES"/>
    <s v="NON"/>
    <m/>
    <n v="0"/>
    <n v="0"/>
    <m/>
    <m/>
    <m/>
    <m/>
    <n v="0"/>
    <n v="0"/>
    <n v="1135"/>
    <m/>
    <m/>
    <m/>
    <m/>
  </r>
  <r>
    <d v="2026-04-30T00:00:00"/>
    <x v="0"/>
    <s v="SALARY PAYBLE"/>
    <s v="NON"/>
    <n v="3900"/>
    <s v="NO TAX"/>
    <n v="3900"/>
    <m/>
    <m/>
    <m/>
    <m/>
    <n v="0"/>
    <n v="0"/>
    <m/>
    <m/>
    <m/>
    <m/>
    <m/>
  </r>
  <r>
    <d v="2026-04-30T00:00:00"/>
    <x v="0"/>
    <s v="STAFF WELFARE EXPENSES"/>
    <s v="NON"/>
    <n v="350"/>
    <s v="NO TAX"/>
    <n v="350"/>
    <m/>
    <m/>
    <m/>
    <m/>
    <n v="0"/>
    <n v="0"/>
    <m/>
    <m/>
    <m/>
    <m/>
    <m/>
  </r>
  <r>
    <d v="2026-04-30T00:00:00"/>
    <x v="3"/>
    <s v="AIR FLIGHT TRAVELLING EXPENSES"/>
    <s v="NON"/>
    <n v="1556"/>
    <s v="NO TAX"/>
    <n v="1556"/>
    <m/>
    <m/>
    <m/>
    <m/>
    <n v="0"/>
    <n v="0"/>
    <m/>
    <m/>
    <m/>
    <m/>
    <m/>
  </r>
  <r>
    <d v="2026-04-30T00:00:00"/>
    <x v="11"/>
    <s v="VISA RELATED EXPENSES"/>
    <s v="NON"/>
    <n v="1010"/>
    <s v="NO TAX"/>
    <n v="1010"/>
    <m/>
    <m/>
    <m/>
    <m/>
    <n v="0"/>
    <n v="0"/>
    <m/>
    <m/>
    <m/>
    <m/>
    <m/>
  </r>
  <r>
    <d v="2026-04-30T00:00:00"/>
    <x v="11"/>
    <s v="VISA RELATED EXPENSES"/>
    <s v="NON"/>
    <n v="580"/>
    <s v="NO TAX"/>
    <n v="580"/>
    <m/>
    <m/>
    <m/>
    <m/>
    <n v="0"/>
    <n v="0"/>
    <m/>
    <m/>
    <m/>
    <m/>
    <m/>
  </r>
  <r>
    <d v="2026-04-30T00:00:00"/>
    <x v="11"/>
    <s v="VISA RELATED EXPENSES"/>
    <s v="NON"/>
    <n v="293"/>
    <s v="NO TAX"/>
    <n v="293"/>
    <m/>
    <m/>
    <m/>
    <m/>
    <n v="0"/>
    <n v="0"/>
    <m/>
    <m/>
    <m/>
    <m/>
    <m/>
  </r>
  <r>
    <d v="2026-04-30T00:00:00"/>
    <x v="3"/>
    <s v="ADVANCE TO WORKERS"/>
    <s v="NON"/>
    <m/>
    <n v="0"/>
    <n v="0"/>
    <n v="910.39"/>
    <m/>
    <m/>
    <m/>
    <n v="0"/>
    <n v="0"/>
    <m/>
    <m/>
    <m/>
    <m/>
    <m/>
  </r>
  <r>
    <d v="2026-04-30T00:00:00"/>
    <x v="9"/>
    <s v="JAFZA PORTAL DEPOSIT"/>
    <s v="NON"/>
    <n v="1000"/>
    <s v="NO TAX"/>
    <n v="1000"/>
    <m/>
    <m/>
    <m/>
    <m/>
    <n v="0"/>
    <n v="0"/>
    <m/>
    <m/>
    <m/>
    <m/>
    <m/>
  </r>
  <r>
    <d v="2026-04-30T00:00:00"/>
    <x v="11"/>
    <s v="VISA RELATED EXPENSES"/>
    <s v="NON"/>
    <n v="1232"/>
    <s v="NO TAX"/>
    <n v="1232"/>
    <m/>
    <m/>
    <m/>
    <m/>
    <n v="0"/>
    <n v="0"/>
    <m/>
    <m/>
    <m/>
    <m/>
    <m/>
  </r>
  <r>
    <d v="2026-04-30T00:00:00"/>
    <x v="10"/>
    <s v="STAFF WELFARE EXPENSES"/>
    <s v="NON"/>
    <n v="5800"/>
    <s v="NO TAX"/>
    <n v="5800"/>
    <m/>
    <m/>
    <m/>
    <m/>
    <n v="0"/>
    <n v="0"/>
    <m/>
    <m/>
    <m/>
    <m/>
    <m/>
  </r>
  <r>
    <d v="2026-03-02T00:00:00"/>
    <x v="0"/>
    <s v="ADVANCE TO WORKERS"/>
    <s v="NON"/>
    <n v="0"/>
    <n v="0"/>
    <n v="0"/>
    <n v="100"/>
    <m/>
    <m/>
    <m/>
    <n v="0"/>
    <n v="0"/>
    <m/>
    <m/>
    <m/>
    <m/>
    <m/>
  </r>
  <r>
    <d v="2026-03-02T00:00:00"/>
    <x v="0"/>
    <s v="FACTORY CONSUMABLES"/>
    <s v="NON"/>
    <n v="980"/>
    <n v="49"/>
    <n v="1029"/>
    <m/>
    <m/>
    <m/>
    <m/>
    <n v="0"/>
    <n v="0"/>
    <m/>
    <m/>
    <m/>
    <m/>
    <m/>
  </r>
  <r>
    <d v="2026-03-02T00:00:00"/>
    <x v="0"/>
    <s v="STAFF WELFARE EXPENSES"/>
    <s v="NON"/>
    <n v="18230"/>
    <s v="NO TAX"/>
    <n v="18230"/>
    <m/>
    <m/>
    <m/>
    <m/>
    <n v="0"/>
    <n v="0"/>
    <m/>
    <m/>
    <m/>
    <m/>
    <m/>
  </r>
  <r>
    <d v="2026-03-02T00:00:00"/>
    <x v="0"/>
    <s v="PETROL TOYOTA COROLLA"/>
    <s v="NON"/>
    <n v="260"/>
    <s v="NO TAX"/>
    <n v="260"/>
    <m/>
    <m/>
    <m/>
    <m/>
    <n v="0"/>
    <n v="0"/>
    <m/>
    <m/>
    <m/>
    <m/>
    <m/>
  </r>
  <r>
    <d v="2026-03-02T00:00:00"/>
    <x v="0"/>
    <s v="PERSONAL EXP HEKMAT BHAI"/>
    <s v="NON"/>
    <m/>
    <n v="0"/>
    <n v="0"/>
    <m/>
    <m/>
    <n v="7420"/>
    <m/>
    <n v="0"/>
    <n v="0"/>
    <m/>
    <m/>
    <m/>
    <m/>
    <m/>
  </r>
  <r>
    <d v="2026-03-02T00:00:00"/>
    <x v="0"/>
    <s v="ADVANCE TO WORKERS"/>
    <s v="NON"/>
    <m/>
    <n v="0"/>
    <n v="0"/>
    <n v="10020"/>
    <m/>
    <m/>
    <m/>
    <n v="0"/>
    <n v="0"/>
    <m/>
    <m/>
    <m/>
    <m/>
    <m/>
  </r>
  <r>
    <d v="2026-03-02T00:00:00"/>
    <x v="0"/>
    <s v="PERSONAL EXP ZAHEER BHAI"/>
    <s v="NON"/>
    <m/>
    <n v="0"/>
    <n v="0"/>
    <m/>
    <m/>
    <n v="900"/>
    <m/>
    <n v="0"/>
    <n v="0"/>
    <m/>
    <m/>
    <m/>
    <m/>
    <m/>
  </r>
  <r>
    <d v="2026-03-02T00:00:00"/>
    <x v="5"/>
    <s v="DEWA &amp; EMPOWER EXP ALKHIAL ROOM"/>
    <s v="NON"/>
    <n v="790.13"/>
    <s v="NO TAX"/>
    <n v="790.13"/>
    <m/>
    <m/>
    <m/>
    <m/>
    <n v="0"/>
    <n v="0"/>
    <m/>
    <m/>
    <m/>
    <m/>
    <m/>
  </r>
  <r>
    <d v="2026-03-03T00:00:00"/>
    <x v="0"/>
    <s v="METAL TESTING CHARGES"/>
    <s v="NON"/>
    <n v="47.62"/>
    <n v="2.3809999999999998"/>
    <n v="50.000999999999998"/>
    <m/>
    <m/>
    <m/>
    <m/>
    <n v="0"/>
    <n v="0"/>
    <m/>
    <m/>
    <m/>
    <m/>
    <m/>
  </r>
  <r>
    <d v="2026-03-03T00:00:00"/>
    <x v="0"/>
    <s v="JAMAL TRAVELS"/>
    <s v="NON"/>
    <n v="6000"/>
    <s v="NO TAX"/>
    <n v="6000"/>
    <m/>
    <m/>
    <m/>
    <m/>
    <n v="0"/>
    <n v="0"/>
    <m/>
    <m/>
    <m/>
    <m/>
    <m/>
  </r>
  <r>
    <d v="2026-03-03T00:00:00"/>
    <x v="0"/>
    <s v="STAFF WELFARE EXPENSES"/>
    <s v="NON"/>
    <n v="69.5"/>
    <s v="NO TAX"/>
    <n v="69.5"/>
    <m/>
    <m/>
    <m/>
    <m/>
    <n v="0"/>
    <n v="0"/>
    <m/>
    <m/>
    <m/>
    <m/>
    <m/>
  </r>
  <r>
    <d v="2026-03-04T00:00:00"/>
    <x v="0"/>
    <s v="METAL TESTING CHARGES"/>
    <s v="NON"/>
    <n v="47.62"/>
    <n v="2.3809999999999998"/>
    <n v="50.000999999999998"/>
    <m/>
    <m/>
    <m/>
    <m/>
    <n v="0"/>
    <n v="0"/>
    <m/>
    <m/>
    <m/>
    <m/>
    <m/>
  </r>
  <r>
    <d v="2026-03-04T00:00:00"/>
    <x v="0"/>
    <s v="FACTORY CONSUMABLES"/>
    <s v="NON"/>
    <n v="1250"/>
    <n v="62.5"/>
    <n v="1312.5"/>
    <m/>
    <m/>
    <m/>
    <m/>
    <n v="0"/>
    <n v="0"/>
    <m/>
    <m/>
    <m/>
    <m/>
    <m/>
  </r>
  <r>
    <d v="2026-03-04T00:00:00"/>
    <x v="0"/>
    <s v="SALARY PAYBLE"/>
    <s v="NON"/>
    <n v="176311"/>
    <s v="NO TAX"/>
    <n v="176311"/>
    <m/>
    <m/>
    <m/>
    <m/>
    <n v="0"/>
    <n v="0"/>
    <m/>
    <m/>
    <m/>
    <m/>
    <m/>
  </r>
  <r>
    <d v="2026-03-04T00:00:00"/>
    <x v="0"/>
    <s v="PETROL TOYOTA COROLLA"/>
    <s v="NON"/>
    <n v="100"/>
    <s v="NO TAX"/>
    <n v="100"/>
    <m/>
    <m/>
    <m/>
    <m/>
    <n v="0"/>
    <n v="0"/>
    <m/>
    <m/>
    <m/>
    <m/>
    <m/>
  </r>
  <r>
    <d v="2026-03-04T00:00:00"/>
    <x v="0"/>
    <s v="SERVICE CHARGE"/>
    <s v="NON"/>
    <n v="498.75"/>
    <s v="NO TAX"/>
    <n v="498.75"/>
    <m/>
    <m/>
    <m/>
    <m/>
    <n v="0"/>
    <n v="0"/>
    <m/>
    <m/>
    <m/>
    <m/>
    <m/>
  </r>
  <r>
    <d v="2026-03-04T00:00:00"/>
    <x v="3"/>
    <s v="AIR FLIGHT TRAVLING EXPENSES"/>
    <s v="NON"/>
    <n v="885"/>
    <s v="NO TAX"/>
    <n v="885"/>
    <m/>
    <m/>
    <m/>
    <m/>
    <n v="0"/>
    <n v="0"/>
    <m/>
    <m/>
    <m/>
    <m/>
    <m/>
  </r>
  <r>
    <d v="2026-03-05T00:00:00"/>
    <x v="0"/>
    <s v="ADVANCE TO WORKERS"/>
    <s v="NON"/>
    <m/>
    <n v="0"/>
    <n v="0"/>
    <n v="500"/>
    <m/>
    <m/>
    <m/>
    <n v="0"/>
    <n v="0"/>
    <m/>
    <m/>
    <m/>
    <m/>
    <m/>
  </r>
  <r>
    <d v="2026-03-05T00:00:00"/>
    <x v="0"/>
    <s v="SALARY PAYBLE"/>
    <s v="NON"/>
    <n v="270"/>
    <s v="NO TAX"/>
    <n v="270"/>
    <m/>
    <m/>
    <m/>
    <m/>
    <n v="0"/>
    <n v="0"/>
    <m/>
    <m/>
    <m/>
    <m/>
    <m/>
  </r>
  <r>
    <d v="2026-03-05T00:00:00"/>
    <x v="0"/>
    <s v="SALARY PAYBLE"/>
    <s v="NON"/>
    <n v="285"/>
    <s v="NO TAX"/>
    <n v="285"/>
    <m/>
    <m/>
    <m/>
    <m/>
    <n v="0"/>
    <n v="0"/>
    <m/>
    <m/>
    <m/>
    <m/>
    <m/>
  </r>
  <r>
    <d v="2026-03-05T00:00:00"/>
    <x v="0"/>
    <s v="FACTORY CONSUMABLES"/>
    <s v="NON"/>
    <n v="11.5"/>
    <s v="NO TAX"/>
    <n v="11.5"/>
    <m/>
    <m/>
    <m/>
    <m/>
    <n v="0"/>
    <n v="0"/>
    <m/>
    <m/>
    <m/>
    <m/>
    <m/>
  </r>
  <r>
    <d v="2026-03-05T00:00:00"/>
    <x v="3"/>
    <s v="SALIK RECHARGE FOR CAR"/>
    <s v="NON"/>
    <n v="500"/>
    <s v="NO TAX"/>
    <n v="500"/>
    <m/>
    <m/>
    <m/>
    <m/>
    <n v="0"/>
    <n v="0"/>
    <m/>
    <m/>
    <m/>
    <m/>
    <m/>
  </r>
  <r>
    <d v="2026-03-05T00:00:00"/>
    <x v="3"/>
    <s v="AIR FLIGHT TRAVLING EXPENSES"/>
    <s v="NON"/>
    <n v="485"/>
    <s v="NO TAX"/>
    <n v="485"/>
    <m/>
    <m/>
    <m/>
    <m/>
    <n v="0"/>
    <n v="0"/>
    <m/>
    <m/>
    <m/>
    <m/>
    <m/>
  </r>
  <r>
    <d v="2026-03-06T00:00:00"/>
    <x v="0"/>
    <s v="STAFF WELFARE EXPENSES"/>
    <s v="NON"/>
    <n v="240"/>
    <s v="NO TAX"/>
    <n v="240"/>
    <m/>
    <m/>
    <m/>
    <m/>
    <n v="0"/>
    <n v="0"/>
    <m/>
    <m/>
    <m/>
    <m/>
    <m/>
  </r>
  <r>
    <d v="2026-03-06T00:00:00"/>
    <x v="0"/>
    <s v="STAFF WELFARE EXPENSES"/>
    <s v="NON"/>
    <n v="55"/>
    <s v="NO TAX"/>
    <n v="55"/>
    <m/>
    <m/>
    <m/>
    <m/>
    <n v="0"/>
    <n v="0"/>
    <m/>
    <m/>
    <m/>
    <m/>
    <m/>
  </r>
  <r>
    <d v="2026-03-07T00:00:00"/>
    <x v="0"/>
    <s v="PETROL TOYOTA COROLLA"/>
    <s v="NON"/>
    <n v="100"/>
    <s v="NO TAX"/>
    <n v="100"/>
    <m/>
    <m/>
    <m/>
    <m/>
    <n v="0"/>
    <n v="0"/>
    <m/>
    <m/>
    <m/>
    <m/>
    <m/>
  </r>
  <r>
    <d v="2026-03-07T00:00:00"/>
    <x v="0"/>
    <s v="AL KHAREEF RESTAURANT"/>
    <s v="NON"/>
    <n v="10000"/>
    <s v="NO TAX"/>
    <n v="10000"/>
    <m/>
    <m/>
    <m/>
    <m/>
    <n v="0"/>
    <n v="0"/>
    <m/>
    <m/>
    <m/>
    <m/>
    <m/>
  </r>
  <r>
    <d v="2026-03-07T00:00:00"/>
    <x v="0"/>
    <s v="PERSONAL EXP FAZEL BHAI"/>
    <s v="NON"/>
    <m/>
    <n v="0"/>
    <n v="0"/>
    <m/>
    <m/>
    <n v="500"/>
    <m/>
    <n v="0"/>
    <n v="0"/>
    <m/>
    <m/>
    <m/>
    <m/>
    <m/>
  </r>
  <r>
    <d v="2026-03-07T00:00:00"/>
    <x v="0"/>
    <s v="SALIK RECHARGE FOR CAR"/>
    <s v="NON"/>
    <n v="500"/>
    <s v="NO TAX"/>
    <n v="500"/>
    <m/>
    <m/>
    <m/>
    <m/>
    <n v="0"/>
    <n v="0"/>
    <m/>
    <m/>
    <m/>
    <m/>
    <m/>
  </r>
  <r>
    <d v="2026-03-07T00:00:00"/>
    <x v="0"/>
    <s v="PETROL TOYOTA COROLLA"/>
    <s v="NON"/>
    <n v="250"/>
    <s v="NO TAX"/>
    <n v="250"/>
    <m/>
    <m/>
    <m/>
    <m/>
    <n v="0"/>
    <n v="0"/>
    <m/>
    <m/>
    <m/>
    <m/>
    <m/>
  </r>
  <r>
    <d v="2026-03-07T00:00:00"/>
    <x v="0"/>
    <s v="SALARY PAYBLE"/>
    <s v="NON"/>
    <n v="2000"/>
    <s v="NO TAX"/>
    <n v="2000"/>
    <m/>
    <m/>
    <m/>
    <m/>
    <n v="0"/>
    <n v="0"/>
    <m/>
    <m/>
    <m/>
    <m/>
    <m/>
  </r>
  <r>
    <d v="2026-03-07T00:00:00"/>
    <x v="0"/>
    <s v="AMC FOR GAS"/>
    <s v="NON"/>
    <n v="4000"/>
    <n v="200"/>
    <n v="4200"/>
    <m/>
    <m/>
    <m/>
    <m/>
    <n v="0"/>
    <n v="0"/>
    <m/>
    <m/>
    <m/>
    <m/>
    <m/>
  </r>
  <r>
    <d v="2026-03-09T00:00:00"/>
    <x v="0"/>
    <s v="COURIER CHARGE"/>
    <s v="NON"/>
    <n v="26.75"/>
    <s v="NO TAX"/>
    <n v="26.75"/>
    <m/>
    <m/>
    <m/>
    <m/>
    <n v="0"/>
    <n v="0"/>
    <m/>
    <m/>
    <m/>
    <m/>
    <m/>
  </r>
  <r>
    <d v="2026-03-09T00:00:00"/>
    <x v="0"/>
    <s v="ADVANCE TO WORKERS"/>
    <s v="NON"/>
    <m/>
    <n v="0"/>
    <n v="0"/>
    <n v="5675"/>
    <m/>
    <m/>
    <m/>
    <n v="0"/>
    <n v="0"/>
    <m/>
    <m/>
    <m/>
    <m/>
    <m/>
  </r>
  <r>
    <d v="2026-03-09T00:00:00"/>
    <x v="0"/>
    <s v="FACTORY CONSUMABLES"/>
    <s v="NON"/>
    <n v="1100"/>
    <n v="55"/>
    <n v="1155"/>
    <m/>
    <m/>
    <m/>
    <m/>
    <n v="0"/>
    <n v="0"/>
    <m/>
    <m/>
    <m/>
    <m/>
    <m/>
  </r>
  <r>
    <d v="2026-03-09T00:00:00"/>
    <x v="0"/>
    <s v="FACTORY CONSUMABLES"/>
    <s v="NON"/>
    <n v="175"/>
    <n v="8.75"/>
    <n v="183.75"/>
    <m/>
    <m/>
    <m/>
    <m/>
    <n v="0"/>
    <n v="0"/>
    <m/>
    <m/>
    <m/>
    <m/>
    <m/>
  </r>
  <r>
    <d v="2026-03-09T00:00:00"/>
    <x v="0"/>
    <s v="FACTORY CONSUMABLES"/>
    <s v="NON"/>
    <n v="75"/>
    <n v="3.75"/>
    <n v="78.75"/>
    <m/>
    <m/>
    <m/>
    <m/>
    <n v="0"/>
    <n v="0"/>
    <m/>
    <m/>
    <m/>
    <m/>
    <m/>
  </r>
  <r>
    <d v="2026-03-09T00:00:00"/>
    <x v="0"/>
    <s v="METAL TESTING CHARGES"/>
    <s v="NON"/>
    <n v="47.62"/>
    <n v="2.3809999999999998"/>
    <n v="50.000999999999998"/>
    <m/>
    <m/>
    <m/>
    <m/>
    <n v="0"/>
    <n v="0"/>
    <m/>
    <m/>
    <m/>
    <m/>
    <m/>
  </r>
  <r>
    <d v="2026-03-09T00:00:00"/>
    <x v="6"/>
    <s v="MACHINERY"/>
    <s v="NON"/>
    <m/>
    <n v="0"/>
    <n v="0"/>
    <m/>
    <m/>
    <m/>
    <n v="5564.35"/>
    <s v="NO TAX"/>
    <n v="5564.35"/>
    <m/>
    <m/>
    <m/>
    <m/>
    <m/>
  </r>
  <r>
    <d v="2026-03-09T00:00:00"/>
    <x v="6"/>
    <s v="BANK CHARGES"/>
    <s v="NON"/>
    <n v="64.94"/>
    <s v="NO TAX"/>
    <n v="64.94"/>
    <m/>
    <m/>
    <m/>
    <m/>
    <n v="0"/>
    <n v="0"/>
    <m/>
    <m/>
    <m/>
    <m/>
    <m/>
  </r>
  <r>
    <d v="2026-03-09T00:00:00"/>
    <x v="6"/>
    <s v="MACHINERY"/>
    <s v="NON"/>
    <m/>
    <n v="0"/>
    <n v="0"/>
    <m/>
    <m/>
    <m/>
    <n v="5144.9399999999996"/>
    <s v="NO TAX"/>
    <n v="5144.9399999999996"/>
    <m/>
    <m/>
    <m/>
    <m/>
    <m/>
  </r>
  <r>
    <d v="2026-03-09T00:00:00"/>
    <x v="6"/>
    <s v="BANK CHARGES"/>
    <s v="NON"/>
    <n v="96.71"/>
    <s v="NO TAX"/>
    <n v="96.71"/>
    <m/>
    <m/>
    <m/>
    <m/>
    <n v="0"/>
    <n v="0"/>
    <m/>
    <m/>
    <m/>
    <m/>
    <m/>
  </r>
  <r>
    <d v="2026-03-10T00:00:00"/>
    <x v="0"/>
    <s v="FACTORY CONSUMABLES"/>
    <s v="NON"/>
    <n v="23.81"/>
    <n v="1.1904999999999999"/>
    <n v="25.000499999999999"/>
    <m/>
    <m/>
    <m/>
    <m/>
    <n v="0"/>
    <n v="0"/>
    <m/>
    <m/>
    <m/>
    <m/>
    <m/>
  </r>
  <r>
    <d v="2026-03-11T00:00:00"/>
    <x v="0"/>
    <s v="FACTORY CONSUMABLES"/>
    <s v="NON"/>
    <n v="45"/>
    <n v="2.25"/>
    <n v="47.25"/>
    <m/>
    <m/>
    <m/>
    <m/>
    <n v="0"/>
    <n v="0"/>
    <m/>
    <m/>
    <m/>
    <m/>
    <m/>
  </r>
  <r>
    <d v="2026-03-11T00:00:00"/>
    <x v="0"/>
    <s v="STAFF WELFARE EXPENSES"/>
    <s v="NON"/>
    <n v="36"/>
    <s v="NO TAX"/>
    <n v="36"/>
    <m/>
    <m/>
    <m/>
    <m/>
    <n v="0"/>
    <n v="0"/>
    <m/>
    <m/>
    <m/>
    <m/>
    <m/>
  </r>
  <r>
    <d v="2026-03-11T00:00:00"/>
    <x v="0"/>
    <s v="FACTORY CONSUMABLES"/>
    <s v="NON"/>
    <n v="20"/>
    <s v="NO TAX"/>
    <n v="20"/>
    <m/>
    <m/>
    <m/>
    <m/>
    <n v="0"/>
    <n v="0"/>
    <m/>
    <m/>
    <m/>
    <m/>
    <m/>
  </r>
  <r>
    <d v="2026-03-12T00:00:00"/>
    <x v="0"/>
    <s v="MACHINERY &amp; REPAIR MAINTAINCE"/>
    <s v="NON"/>
    <n v="1100"/>
    <s v="NO TAX"/>
    <n v="1100"/>
    <m/>
    <m/>
    <m/>
    <m/>
    <n v="0"/>
    <n v="0"/>
    <m/>
    <m/>
    <m/>
    <m/>
    <m/>
  </r>
  <r>
    <d v="2026-03-12T00:00:00"/>
    <x v="0"/>
    <s v="PETROL TOYOTA COROLLA"/>
    <s v="NON"/>
    <n v="100"/>
    <s v="NO TAX"/>
    <n v="100"/>
    <m/>
    <m/>
    <m/>
    <m/>
    <n v="0"/>
    <n v="0"/>
    <m/>
    <m/>
    <m/>
    <m/>
    <m/>
  </r>
  <r>
    <d v="2026-03-12T00:00:00"/>
    <x v="0"/>
    <s v="FACTORY CONSUMABLES"/>
    <s v="NON"/>
    <n v="18"/>
    <s v="NO TAX"/>
    <n v="18"/>
    <m/>
    <m/>
    <m/>
    <m/>
    <n v="0"/>
    <n v="0"/>
    <m/>
    <m/>
    <m/>
    <m/>
    <m/>
  </r>
  <r>
    <d v="2026-03-13T00:00:00"/>
    <x v="0"/>
    <s v="STAFF WELFARE EXPENSES"/>
    <s v="NON"/>
    <n v="55"/>
    <s v="NO TAX"/>
    <n v="55"/>
    <m/>
    <m/>
    <m/>
    <m/>
    <n v="0"/>
    <n v="0"/>
    <m/>
    <m/>
    <m/>
    <m/>
    <m/>
  </r>
  <r>
    <d v="2026-03-13T00:00:00"/>
    <x v="0"/>
    <s v="COURIER CHARGE"/>
    <s v="NON"/>
    <n v="60"/>
    <s v="NO TAX"/>
    <n v="60"/>
    <m/>
    <m/>
    <m/>
    <m/>
    <n v="0"/>
    <n v="0"/>
    <m/>
    <m/>
    <m/>
    <m/>
    <m/>
  </r>
  <r>
    <d v="2026-03-13T00:00:00"/>
    <x v="0"/>
    <s v="URD MACHINERY &amp; EQUIPMENT"/>
    <s v="NON"/>
    <n v="3900"/>
    <s v="NO TAX"/>
    <n v="3900"/>
    <m/>
    <m/>
    <m/>
    <m/>
    <n v="0"/>
    <n v="0"/>
    <m/>
    <m/>
    <m/>
    <m/>
    <m/>
  </r>
  <r>
    <d v="2026-03-13T00:00:00"/>
    <x v="0"/>
    <s v="SALARY PAYBLE"/>
    <s v="NON"/>
    <n v="1300"/>
    <s v="NO TAX"/>
    <n v="1300"/>
    <m/>
    <m/>
    <m/>
    <m/>
    <n v="0"/>
    <n v="0"/>
    <m/>
    <m/>
    <m/>
    <m/>
    <m/>
  </r>
  <r>
    <d v="2026-03-13T00:00:00"/>
    <x v="0"/>
    <s v="ADVANCE TO WORKERS"/>
    <s v="NON"/>
    <m/>
    <n v="0"/>
    <n v="0"/>
    <n v="1800"/>
    <m/>
    <m/>
    <m/>
    <n v="0"/>
    <n v="0"/>
    <m/>
    <m/>
    <m/>
    <m/>
    <m/>
  </r>
  <r>
    <d v="2026-03-13T00:00:00"/>
    <x v="0"/>
    <s v="FACTORY CONSUMABLES"/>
    <s v="NON"/>
    <n v="15"/>
    <s v="NO TAX"/>
    <n v="15"/>
    <m/>
    <m/>
    <m/>
    <m/>
    <n v="0"/>
    <n v="0"/>
    <m/>
    <m/>
    <m/>
    <m/>
    <m/>
  </r>
  <r>
    <d v="2026-03-13T00:00:00"/>
    <x v="0"/>
    <s v="FACTORY CONSUMABLES"/>
    <s v="NON"/>
    <n v="132"/>
    <n v="6"/>
    <n v="138"/>
    <m/>
    <m/>
    <m/>
    <m/>
    <n v="0"/>
    <n v="0"/>
    <m/>
    <m/>
    <m/>
    <m/>
    <m/>
  </r>
  <r>
    <d v="2026-03-13T00:00:00"/>
    <x v="0"/>
    <s v="ADVANCE TO WORKERS"/>
    <s v="NON"/>
    <m/>
    <n v="0"/>
    <n v="0"/>
    <n v="50"/>
    <m/>
    <m/>
    <m/>
    <n v="0"/>
    <n v="0"/>
    <m/>
    <m/>
    <m/>
    <m/>
    <m/>
  </r>
  <r>
    <d v="2026-03-13T00:00:00"/>
    <x v="0"/>
    <s v="EMIRATES ID APPLICATION"/>
    <s v="NON"/>
    <n v="1155"/>
    <s v="NO TAX"/>
    <n v="1155"/>
    <m/>
    <m/>
    <m/>
    <m/>
    <n v="0"/>
    <n v="0"/>
    <m/>
    <m/>
    <m/>
    <m/>
    <m/>
  </r>
  <r>
    <d v="2026-03-14T00:00:00"/>
    <x v="0"/>
    <s v="STAFF WELFARE EXPENSES"/>
    <s v="NON"/>
    <n v="16"/>
    <s v="NO TAX"/>
    <n v="16"/>
    <m/>
    <m/>
    <m/>
    <m/>
    <n v="0"/>
    <n v="0"/>
    <m/>
    <m/>
    <m/>
    <m/>
    <m/>
  </r>
  <r>
    <d v="2026-03-14T00:00:00"/>
    <x v="0"/>
    <s v="ADVANCE TO WORKERS"/>
    <s v="NON"/>
    <m/>
    <n v="0"/>
    <n v="0"/>
    <n v="50"/>
    <m/>
    <m/>
    <m/>
    <n v="0"/>
    <n v="0"/>
    <m/>
    <m/>
    <m/>
    <m/>
    <m/>
  </r>
  <r>
    <d v="2026-03-14T00:00:00"/>
    <x v="0"/>
    <s v="ADVANCE TO WORKERS"/>
    <s v="NON"/>
    <m/>
    <n v="0"/>
    <n v="0"/>
    <n v="50"/>
    <m/>
    <m/>
    <m/>
    <n v="0"/>
    <n v="0"/>
    <m/>
    <m/>
    <m/>
    <m/>
    <m/>
  </r>
  <r>
    <d v="2026-03-14T00:00:00"/>
    <x v="0"/>
    <s v="STAFF WELFARE EXPENSES"/>
    <s v="NON"/>
    <n v="55"/>
    <s v="NO TAX"/>
    <n v="55"/>
    <m/>
    <m/>
    <m/>
    <m/>
    <n v="0"/>
    <n v="0"/>
    <m/>
    <m/>
    <m/>
    <m/>
    <m/>
  </r>
  <r>
    <d v="2026-03-14T00:00:00"/>
    <x v="0"/>
    <s v="FACTORY CONSUMABLES"/>
    <s v="NON"/>
    <n v="4.5"/>
    <s v="NO TAX"/>
    <n v="4.5"/>
    <m/>
    <m/>
    <m/>
    <m/>
    <n v="0"/>
    <n v="0"/>
    <m/>
    <m/>
    <m/>
    <m/>
    <m/>
  </r>
  <r>
    <d v="2026-03-14T00:00:00"/>
    <x v="0"/>
    <s v="ADVANCE TO WORKERS"/>
    <s v="NON"/>
    <m/>
    <n v="0"/>
    <n v="0"/>
    <n v="50"/>
    <m/>
    <m/>
    <m/>
    <n v="0"/>
    <n v="0"/>
    <m/>
    <m/>
    <m/>
    <m/>
    <m/>
  </r>
  <r>
    <d v="2026-03-14T00:00:00"/>
    <x v="0"/>
    <s v="STAFF WELFARE EXPENSES"/>
    <s v="NON"/>
    <n v="110"/>
    <s v="NO TAX"/>
    <n v="110"/>
    <m/>
    <m/>
    <m/>
    <m/>
    <n v="0"/>
    <n v="0"/>
    <m/>
    <m/>
    <m/>
    <m/>
    <m/>
  </r>
  <r>
    <d v="2026-03-14T00:00:00"/>
    <x v="0"/>
    <s v="ADVANCE TO WORKERS"/>
    <s v="NON"/>
    <m/>
    <n v="0"/>
    <n v="0"/>
    <n v="50"/>
    <m/>
    <m/>
    <m/>
    <n v="0"/>
    <n v="0"/>
    <m/>
    <m/>
    <m/>
    <m/>
    <m/>
  </r>
  <r>
    <d v="2026-03-14T00:00:00"/>
    <x v="0"/>
    <s v="STAFF WELFARE EXPENSES"/>
    <s v="NON"/>
    <n v="55"/>
    <s v="NO TAX"/>
    <n v="55"/>
    <m/>
    <m/>
    <m/>
    <m/>
    <n v="0"/>
    <n v="0"/>
    <m/>
    <m/>
    <m/>
    <m/>
    <m/>
  </r>
  <r>
    <d v="2026-03-14T00:00:00"/>
    <x v="0"/>
    <s v="ADVANCE TO WORKERS"/>
    <s v="NON"/>
    <m/>
    <n v="0"/>
    <n v="0"/>
    <n v="50"/>
    <m/>
    <m/>
    <m/>
    <n v="0"/>
    <n v="0"/>
    <m/>
    <m/>
    <m/>
    <m/>
    <m/>
  </r>
  <r>
    <d v="2026-03-14T00:00:00"/>
    <x v="5"/>
    <s v="DEWA &amp; EMPOWER EXP ALKHIAL ROOM"/>
    <s v="NON"/>
    <n v="208.95"/>
    <s v="NO TAX"/>
    <n v="208.95"/>
    <m/>
    <m/>
    <m/>
    <m/>
    <n v="0"/>
    <n v="0"/>
    <m/>
    <m/>
    <m/>
    <m/>
    <m/>
  </r>
  <r>
    <d v="2026-03-15T00:00:00"/>
    <x v="3"/>
    <s v="AIR FLIGHT TRAVLING EXPENSES"/>
    <s v="NON"/>
    <n v="-855"/>
    <s v="NO TAX"/>
    <n v="-855"/>
    <m/>
    <m/>
    <m/>
    <m/>
    <n v="0"/>
    <n v="0"/>
    <m/>
    <m/>
    <m/>
    <m/>
    <m/>
  </r>
  <r>
    <d v="2026-03-16T00:00:00"/>
    <x v="0"/>
    <s v="ADVANCE TO WORKERS"/>
    <s v="NON"/>
    <m/>
    <n v="0"/>
    <n v="0"/>
    <n v="50"/>
    <m/>
    <m/>
    <m/>
    <n v="0"/>
    <n v="0"/>
    <m/>
    <m/>
    <m/>
    <m/>
    <m/>
  </r>
  <r>
    <d v="2026-03-16T00:00:00"/>
    <x v="0"/>
    <s v="ADVANCE TO WORKERS"/>
    <s v="NON"/>
    <m/>
    <n v="0"/>
    <n v="0"/>
    <n v="50"/>
    <m/>
    <m/>
    <m/>
    <n v="0"/>
    <n v="0"/>
    <m/>
    <m/>
    <m/>
    <m/>
    <m/>
  </r>
  <r>
    <d v="2026-03-16T00:00:00"/>
    <x v="0"/>
    <s v="PETROL TOYOTA COROLLA"/>
    <s v="NON"/>
    <n v="100"/>
    <s v="NO TAX"/>
    <n v="100"/>
    <m/>
    <m/>
    <m/>
    <m/>
    <n v="0"/>
    <n v="0"/>
    <m/>
    <m/>
    <m/>
    <m/>
    <m/>
  </r>
  <r>
    <d v="2026-03-16T00:00:00"/>
    <x v="3"/>
    <s v="AIR FLIGHT TRAVLING EXPENSES"/>
    <s v="NON"/>
    <n v="2265"/>
    <s v="NO TAX"/>
    <n v="2265"/>
    <m/>
    <m/>
    <m/>
    <m/>
    <n v="0"/>
    <n v="0"/>
    <m/>
    <m/>
    <m/>
    <m/>
    <m/>
  </r>
  <r>
    <d v="2026-03-16T00:00:00"/>
    <x v="3"/>
    <s v="SALIK RECHARGE FOR CAR"/>
    <s v="NON"/>
    <n v="500"/>
    <s v="NO TAX"/>
    <n v="500"/>
    <m/>
    <m/>
    <m/>
    <m/>
    <n v="0"/>
    <n v="0"/>
    <m/>
    <m/>
    <m/>
    <m/>
    <m/>
  </r>
  <r>
    <d v="2026-03-17T00:00:00"/>
    <x v="0"/>
    <s v="ADVANCE TO WORKERS"/>
    <s v="NON"/>
    <m/>
    <n v="0"/>
    <n v="0"/>
    <n v="500"/>
    <m/>
    <m/>
    <m/>
    <n v="0"/>
    <n v="0"/>
    <m/>
    <m/>
    <m/>
    <m/>
    <m/>
  </r>
  <r>
    <d v="2026-03-17T00:00:00"/>
    <x v="0"/>
    <s v="FACTORY CONSUMABLES"/>
    <s v="NON"/>
    <n v="38.5"/>
    <s v="NO TAX"/>
    <n v="38.5"/>
    <m/>
    <m/>
    <m/>
    <m/>
    <n v="0"/>
    <n v="0"/>
    <m/>
    <m/>
    <m/>
    <m/>
    <m/>
  </r>
  <r>
    <d v="2026-03-17T00:00:00"/>
    <x v="0"/>
    <s v="HOSPITAL &amp; MEDICAL EXP'S"/>
    <s v="NON"/>
    <n v="16"/>
    <s v="NO TAX"/>
    <n v="16"/>
    <m/>
    <m/>
    <m/>
    <m/>
    <n v="0"/>
    <n v="0"/>
    <m/>
    <m/>
    <m/>
    <m/>
    <m/>
  </r>
  <r>
    <d v="2026-03-17T00:00:00"/>
    <x v="0"/>
    <s v="STAFF WELFARE EXPENSES"/>
    <s v="NON"/>
    <n v="55"/>
    <s v="NO TAX"/>
    <n v="55"/>
    <m/>
    <m/>
    <m/>
    <m/>
    <n v="0"/>
    <n v="0"/>
    <m/>
    <m/>
    <m/>
    <m/>
    <m/>
  </r>
  <r>
    <d v="2026-03-18T00:00:00"/>
    <x v="0"/>
    <s v="SALARY PAYBLE"/>
    <s v="NON"/>
    <n v="1750"/>
    <s v="NO TAX"/>
    <n v="1750"/>
    <m/>
    <m/>
    <m/>
    <m/>
    <n v="0"/>
    <n v="0"/>
    <m/>
    <m/>
    <m/>
    <m/>
    <m/>
  </r>
  <r>
    <d v="2026-03-18T00:00:00"/>
    <x v="0"/>
    <s v="PERSONAL EXP FAZEL BHAI"/>
    <s v="NON"/>
    <m/>
    <n v="0"/>
    <n v="0"/>
    <m/>
    <m/>
    <n v="2500"/>
    <m/>
    <n v="0"/>
    <n v="0"/>
    <m/>
    <m/>
    <m/>
    <m/>
    <m/>
  </r>
  <r>
    <d v="2026-03-18T00:00:00"/>
    <x v="0"/>
    <s v="STAFF WELFARE EXPENSES"/>
    <s v="NON"/>
    <n v="55"/>
    <s v="NO TAX"/>
    <n v="55"/>
    <m/>
    <m/>
    <m/>
    <m/>
    <n v="0"/>
    <n v="0"/>
    <m/>
    <m/>
    <m/>
    <m/>
    <m/>
  </r>
  <r>
    <d v="2026-03-18T00:00:00"/>
    <x v="0"/>
    <s v="STAFF WELFARE EXPENSES"/>
    <s v="NON"/>
    <n v="53"/>
    <s v="NO TAX"/>
    <n v="53"/>
    <m/>
    <m/>
    <m/>
    <m/>
    <n v="0"/>
    <n v="0"/>
    <m/>
    <m/>
    <m/>
    <m/>
    <m/>
  </r>
  <r>
    <d v="2026-03-18T00:00:00"/>
    <x v="0"/>
    <s v="AL KHAREEF RESTAURANT"/>
    <s v="NON"/>
    <n v="10300"/>
    <s v="NO TAX"/>
    <n v="10300"/>
    <m/>
    <m/>
    <m/>
    <m/>
    <n v="0"/>
    <n v="0"/>
    <m/>
    <m/>
    <m/>
    <m/>
    <m/>
  </r>
  <r>
    <d v="2026-03-18T00:00:00"/>
    <x v="0"/>
    <s v="PETROL TOYOTA COROLLA"/>
    <s v="NON"/>
    <n v="100"/>
    <s v="NO TAX"/>
    <n v="100"/>
    <m/>
    <m/>
    <m/>
    <m/>
    <n v="0"/>
    <n v="0"/>
    <m/>
    <m/>
    <m/>
    <m/>
    <m/>
  </r>
  <r>
    <d v="2026-03-18T00:00:00"/>
    <x v="0"/>
    <s v="STAFF WELFARE EXPENSES"/>
    <s v="NON"/>
    <n v="4200"/>
    <s v="NO TAX"/>
    <n v="4200"/>
    <m/>
    <m/>
    <m/>
    <m/>
    <n v="0"/>
    <n v="0"/>
    <m/>
    <m/>
    <m/>
    <m/>
    <m/>
  </r>
  <r>
    <d v="2026-03-23T00:00:00"/>
    <x v="0"/>
    <s v="COURIER CHARGE"/>
    <s v="NON"/>
    <n v="80"/>
    <s v="NO TAX"/>
    <n v="80"/>
    <m/>
    <m/>
    <m/>
    <m/>
    <n v="0"/>
    <n v="0"/>
    <m/>
    <m/>
    <m/>
    <m/>
    <m/>
  </r>
  <r>
    <d v="2026-03-23T00:00:00"/>
    <x v="0"/>
    <s v="STAFF WELFARE EXPENSES"/>
    <s v="NON"/>
    <n v="479.25"/>
    <s v="NO TAX"/>
    <n v="479.25"/>
    <m/>
    <m/>
    <m/>
    <m/>
    <n v="0"/>
    <n v="0"/>
    <m/>
    <m/>
    <m/>
    <m/>
    <m/>
  </r>
  <r>
    <d v="2026-03-23T00:00:00"/>
    <x v="0"/>
    <s v="STAFF WELFARE EXPENSES"/>
    <s v="NON"/>
    <n v="60.25"/>
    <s v="NO TAX"/>
    <n v="60.25"/>
    <m/>
    <m/>
    <m/>
    <m/>
    <n v="0"/>
    <n v="0"/>
    <m/>
    <m/>
    <m/>
    <m/>
    <m/>
  </r>
  <r>
    <d v="2026-03-23T00:00:00"/>
    <x v="0"/>
    <s v="STAFF WELFARE EXPENSES"/>
    <s v="NON"/>
    <n v="35"/>
    <s v="NO TAX"/>
    <n v="35"/>
    <m/>
    <m/>
    <m/>
    <m/>
    <n v="0"/>
    <n v="0"/>
    <m/>
    <m/>
    <m/>
    <m/>
    <m/>
  </r>
  <r>
    <d v="2026-03-23T00:00:00"/>
    <x v="0"/>
    <s v="MOBILE,TEL &amp; WIFI EXPENSES"/>
    <s v="NON"/>
    <n v="2297"/>
    <s v="NO TAX"/>
    <n v="2297"/>
    <m/>
    <m/>
    <m/>
    <m/>
    <n v="0"/>
    <n v="0"/>
    <m/>
    <m/>
    <m/>
    <m/>
    <m/>
  </r>
  <r>
    <d v="2026-03-23T00:00:00"/>
    <x v="0"/>
    <s v="ADVANCE TO WORKERS"/>
    <s v="NON"/>
    <m/>
    <n v="0"/>
    <n v="0"/>
    <n v="50"/>
    <m/>
    <m/>
    <m/>
    <n v="0"/>
    <n v="0"/>
    <m/>
    <m/>
    <m/>
    <m/>
    <m/>
  </r>
  <r>
    <d v="2026-03-23T00:00:00"/>
    <x v="3"/>
    <s v="AIR FLIGHT TRAVLING EXPENSES"/>
    <s v="NON"/>
    <n v="730"/>
    <s v="NO TAX"/>
    <n v="730"/>
    <m/>
    <m/>
    <m/>
    <m/>
    <n v="0"/>
    <n v="0"/>
    <m/>
    <m/>
    <m/>
    <m/>
    <m/>
  </r>
  <r>
    <d v="2026-03-24T00:00:00"/>
    <x v="0"/>
    <s v="FACTORY EXPENSES"/>
    <s v="NON"/>
    <n v="335"/>
    <s v="NO TAX"/>
    <n v="335"/>
    <m/>
    <m/>
    <m/>
    <m/>
    <n v="0"/>
    <n v="0"/>
    <m/>
    <m/>
    <m/>
    <m/>
    <m/>
  </r>
  <r>
    <d v="2026-03-24T00:00:00"/>
    <x v="0"/>
    <s v="STAFF WELFARE EXPENSES"/>
    <s v="NON"/>
    <n v="55"/>
    <s v="NO TAX"/>
    <n v="55"/>
    <m/>
    <m/>
    <m/>
    <m/>
    <n v="0"/>
    <n v="0"/>
    <m/>
    <m/>
    <m/>
    <m/>
    <m/>
  </r>
  <r>
    <d v="2026-03-24T00:00:00"/>
    <x v="0"/>
    <s v="PETROL TOYOTA COROLLA"/>
    <s v="NON"/>
    <n v="100"/>
    <s v="NO TAX"/>
    <n v="100"/>
    <m/>
    <m/>
    <m/>
    <m/>
    <n v="0"/>
    <n v="0"/>
    <m/>
    <m/>
    <m/>
    <m/>
    <m/>
  </r>
  <r>
    <d v="2026-03-24T00:00:00"/>
    <x v="0"/>
    <s v="FACTORY CONSUMABLES"/>
    <s v="NON"/>
    <n v="62"/>
    <n v="3"/>
    <n v="65"/>
    <m/>
    <m/>
    <m/>
    <m/>
    <n v="0"/>
    <n v="0"/>
    <m/>
    <m/>
    <m/>
    <m/>
    <m/>
  </r>
  <r>
    <d v="2026-03-25T00:00:00"/>
    <x v="0"/>
    <s v="TEA &amp; FOOD EXPENSES"/>
    <s v="NON"/>
    <n v="17"/>
    <s v="NO TAX"/>
    <n v="17"/>
    <m/>
    <m/>
    <m/>
    <m/>
    <n v="0"/>
    <n v="0"/>
    <m/>
    <m/>
    <m/>
    <m/>
    <m/>
  </r>
  <r>
    <d v="2026-03-25T00:00:00"/>
    <x v="0"/>
    <s v="HOSPITAL &amp; MEDICAL EXP'S"/>
    <s v="NON"/>
    <n v="200"/>
    <s v="NO TAX"/>
    <n v="200"/>
    <m/>
    <m/>
    <m/>
    <m/>
    <n v="0"/>
    <n v="0"/>
    <m/>
    <m/>
    <m/>
    <m/>
    <m/>
  </r>
  <r>
    <d v="2026-03-25T00:00:00"/>
    <x v="0"/>
    <s v="METAL TESTING CHARGES"/>
    <s v="NON"/>
    <n v="238.09100000000001"/>
    <n v="11.90455"/>
    <n v="249.99555000000001"/>
    <m/>
    <m/>
    <m/>
    <m/>
    <n v="0"/>
    <n v="0"/>
    <m/>
    <m/>
    <m/>
    <m/>
    <m/>
  </r>
  <r>
    <d v="2026-03-25T00:00:00"/>
    <x v="0"/>
    <s v="STAFF WELFARE EXPENSES"/>
    <s v="NON"/>
    <n v="110"/>
    <s v="NO TAX"/>
    <n v="110"/>
    <m/>
    <m/>
    <m/>
    <m/>
    <n v="0"/>
    <n v="0"/>
    <m/>
    <m/>
    <m/>
    <m/>
    <m/>
  </r>
  <r>
    <d v="2026-03-25T00:00:00"/>
    <x v="0"/>
    <s v="STAFF WELFARE EXPENSES"/>
    <s v="NON"/>
    <n v="52"/>
    <s v="NO TAX"/>
    <n v="52"/>
    <m/>
    <m/>
    <m/>
    <m/>
    <n v="0"/>
    <n v="0"/>
    <m/>
    <m/>
    <m/>
    <m/>
    <m/>
  </r>
  <r>
    <d v="2026-03-25T00:00:00"/>
    <x v="0"/>
    <s v="FACTORY CONSUMABLES"/>
    <s v="NON"/>
    <n v="25"/>
    <n v="1"/>
    <n v="26"/>
    <m/>
    <m/>
    <m/>
    <m/>
    <n v="0"/>
    <n v="0"/>
    <m/>
    <m/>
    <m/>
    <m/>
    <m/>
  </r>
  <r>
    <d v="2026-03-25T00:00:00"/>
    <x v="0"/>
    <s v="FACTORY CONSUMABLES"/>
    <s v="NON"/>
    <n v="35"/>
    <s v="NO TAX"/>
    <n v="35"/>
    <m/>
    <m/>
    <m/>
    <m/>
    <n v="0"/>
    <n v="0"/>
    <m/>
    <m/>
    <m/>
    <m/>
    <m/>
  </r>
  <r>
    <d v="2026-03-25T00:00:00"/>
    <x v="0"/>
    <s v="HOSPITAL &amp; MEDICAL EXP'S"/>
    <s v="NON"/>
    <n v="15"/>
    <s v="NO TAX"/>
    <n v="15"/>
    <m/>
    <m/>
    <m/>
    <m/>
    <n v="0"/>
    <n v="0"/>
    <m/>
    <m/>
    <m/>
    <m/>
    <m/>
  </r>
  <r>
    <d v="2026-03-25T00:00:00"/>
    <x v="0"/>
    <s v="FACTORY CONSUMABLES"/>
    <s v="NON"/>
    <n v="0"/>
    <n v="187.857"/>
    <n v="187.857"/>
    <m/>
    <m/>
    <m/>
    <m/>
    <n v="0"/>
    <n v="0"/>
    <m/>
    <m/>
    <m/>
    <m/>
    <m/>
  </r>
  <r>
    <d v="2026-03-25T00:00:00"/>
    <x v="0"/>
    <s v="PERSONAL EXP FAZEL BHAI"/>
    <s v="NON"/>
    <m/>
    <n v="0"/>
    <n v="0"/>
    <m/>
    <m/>
    <n v="3757.14"/>
    <m/>
    <n v="0"/>
    <n v="0"/>
    <m/>
    <m/>
    <m/>
    <m/>
    <m/>
  </r>
  <r>
    <d v="2026-03-26T00:00:00"/>
    <x v="0"/>
    <s v="STAFF WELFARE EXPENSES"/>
    <s v="NON"/>
    <n v="55"/>
    <s v="NO TAX"/>
    <n v="55"/>
    <m/>
    <m/>
    <m/>
    <m/>
    <n v="0"/>
    <n v="0"/>
    <m/>
    <m/>
    <m/>
    <m/>
    <m/>
  </r>
  <r>
    <d v="2026-03-26T00:00:00"/>
    <x v="0"/>
    <s v="ADVANCE TO WORKERS"/>
    <s v="NON"/>
    <m/>
    <n v="0"/>
    <n v="0"/>
    <n v="50"/>
    <m/>
    <m/>
    <m/>
    <n v="0"/>
    <n v="0"/>
    <m/>
    <m/>
    <m/>
    <m/>
    <m/>
  </r>
  <r>
    <d v="2026-03-27T00:00:00"/>
    <x v="0"/>
    <s v="SALARY PAYBLE"/>
    <s v="NON"/>
    <n v="2700"/>
    <s v="NO TAX"/>
    <n v="2700"/>
    <m/>
    <m/>
    <m/>
    <m/>
    <n v="0"/>
    <n v="0"/>
    <m/>
    <m/>
    <m/>
    <m/>
    <m/>
  </r>
  <r>
    <d v="2026-03-28T00:00:00"/>
    <x v="0"/>
    <s v="TEA &amp; FOOD EXPENSES"/>
    <s v="NON"/>
    <n v="10.5"/>
    <s v="NO TAX"/>
    <n v="10.5"/>
    <m/>
    <m/>
    <m/>
    <m/>
    <n v="0"/>
    <n v="0"/>
    <m/>
    <m/>
    <m/>
    <m/>
    <m/>
  </r>
  <r>
    <d v="2026-03-28T00:00:00"/>
    <x v="0"/>
    <s v="STAFF WELFARE EXPENSES"/>
    <s v="NON"/>
    <n v="55"/>
    <s v="NO TAX"/>
    <n v="55"/>
    <m/>
    <m/>
    <m/>
    <m/>
    <n v="0"/>
    <n v="0"/>
    <m/>
    <m/>
    <m/>
    <m/>
    <m/>
  </r>
  <r>
    <d v="2026-03-28T00:00:00"/>
    <x v="0"/>
    <s v="ADVANCE TO WORKERS"/>
    <s v="NON"/>
    <m/>
    <n v="0"/>
    <n v="0"/>
    <n v="500"/>
    <m/>
    <m/>
    <m/>
    <n v="0"/>
    <n v="0"/>
    <m/>
    <m/>
    <m/>
    <m/>
    <m/>
  </r>
  <r>
    <d v="2026-03-28T00:00:00"/>
    <x v="0"/>
    <s v="ADVANCE TO WORKERS"/>
    <s v="NON"/>
    <m/>
    <n v="0"/>
    <n v="0"/>
    <n v="500"/>
    <m/>
    <m/>
    <m/>
    <n v="0"/>
    <n v="0"/>
    <m/>
    <m/>
    <m/>
    <m/>
    <m/>
  </r>
  <r>
    <d v="2026-03-28T00:00:00"/>
    <x v="0"/>
    <s v="ADVANCE TO WORKERS"/>
    <s v="NON"/>
    <m/>
    <n v="0"/>
    <n v="0"/>
    <n v="500"/>
    <m/>
    <m/>
    <m/>
    <n v="0"/>
    <n v="0"/>
    <m/>
    <m/>
    <m/>
    <m/>
    <m/>
  </r>
  <r>
    <d v="2026-03-28T00:00:00"/>
    <x v="0"/>
    <s v="ADVANCE TO WORKERS"/>
    <s v="NON"/>
    <m/>
    <n v="0"/>
    <n v="0"/>
    <n v="50"/>
    <m/>
    <m/>
    <m/>
    <n v="0"/>
    <n v="0"/>
    <m/>
    <m/>
    <m/>
    <m/>
    <m/>
  </r>
  <r>
    <d v="2026-03-28T00:00:00"/>
    <x v="0"/>
    <s v="PETROL TOYOTA COROLLA"/>
    <s v="NON"/>
    <n v="100"/>
    <s v="NO TAX"/>
    <n v="100"/>
    <m/>
    <m/>
    <m/>
    <m/>
    <n v="0"/>
    <n v="0"/>
    <m/>
    <m/>
    <m/>
    <m/>
    <m/>
  </r>
  <r>
    <d v="2026-03-28T00:00:00"/>
    <x v="0"/>
    <s v="FACTORY CONSUMABLES"/>
    <s v="NON"/>
    <n v="120"/>
    <s v="NO TAX"/>
    <n v="120"/>
    <m/>
    <m/>
    <m/>
    <m/>
    <n v="0"/>
    <n v="0"/>
    <m/>
    <m/>
    <m/>
    <m/>
    <m/>
  </r>
  <r>
    <d v="2026-03-28T00:00:00"/>
    <x v="0"/>
    <s v="FACTORY CONSUMABLES"/>
    <s v="NON"/>
    <n v="92"/>
    <n v="4.5"/>
    <n v="96.5"/>
    <m/>
    <m/>
    <m/>
    <m/>
    <n v="0"/>
    <n v="0"/>
    <m/>
    <m/>
    <m/>
    <m/>
    <m/>
  </r>
  <r>
    <d v="2026-03-30T00:00:00"/>
    <x v="0"/>
    <s v="STAFF WELFARE EXPENSES"/>
    <s v="NON"/>
    <n v="55"/>
    <s v="NO TAX"/>
    <n v="55"/>
    <m/>
    <m/>
    <m/>
    <m/>
    <n v="0"/>
    <n v="0"/>
    <m/>
    <m/>
    <m/>
    <m/>
    <m/>
  </r>
  <r>
    <d v="2026-03-30T00:00:00"/>
    <x v="0"/>
    <s v="HOSPITAL &amp; MEDICAL EXP'S"/>
    <s v="NON"/>
    <n v="50"/>
    <s v="NO TAX"/>
    <n v="50"/>
    <m/>
    <m/>
    <m/>
    <m/>
    <n v="0"/>
    <n v="0"/>
    <m/>
    <m/>
    <m/>
    <m/>
    <m/>
  </r>
  <r>
    <d v="2026-03-31T00:00:00"/>
    <x v="4"/>
    <s v="SALARY PAYBLE"/>
    <s v="NON"/>
    <m/>
    <n v="0"/>
    <n v="0"/>
    <n v="-855"/>
    <m/>
    <m/>
    <m/>
    <n v="0"/>
    <n v="0"/>
    <m/>
    <m/>
    <m/>
    <m/>
    <m/>
  </r>
  <r>
    <d v="2026-03-31T00:00:00"/>
    <x v="0"/>
    <s v="TEA &amp; FOOD EXPENSES"/>
    <s v="NON"/>
    <n v="16"/>
    <s v="NO TAX"/>
    <n v="16"/>
    <m/>
    <m/>
    <m/>
    <m/>
    <n v="0"/>
    <n v="0"/>
    <m/>
    <m/>
    <m/>
    <m/>
    <m/>
  </r>
  <r>
    <d v="2026-03-31T00:00:00"/>
    <x v="0"/>
    <s v="JAMAL TRAVELS"/>
    <s v="NON"/>
    <n v="5000"/>
    <s v="NO TAX"/>
    <n v="5000"/>
    <m/>
    <m/>
    <m/>
    <m/>
    <n v="0"/>
    <n v="0"/>
    <m/>
    <m/>
    <m/>
    <m/>
    <m/>
  </r>
  <r>
    <d v="2026-03-31T00:00:00"/>
    <x v="0"/>
    <s v="ADVANCE TO WORKERS"/>
    <s v="NON"/>
    <m/>
    <s v="NO TAX"/>
    <n v="0"/>
    <n v="1000"/>
    <m/>
    <m/>
    <m/>
    <n v="0"/>
    <n v="0"/>
    <m/>
    <m/>
    <m/>
    <m/>
    <m/>
  </r>
  <r>
    <d v="2026-03-31T00:00:00"/>
    <x v="0"/>
    <s v="SALARY PAYBLE"/>
    <s v="NON"/>
    <n v="1800"/>
    <s v="NO TAX"/>
    <n v="1800"/>
    <m/>
    <m/>
    <m/>
    <m/>
    <n v="0"/>
    <n v="0"/>
    <m/>
    <m/>
    <m/>
    <m/>
    <m/>
  </r>
  <r>
    <d v="2026-03-31T00:00:00"/>
    <x v="0"/>
    <s v="ADVANCE TO WORKERS"/>
    <s v="NON"/>
    <m/>
    <s v="NO TAX"/>
    <n v="0"/>
    <n v="100"/>
    <m/>
    <m/>
    <m/>
    <n v="0"/>
    <n v="0"/>
    <m/>
    <m/>
    <m/>
    <m/>
    <m/>
  </r>
  <r>
    <d v="2026-03-31T00:00:00"/>
    <x v="0"/>
    <s v="SALARY PAYBLE"/>
    <s v="NON"/>
    <n v="2000"/>
    <s v="NO TAX"/>
    <n v="2000"/>
    <m/>
    <m/>
    <m/>
    <m/>
    <n v="0"/>
    <n v="0"/>
    <m/>
    <m/>
    <m/>
    <m/>
    <m/>
  </r>
  <r>
    <d v="2026-03-31T00:00:00"/>
    <x v="0"/>
    <s v="SALARY PAYBLE"/>
    <s v="NON"/>
    <n v="1850"/>
    <s v="NO TAX"/>
    <n v="1850"/>
    <m/>
    <m/>
    <m/>
    <m/>
    <n v="0"/>
    <n v="0"/>
    <m/>
    <m/>
    <m/>
    <m/>
    <m/>
  </r>
  <r>
    <d v="2026-03-31T00:00:00"/>
    <x v="0"/>
    <s v="SALARY PAYBLE"/>
    <s v="NON"/>
    <n v="1200"/>
    <s v="NO TAX"/>
    <n v="1200"/>
    <m/>
    <m/>
    <m/>
    <m/>
    <n v="0"/>
    <n v="0"/>
    <m/>
    <m/>
    <m/>
    <m/>
    <m/>
  </r>
  <r>
    <d v="2026-03-31T00:00:00"/>
    <x v="0"/>
    <s v="SALARY PAYBLE"/>
    <s v="NON"/>
    <n v="1000"/>
    <s v="NO TAX"/>
    <n v="1000"/>
    <m/>
    <m/>
    <m/>
    <m/>
    <n v="0"/>
    <n v="0"/>
    <m/>
    <m/>
    <m/>
    <m/>
    <m/>
  </r>
  <r>
    <d v="2026-03-31T00:00:00"/>
    <x v="7"/>
    <s v="JAMAL TRAVELS"/>
    <s v="NON"/>
    <n v="1000"/>
    <s v="NO TAX"/>
    <n v="1000"/>
    <m/>
    <m/>
    <m/>
    <m/>
    <n v="0"/>
    <n v="0"/>
    <m/>
    <m/>
    <m/>
    <m/>
    <m/>
  </r>
  <r>
    <d v="2026-03-31T00:00:00"/>
    <x v="0"/>
    <s v="PERSONAL EXP FAZEL BHAI"/>
    <s v="NON"/>
    <m/>
    <n v="0"/>
    <n v="0"/>
    <m/>
    <m/>
    <n v="1000"/>
    <m/>
    <n v="0"/>
    <n v="0"/>
    <m/>
    <m/>
    <m/>
    <m/>
    <m/>
  </r>
  <r>
    <d v="2026-03-31T00:00:00"/>
    <x v="0"/>
    <s v="ADVANCE TO WORKERS"/>
    <s v="NON"/>
    <m/>
    <n v="0"/>
    <n v="0"/>
    <n v="100"/>
    <m/>
    <m/>
    <m/>
    <n v="0"/>
    <n v="0"/>
    <m/>
    <m/>
    <m/>
    <m/>
    <m/>
  </r>
  <r>
    <d v="2026-03-31T00:00:00"/>
    <x v="0"/>
    <s v="FACTORY CONSUMABLES"/>
    <s v="NON"/>
    <n v="13"/>
    <s v="NO TAX"/>
    <n v="13"/>
    <m/>
    <m/>
    <m/>
    <m/>
    <n v="0"/>
    <n v="0"/>
    <m/>
    <m/>
    <m/>
    <m/>
    <m/>
  </r>
  <r>
    <d v="2026-03-31T00:00:00"/>
    <x v="0"/>
    <s v="PETROL TOYOTA COROLLA"/>
    <s v="NON"/>
    <n v="100"/>
    <s v="NO TAX"/>
    <n v="100"/>
    <m/>
    <m/>
    <m/>
    <m/>
    <n v="0"/>
    <n v="0"/>
    <m/>
    <m/>
    <m/>
    <m/>
    <m/>
  </r>
  <r>
    <d v="2026-03-31T00:00:00"/>
    <x v="3"/>
    <s v="AIR FLIGHT TRAVLING EXPENSES"/>
    <s v="NON"/>
    <n v="1706"/>
    <s v="NO TAX"/>
    <n v="1706"/>
    <m/>
    <m/>
    <m/>
    <m/>
    <n v="0"/>
    <n v="0"/>
    <m/>
    <m/>
    <m/>
    <m/>
    <m/>
  </r>
  <r>
    <d v="2026-03-31T00:00:00"/>
    <x v="10"/>
    <s v="STAFF WELFARE EXPENSES"/>
    <s v="NON"/>
    <n v="20300"/>
    <s v="NO TAX"/>
    <n v="20300"/>
    <m/>
    <m/>
    <m/>
    <m/>
    <n v="0"/>
    <n v="0"/>
    <m/>
    <m/>
    <m/>
    <m/>
    <m/>
  </r>
  <r>
    <d v="2026-03-30T00:00:00"/>
    <x v="11"/>
    <s v="VISA RELATED EXPENSES"/>
    <s v="NON"/>
    <n v="646"/>
    <s v="NO TAX"/>
    <n v="646"/>
    <m/>
    <m/>
    <m/>
    <m/>
    <n v="0"/>
    <n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A7B3A6-AE69-449C-BEB4-D341330A1C27}" name="PivotTable8" cacheId="1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31:O45" firstHeaderRow="0" firstDataRow="1" firstDataCol="1"/>
  <pivotFields count="18">
    <pivotField numFmtId="14" showAll="0"/>
    <pivotField axis="axisRow" showAll="0">
      <items count="14">
        <item x="4"/>
        <item x="0"/>
        <item x="12"/>
        <item x="2"/>
        <item x="5"/>
        <item x="8"/>
        <item x="9"/>
        <item x="1"/>
        <item x="6"/>
        <item x="3"/>
        <item x="11"/>
        <item x="10"/>
        <item x="7"/>
        <item t="default"/>
      </items>
    </pivotField>
    <pivotField showAll="0"/>
    <pivotField showAll="0"/>
    <pivotField dataField="1" showAll="0"/>
    <pivotField dataField="1" showAll="0"/>
    <pivotField dataField="1" numFmtId="2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 EXPENSES WITHOUT TAX (BILL)" fld="4" baseField="1" baseItem="0"/>
    <dataField name="Sum of 5% TAX ON EXP (BILL)" fld="5" baseField="1" baseItem="8"/>
    <dataField name="  EXPE WITH TAX (BILL)" fld="6" baseField="0" baseItem="0" numFmtId="2"/>
    <dataField name=" ADVANCE (BILL)" fld="7" baseField="0" baseItem="0"/>
    <dataField name=" PERSONAL EX (BILL)" fld="9" baseField="0" baseItem="0"/>
    <dataField name=" EXP - MACHINERY WITHOUT TAX (BILL)" fld="10" baseField="0" baseItem="0"/>
    <dataField name=" 5% TAX ON MACH (BILL)" fld="11" baseField="1" baseItem="8"/>
    <dataField name=" EXP - MACHINERY WITH TAX(BILL)" fld="12" baseField="0" baseItem="0"/>
    <dataField name=" EXPENSES (W/B)" fld="13" baseField="0" baseItem="0"/>
    <dataField name=" ADVANCE (W/B)" fld="14" baseField="1" baseItem="8"/>
    <dataField name=" OTHER INCOME (W/B)" fld="15" baseField="0" baseItem="0"/>
    <dataField name=" PER EX(W/B)" fld="16" baseField="1" baseItem="8"/>
    <dataField name=" EXP - MACHI (W/B)" fld="17" baseField="1" baseItem="8"/>
  </dataFields>
  <formats count="13"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1" type="button" dataOnly="0" labelOnly="1" outline="0" axis="axisRow" fieldPosition="0"/>
    </format>
    <format dxfId="13">
      <pivotArea dataOnly="0" labelOnly="1" fieldPosition="0">
        <references count="1">
          <reference field="1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">
      <pivotArea dataOnly="0" fieldPosition="0">
        <references count="1">
          <reference field="1" count="1">
            <x v="6"/>
          </reference>
        </references>
      </pivotArea>
    </format>
    <format dxfId="9">
      <pivotArea collapsedLevelsAreSubtotals="1" fieldPosition="0">
        <references count="1">
          <reference field="1" count="1">
            <x v="9"/>
          </reference>
        </references>
      </pivotArea>
    </format>
    <format dxfId="8">
      <pivotArea dataOnly="0" labelOnly="1" fieldPosition="0">
        <references count="1">
          <reference field="1" count="1">
            <x v="9"/>
          </reference>
        </references>
      </pivotArea>
    </format>
    <format dxfId="7">
      <pivotArea collapsedLevelsAreSubtotals="1" fieldPosition="0">
        <references count="1">
          <reference field="1" count="1">
            <x v="8"/>
          </reference>
        </references>
      </pivotArea>
    </format>
    <format dxfId="6">
      <pivotArea dataOnly="0" labelOnly="1" fieldPosition="0">
        <references count="1">
          <reference field="1" count="1">
            <x v="8"/>
          </reference>
        </references>
      </pivotArea>
    </format>
    <format dxfId="5">
      <pivotArea collapsedLevelsAreSubtotals="1" fieldPosition="0">
        <references count="1">
          <reference field="1" count="1">
            <x v="4"/>
          </reference>
        </references>
      </pivotArea>
    </format>
    <format dxfId="2">
      <pivotArea dataOnly="0" labelOnly="1" fieldPosition="0">
        <references count="1">
          <reference field="1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B50A4-46DC-454D-9C55-6B1B16B324D5}" name="PivotTable4" cacheId="117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B21:H22" firstHeaderRow="0" firstDataRow="1" firstDataCol="0"/>
  <pivotFields count="26">
    <pivotField showAll="0"/>
    <pivotField showAll="0"/>
    <pivotField showAll="0"/>
    <pivotField showAll="0"/>
    <pivotField numFmtId="164" showAll="0"/>
    <pivotField numFmtId="2"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 S.R. Gross W/T" fld="9" baseField="0" baseItem="1"/>
    <dataField name=" S.R. Pure Gross W/T" fld="11" baseField="0" baseItem="1"/>
    <dataField name=" S.R.Making Amt" fld="13" baseField="0" baseItem="2"/>
    <dataField name=" M.P.Gross W/T" fld="15" baseField="0" baseItem="3"/>
    <dataField name=" M.P. Pure Gross W/T" fld="17" baseField="0" baseItem="4"/>
    <dataField name=" P.Making Amt" fld="18" baseField="0" baseItem="5"/>
    <dataField name=" M.P. Making Amt" fld="19" baseField="0" baseItem="6"/>
  </dataFields>
  <formats count="3">
    <format dxfId="61">
      <pivotArea type="all" dataOnly="0" outline="0" fieldPosition="0"/>
    </format>
    <format dxfId="62">
      <pivotArea outline="0" collapsedLevelsAreSubtotals="1" fieldPosition="0"/>
    </format>
    <format dxfId="6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63B8BA-65C3-4BBF-BB6F-C8694A87382C}" name="PivotTable3" cacheId="117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B19:J20" firstHeaderRow="0" firstDataRow="1" firstDataCol="0"/>
  <pivotFields count="26">
    <pivotField showAll="0"/>
    <pivotField showAll="0"/>
    <pivotField showAll="0"/>
    <pivotField showAll="0"/>
    <pivotField numFmtId="164" showAll="0"/>
    <pivotField numFmtId="2"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</pivotFields>
  <rowItems count="1">
    <i/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 S.Gross W/T" fld="8" baseField="0" baseItem="1"/>
    <dataField name=" S.Pure Gross W/T" fld="10" baseField="0" baseItem="1"/>
    <dataField name=" S.Making Amt" fld="12" baseField="0" baseItem="2"/>
    <dataField name=" Purch.Gross W/T" fld="14" baseField="0" baseItem="3"/>
    <dataField name=" Pure.Purch Gross W/T" fld="16" baseField="0" baseItem="4"/>
    <dataField name=" MAKING CASH RCVD" fld="20" baseField="0" baseItem="5"/>
    <dataField name=" MAKING CHQ RCVD" fld="21" baseField="0" baseItem="6"/>
    <dataField name=" PUR. MAK. CASH PMT" fld="22" baseField="0" baseItem="7"/>
    <dataField name=" PUR MAK CHQ PMT" fld="23" baseField="0" baseItem="8"/>
  </dataFields>
  <formats count="3">
    <format dxfId="58">
      <pivotArea type="all" dataOnly="0" outline="0" fieldPosition="0"/>
    </format>
    <format dxfId="59">
      <pivotArea outline="0" collapsedLevelsAreSubtotals="1" fieldPosition="0"/>
    </format>
    <format dxfId="60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86F27A-4A3E-40E3-A724-141C81399EC9}" name="PivotTable2" cacheId="116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B10:H11" firstHeaderRow="0" firstDataRow="1" firstDataCol="0"/>
  <pivotFields count="26"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 S.R. Gross W/T" fld="9" baseField="0" baseItem="1"/>
    <dataField name=" S.R. Pure Gross W/T" fld="11" baseField="0" baseItem="1"/>
    <dataField name=" S.R.Making Amt Inc Tax" fld="13" baseField="0" baseItem="2"/>
    <dataField name=" M.P.Gross W/T" fld="15" baseField="0" baseItem="3"/>
    <dataField name=" M.P. Pure Gross W/T" fld="17" baseField="0" baseItem="4"/>
    <dataField name=" P.Making Amt Inc Tax" fld="18" baseField="0" baseItem="5"/>
    <dataField name=" M.P. Making Amt" fld="19" baseField="0" baseItem="6"/>
  </dataFields>
  <formats count="4">
    <format dxfId="54">
      <pivotArea type="all" dataOnly="0" outline="0" fieldPosition="0"/>
    </format>
    <format dxfId="55">
      <pivotArea outline="0" collapsedLevelsAreSubtotals="1" fieldPosition="0"/>
    </format>
    <format dxfId="5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7">
      <pivotArea dataOnly="0" outline="0" fieldPosition="0">
        <references count="1">
          <reference field="4294967294" count="1"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474EB4-FE36-4B82-854E-589E307BFB2D}" name="PivotTable1" cacheId="116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B8:J9" firstHeaderRow="0" firstDataRow="1" firstDataCol="0"/>
  <pivotFields count="26"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</pivotFields>
  <rowItems count="1">
    <i/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 S.Gross W/T" fld="8" baseField="0" baseItem="1"/>
    <dataField name=" S.Pure Gross W/T" fld="10" baseField="0" baseItem="1"/>
    <dataField name=" S.Making Amt Inc Tax" fld="12" baseField="0" baseItem="2"/>
    <dataField name=" Purch.Gross W/T" fld="14" baseField="0" baseItem="3"/>
    <dataField name="  Pure Purch. Gross W/T" fld="16" baseField="0" baseItem="4"/>
    <dataField name=" MAKING CASH RCVD" fld="20" baseField="0" baseItem="5"/>
    <dataField name=" MAKING CHQ RCVD" fld="21" baseField="0" baseItem="6"/>
    <dataField name=" PUR. MAK. CASH PMT" fld="22" baseField="0" baseItem="7"/>
    <dataField name=" PUR MAK CHQ PMT" fld="23" baseField="0" baseItem="8"/>
  </dataFields>
  <formats count="4">
    <format dxfId="50">
      <pivotArea type="all" dataOnly="0" outline="0" fieldPosition="0"/>
    </format>
    <format dxfId="51">
      <pivotArea outline="0" collapsedLevelsAreSubtotals="1" fieldPosition="0"/>
    </format>
    <format dxfId="52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53">
      <pivotArea outline="0" collapsedLevelsAreSubtotals="1" fieldPosition="0">
        <references count="1">
          <reference field="4294967294" count="2" selected="0">
            <x v="7"/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27404-FD01-44A7-A80A-EF3D2D06FC0C}" name="PivotTable6" cacheId="115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B69:AF128" firstHeaderRow="1" firstDataRow="3" firstDataCol="1"/>
  <pivotFields count="18">
    <pivotField showAll="0"/>
    <pivotField axis="axisCol" showAll="0">
      <items count="29">
        <item x="0"/>
        <item x="13"/>
        <item m="1" x="14"/>
        <item x="2"/>
        <item m="1" x="15"/>
        <item x="4"/>
        <item m="1" x="16"/>
        <item m="1" x="17"/>
        <item m="1" x="18"/>
        <item x="8"/>
        <item m="1" x="19"/>
        <item m="1" x="20"/>
        <item m="1" x="21"/>
        <item x="12"/>
        <item m="1" x="22"/>
        <item m="1" x="23"/>
        <item m="1" x="24"/>
        <item m="1" x="25"/>
        <item m="1" x="26"/>
        <item m="1" x="27"/>
        <item x="1"/>
        <item x="3"/>
        <item x="5"/>
        <item x="6"/>
        <item x="7"/>
        <item x="9"/>
        <item x="10"/>
        <item x="11"/>
        <item t="default"/>
      </items>
    </pivotField>
    <pivotField axis="axisRow" showAll="0">
      <items count="57">
        <item x="0"/>
        <item x="2"/>
        <item x="1"/>
        <item x="3"/>
        <item x="55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t="default"/>
      </items>
    </pivotField>
    <pivotField showAll="0"/>
    <pivotField dataField="1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2"/>
  </rowFields>
  <rowItems count="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 t="grand">
      <x/>
    </i>
  </rowItems>
  <colFields count="2">
    <field x="1"/>
    <field x="-2"/>
  </colFields>
  <colItems count="30">
    <i>
      <x/>
      <x/>
    </i>
    <i r="1" i="1">
      <x v="1"/>
    </i>
    <i>
      <x v="1"/>
      <x/>
    </i>
    <i r="1" i="1">
      <x v="1"/>
    </i>
    <i>
      <x v="3"/>
      <x/>
    </i>
    <i r="1" i="1">
      <x v="1"/>
    </i>
    <i>
      <x v="5"/>
      <x/>
    </i>
    <i r="1" i="1">
      <x v="1"/>
    </i>
    <i>
      <x v="9"/>
      <x/>
    </i>
    <i r="1" i="1">
      <x v="1"/>
    </i>
    <i>
      <x v="13"/>
      <x/>
    </i>
    <i r="1" i="1">
      <x v="1"/>
    </i>
    <i>
      <x v="20"/>
      <x/>
    </i>
    <i r="1" i="1">
      <x v="1"/>
    </i>
    <i>
      <x v="21"/>
      <x/>
    </i>
    <i r="1" i="1">
      <x v="1"/>
    </i>
    <i>
      <x v="22"/>
      <x/>
    </i>
    <i r="1" i="1">
      <x v="1"/>
    </i>
    <i>
      <x v="23"/>
      <x/>
    </i>
    <i r="1" i="1">
      <x v="1"/>
    </i>
    <i>
      <x v="24"/>
      <x/>
    </i>
    <i r="1" i="1">
      <x v="1"/>
    </i>
    <i>
      <x v="25"/>
      <x/>
    </i>
    <i r="1" i="1">
      <x v="1"/>
    </i>
    <i>
      <x v="26"/>
      <x/>
    </i>
    <i r="1" i="1">
      <x v="1"/>
    </i>
    <i>
      <x v="27"/>
      <x/>
    </i>
    <i r="1" i="1">
      <x v="1"/>
    </i>
    <i t="grand">
      <x/>
    </i>
    <i t="grand" i="1">
      <x/>
    </i>
  </colItems>
  <dataFields count="2">
    <dataField name=" EXPENSES WITHOUT TAX (BILL)" fld="4" baseField="2" baseItem="0"/>
    <dataField name=" EXPENSES (W/B)" fld="13" baseField="2" baseItem="0"/>
  </dataFields>
  <formats count="33">
    <format dxfId="17">
      <pivotArea type="all" dataOnly="0" outline="0" fieldPosition="0"/>
    </format>
    <format dxfId="18">
      <pivotArea outline="0" collapsedLevelsAreSubtotals="1" fieldPosition="0"/>
    </format>
    <format dxfId="19">
      <pivotArea field="1" type="button" dataOnly="0" labelOnly="1" outline="0" axis="axisCol" fieldPosition="0"/>
    </format>
    <format dxfId="20">
      <pivotArea dataOnly="0" labelOnly="1" grandRow="1" outline="0" fieldPosition="0"/>
    </format>
    <format dxfId="21">
      <pivotArea type="all" dataOnly="0" outline="0" fieldPosition="0"/>
    </format>
    <format dxfId="22">
      <pivotArea outline="0" collapsedLevelsAreSubtotals="1" fieldPosition="0"/>
    </format>
    <format dxfId="23">
      <pivotArea field="1" type="button" dataOnly="0" labelOnly="1" outline="0" axis="axisCol" fieldPosition="0"/>
    </format>
    <format dxfId="24">
      <pivotArea dataOnly="0" labelOnly="1" grandRow="1" outline="0" fieldPosition="0"/>
    </format>
    <format dxfId="25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0"/>
        </references>
      </pivotArea>
    </format>
    <format dxfId="26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0"/>
          </reference>
        </references>
      </pivotArea>
    </format>
    <format dxfId="27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1"/>
          </reference>
        </references>
      </pivotArea>
    </format>
    <format dxfId="28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2"/>
          </reference>
        </references>
      </pivotArea>
    </format>
    <format dxfId="29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3"/>
          </reference>
        </references>
      </pivotArea>
    </format>
    <format dxfId="30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5"/>
          </reference>
        </references>
      </pivotArea>
    </format>
    <format dxfId="31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7"/>
          </reference>
        </references>
      </pivotArea>
    </format>
    <format dxfId="32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9"/>
          </reference>
        </references>
      </pivotArea>
    </format>
    <format dxfId="33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8"/>
          </reference>
        </references>
      </pivotArea>
    </format>
    <format dxfId="34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2">
            <x v="10"/>
            <x v="11"/>
          </reference>
        </references>
      </pivotArea>
    </format>
    <format dxfId="35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13"/>
          </reference>
        </references>
      </pivotArea>
    </format>
    <format dxfId="36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14"/>
          </reference>
        </references>
      </pivotArea>
    </format>
    <format dxfId="37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15"/>
          </reference>
        </references>
      </pivotArea>
    </format>
    <format dxfId="38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16"/>
          </reference>
        </references>
      </pivotArea>
    </format>
    <format dxfId="39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17"/>
          </reference>
        </references>
      </pivotArea>
    </format>
    <format dxfId="40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18"/>
          </reference>
        </references>
      </pivotArea>
    </format>
    <format dxfId="41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2">
            <x v="19"/>
            <x v="20"/>
          </reference>
        </references>
      </pivotArea>
    </format>
    <format dxfId="42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2">
            <x v="21"/>
            <x v="22"/>
          </reference>
        </references>
      </pivotArea>
    </format>
    <format dxfId="43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23"/>
          </reference>
        </references>
      </pivotArea>
    </format>
    <format dxfId="44">
      <pivotArea field="2" grandCol="1" collapsedLevelsAreSubtotals="1" axis="axisRow" fieldPosition="0">
        <references count="2">
          <reference field="4294967294" count="1" selected="0">
            <x v="1"/>
          </reference>
          <reference field="2" count="1">
            <x v="15"/>
          </reference>
        </references>
      </pivotArea>
    </format>
    <format dxfId="45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24"/>
          </reference>
        </references>
      </pivotArea>
    </format>
    <format dxfId="46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2">
            <x v="25"/>
            <x v="26"/>
          </reference>
        </references>
      </pivotArea>
    </format>
    <format dxfId="47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2">
            <x v="27"/>
            <x v="28"/>
          </reference>
        </references>
      </pivotArea>
    </format>
    <format dxfId="48">
      <pivotArea field="2" grandCol="1" collapsedLevelsAreSubtotals="1" axis="axisRow" fieldPosition="0">
        <references count="2">
          <reference field="4294967294" count="1" selected="0">
            <x v="1"/>
          </reference>
          <reference field="2" count="1">
            <x v="0"/>
          </reference>
        </references>
      </pivotArea>
    </format>
    <format dxfId="49">
      <pivotArea field="2" grandCol="1" collapsedLevelsAreSubtotals="1" axis="axisRow" fieldPosition="0">
        <references count="2">
          <reference field="4294967294" count="1" selected="0">
            <x v="0"/>
          </reference>
          <reference field="2" count="1">
            <x v="3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479" dT="2026-04-23T12:49:46.12" personId="{F2073BF5-E815-47D2-813A-B35E330311E5}" id="{7DD29047-63A1-47A0-8855-5366CBF79C88}">
    <text>BEING ROOM 603 DEWA  CHARGE (685.05) &amp; EMPOWER CHARGES (268.8)  PAID FOR MONTH MAR-26</text>
  </threadedComment>
  <threadedComment ref="B551" dT="2026-04-23T12:44:44.19" personId="{F2073BF5-E815-47D2-813A-B35E330311E5}" id="{3B65F2D6-A7A7-448D-9806-F5787D8D4896}">
    <text>ADJUST FOR GOLDEN ROSE 20KG SALES WITHOUT MAKING , PURITY-0.880</text>
  </threadedComment>
  <threadedComment ref="C652" dT="2026-03-23T06:33:16.97" personId="{F2073BF5-E815-47D2-813A-B35E330311E5}" id="{63ED4E90-A0F9-4AF8-A281-44A619A43374}">
    <text>SOFTWARE DATE - 04/03/2026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33" dT="2026-04-24T05:49:48.03" personId="{F2073BF5-E815-47D2-813A-B35E330311E5}" id="{4CEC552A-2655-4A30-A826-3A4674A9F38C}">
    <text>ADJUST FOR GOLDEN ROSE 17688.45 PURCHASE WITHOUT MAKING , PURITY:- 0.995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3" dT="2026-06-02T08:41:14.95" personId="{F2073BF5-E815-47D2-813A-B35E330311E5}" id="{9B771600-A1AB-4154-B9BC-5BD8B4F88D69}">
    <text>+0.06</text>
  </threadedComment>
  <threadedComment ref="G11" dT="2026-06-03T08:10:37.59" personId="{F2073BF5-E815-47D2-813A-B35E330311E5}" id="{E0CDFB78-88AF-4248-971A-63F9631042D2}">
    <text>+0.2</text>
  </threadedComment>
  <threadedComment ref="G40" dT="2026-06-08T11:07:07.00" personId="{F2073BF5-E815-47D2-813A-B35E330311E5}" id="{51089556-B449-40A3-B0FA-813CF12550B0}">
    <text>+0.07</text>
  </threadedComment>
  <threadedComment ref="G42" dT="2026-06-08T11:05:51.61" personId="{F2073BF5-E815-47D2-813A-B35E330311E5}" id="{35BDBA22-2F88-4BA2-8B5B-6A6B994E576F}">
    <text xml:space="preserve">+0.11
</text>
  </threadedComment>
  <threadedComment ref="G56" dT="2026-06-09T08:50:29.19" personId="{F2073BF5-E815-47D2-813A-B35E330311E5}" id="{B6CA5B3F-B0B9-45E3-9D69-ED3B7E14063A}">
    <text xml:space="preserve">-0.05
</text>
  </threadedComment>
  <threadedComment ref="G71" dT="2026-06-11T08:30:49.30" personId="{F2073BF5-E815-47D2-813A-B35E330311E5}" id="{52B55199-DE59-43A0-8410-BF22C0131DF5}">
    <text>-0.30</text>
  </threadedComment>
  <threadedComment ref="G80" dT="2026-06-12T07:49:53.69" personId="{F2073BF5-E815-47D2-813A-B35E330311E5}" id="{5BCC9988-D762-436F-B80B-39A94E3FC768}">
    <text xml:space="preserve">+0.05
</text>
  </threadedComment>
  <threadedComment ref="G85" dT="2026-06-12T07:50:05.45" personId="{F2073BF5-E815-47D2-813A-B35E330311E5}" id="{8831AC66-C405-4430-8B38-8F5F5D7FE0C4}">
    <text>+0.25</text>
  </threadedComment>
  <threadedComment ref="G87" dT="2026-06-12T07:50:32.37" personId="{F2073BF5-E815-47D2-813A-B35E330311E5}" id="{1F029935-D033-49FC-8AA0-A8FB63609CCA}">
    <text>+0.10</text>
  </threadedComment>
  <threadedComment ref="G102" dT="2026-06-15T09:48:01.83" personId="{F2073BF5-E815-47D2-813A-B35E330311E5}" id="{1ABCD880-865A-437F-A69E-750E3FD51EA2}">
    <text>+0.60</text>
  </threadedComment>
  <threadedComment ref="G106" dT="2026-06-15T09:49:36.41" personId="{F2073BF5-E815-47D2-813A-B35E330311E5}" id="{26BB085C-98AE-4B2D-8A5A-01D39DE76500}">
    <text xml:space="preserve">-0.05
</text>
  </threadedComment>
  <threadedComment ref="G107" dT="2026-06-15T09:50:07.26" personId="{F2073BF5-E815-47D2-813A-B35E330311E5}" id="{7B7C7C0D-89D3-4198-9891-E408C4B1B156}">
    <text>-0.03</text>
  </threadedComment>
  <threadedComment ref="G110" dT="2026-06-15T09:51:31.53" personId="{F2073BF5-E815-47D2-813A-B35E330311E5}" id="{F0938321-31B0-4983-9F10-D2DBB49FAFF9}">
    <text>+0.12</text>
  </threadedComment>
  <threadedComment ref="G166" dT="2026-06-22T07:30:46.27" personId="{F2073BF5-E815-47D2-813A-B35E330311E5}" id="{09120455-D705-4495-BE76-9541DEA2D72A}">
    <text>-0.11</text>
  </threadedComment>
  <threadedComment ref="G195" dT="2026-06-24T07:16:21.76" personId="{F2073BF5-E815-47D2-813A-B35E330311E5}" id="{40CC4449-D747-45B8-AB5B-44F958AE19E1}">
    <text>-0.01</text>
  </threadedComment>
  <threadedComment ref="G196" dT="2026-06-24T07:16:32.74" personId="{F2073BF5-E815-47D2-813A-B35E330311E5}" id="{09FADD6B-8551-4631-BC2E-66E35C7C9A08}">
    <text>-0.05</text>
  </threadedComment>
  <threadedComment ref="G222" dT="2026-06-27T06:49:49.60" personId="{F2073BF5-E815-47D2-813A-B35E330311E5}" id="{26BC949E-3E0D-4456-A7E7-718B371D2B80}">
    <text xml:space="preserve">-0.30
</text>
  </threadedComment>
  <threadedComment ref="G256" dT="2026-05-05T11:03:46.82" personId="{F2073BF5-E815-47D2-813A-B35E330311E5}" id="{7896C3FA-E386-4754-839E-90645553016F}">
    <text>0.25</text>
  </threadedComment>
  <threadedComment ref="G257" dT="2026-05-05T11:02:10.80" personId="{F2073BF5-E815-47D2-813A-B35E330311E5}" id="{6419FA63-82CA-4C0F-A592-81FCFDA72CBA}">
    <text>-0.01</text>
  </threadedComment>
  <threadedComment ref="G265" dT="2026-05-07T07:58:39.13" personId="{F2073BF5-E815-47D2-813A-B35E330311E5}" id="{959EF92F-D1E2-4BD9-9876-71C880C590F8}">
    <text>-0.50</text>
  </threadedComment>
  <threadedComment ref="G266" dT="2026-05-07T08:01:16.52" personId="{F2073BF5-E815-47D2-813A-B35E330311E5}" id="{E2813EF4-656B-440A-816D-32D5D801A7EE}">
    <text>0.03</text>
  </threadedComment>
  <threadedComment ref="B282" dT="2026-05-08T08:17:16.35" personId="{F2073BF5-E815-47D2-813A-B35E330311E5}" id="{B4121D0C-7F57-4AE9-A53E-B6AB4FE1662E}">
    <text>PDC CHQ</text>
  </threadedComment>
  <threadedComment ref="B283" dT="2026-05-08T08:17:16.35" personId="{F2073BF5-E815-47D2-813A-B35E330311E5}" id="{1883C904-7274-456C-9956-588F8B4BCD5B}">
    <text>PDC CHQ</text>
  </threadedComment>
  <threadedComment ref="B284" dT="2026-05-08T08:17:16.35" personId="{F2073BF5-E815-47D2-813A-B35E330311E5}" id="{D3B45BED-7A6A-4BDA-8D54-E61305965CA5}">
    <text>PDC CHQ</text>
  </threadedComment>
  <threadedComment ref="G295" dT="2026-05-11T08:48:52.77" personId="{F2073BF5-E815-47D2-813A-B35E330311E5}" id="{2B38CBA7-61D8-4519-8E55-62B85147FC6F}">
    <text>-0.5</text>
  </threadedComment>
  <threadedComment ref="B301" dT="2026-05-08T08:17:16.35" personId="{F2073BF5-E815-47D2-813A-B35E330311E5}" id="{FE4ABA40-82DD-4C3A-9174-E79D2068129D}">
    <text>PDC CHQ</text>
  </threadedComment>
  <threadedComment ref="B302" dT="2026-05-08T08:17:16.35" personId="{F2073BF5-E815-47D2-813A-B35E330311E5}" id="{0F6B429D-4E0B-4A3C-B5BE-328EE708E035}">
    <text>PDC CHQ</text>
  </threadedComment>
  <threadedComment ref="B303" dT="2026-05-08T08:17:16.35" personId="{F2073BF5-E815-47D2-813A-B35E330311E5}" id="{A2101626-3A28-47DD-B32F-25327C537A74}">
    <text>PDC CHQ</text>
  </threadedComment>
  <threadedComment ref="G306" dT="2026-05-12T10:51:32.76" personId="{F2073BF5-E815-47D2-813A-B35E330311E5}" id="{426CF72A-4A2F-46A6-8915-69323170A8FD}">
    <text>-0.17</text>
  </threadedComment>
  <threadedComment ref="G307" dT="2026-05-12T10:51:50.16" personId="{F2073BF5-E815-47D2-813A-B35E330311E5}" id="{40227DDD-574F-483B-820F-D0F7C002DD3C}">
    <text>-0.17</text>
  </threadedComment>
  <threadedComment ref="G309" dT="2026-05-12T10:56:21.78" personId="{F2073BF5-E815-47D2-813A-B35E330311E5}" id="{DE3C80E4-E2DE-4AFA-81D1-7BB5932B794E}">
    <text xml:space="preserve">-0.30
</text>
  </threadedComment>
  <threadedComment ref="G331" dT="2026-05-14T09:36:10.08" personId="{F2073BF5-E815-47D2-813A-B35E330311E5}" id="{FE5F5CA5-726A-4C8A-AFE6-F8467579EDF5}">
    <text>-0.85</text>
  </threadedComment>
  <threadedComment ref="G332" dT="2026-05-14T09:36:27.60" personId="{F2073BF5-E815-47D2-813A-B35E330311E5}" id="{E3C558E4-06D8-4D16-92CD-D911DBA2D95F}">
    <text>-0.75</text>
  </threadedComment>
  <threadedComment ref="G334" dT="2026-05-14T09:36:36.32" personId="{F2073BF5-E815-47D2-813A-B35E330311E5}" id="{A8ADCB7D-4819-4E51-A7F0-2AC9064D7B47}">
    <text>-0.22</text>
  </threadedComment>
  <threadedComment ref="G346" dT="2026-05-15T08:13:14.66" personId="{F2073BF5-E815-47D2-813A-B35E330311E5}" id="{998B1A11-76C8-444C-939D-0EF9936F1930}">
    <text>-0.01</text>
  </threadedComment>
  <threadedComment ref="G357" dT="2026-05-18T07:31:47.02" personId="{F2073BF5-E815-47D2-813A-B35E330311E5}" id="{8792FC39-BC4C-47AC-9594-5797E9D905A3}">
    <text>-0.01</text>
  </threadedComment>
  <threadedComment ref="G379" dT="2026-05-20T07:18:27.39" personId="{F2073BF5-E815-47D2-813A-B35E330311E5}" id="{1465A5A0-E4F5-4980-97B5-1F7AD42FE1B3}">
    <text>-0.61</text>
  </threadedComment>
  <threadedComment ref="G389" dT="2026-05-21T07:17:05.59" personId="{F2073BF5-E815-47D2-813A-B35E330311E5}" id="{67FF8E17-AD89-4486-A1C5-904519251A20}">
    <text>+0.03</text>
  </threadedComment>
  <threadedComment ref="G391" dT="2026-05-22T05:13:26.76" personId="{F2073BF5-E815-47D2-813A-B35E330311E5}" id="{A0FA2B41-DEC9-48A1-87A2-B4D4EA34137B}">
    <text>-0.01</text>
  </threadedComment>
  <threadedComment ref="G392" dT="2026-05-22T05:13:36.27" personId="{F2073BF5-E815-47D2-813A-B35E330311E5}" id="{19A06BBE-43B8-4D83-B7F3-3B2AFF5EFA22}">
    <text>-0.01</text>
  </threadedComment>
  <threadedComment ref="G428" dT="2026-05-26T07:23:30.67" personId="{F2073BF5-E815-47D2-813A-B35E330311E5}" id="{ABB23582-C667-4AA3-8D20-BB01758D67DE}">
    <text>+0.02</text>
  </threadedComment>
  <threadedComment ref="G435" dT="2026-05-29T07:09:58.60" personId="{F2073BF5-E815-47D2-813A-B35E330311E5}" id="{01A52E8A-A145-4E3C-8D53-835F57D511B6}">
    <text>+0.23</text>
  </threadedComment>
  <threadedComment ref="G490" dT="2026-04-09T08:12:30.51" personId="{F2073BF5-E815-47D2-813A-B35E330311E5}" id="{70BBD1FC-9D4F-4DB7-A4AC-317F9F781AB9}">
    <text xml:space="preserve">1.1
</text>
  </threadedComment>
  <threadedComment ref="G496" dT="2026-04-09T08:13:39.45" personId="{F2073BF5-E815-47D2-813A-B35E330311E5}" id="{0DD7C1F6-30D7-49F8-9E1E-E5E942CB3354}">
    <text>1.2</text>
  </threadedComment>
  <threadedComment ref="G499" dT="2026-04-09T08:13:52.77" personId="{F2073BF5-E815-47D2-813A-B35E330311E5}" id="{41B70BB8-F06F-4A78-A468-F6F78A487849}">
    <text>1.2</text>
  </threadedComment>
  <threadedComment ref="G501" dT="2026-04-09T08:12:48.75" personId="{F2073BF5-E815-47D2-813A-B35E330311E5}" id="{B827C2E6-F70F-49D2-AFB5-9F4C683774FC}">
    <text>-1</text>
  </threadedComment>
  <threadedComment ref="G503" dT="2026-04-09T08:13:04.37" personId="{F2073BF5-E815-47D2-813A-B35E330311E5}" id="{4C24B609-7C4D-4EE0-AFCD-719DF2FC78B9}">
    <text>-60</text>
  </threadedComment>
  <threadedComment ref="G513" dT="2026-04-10T12:56:34.87" personId="{F2073BF5-E815-47D2-813A-B35E330311E5}" id="{D76F924E-3CD3-47B9-AB61-954E5BC87B98}">
    <text>-0.27</text>
  </threadedComment>
  <threadedComment ref="G532" dT="2026-04-15T10:31:26.62" personId="{F2073BF5-E815-47D2-813A-B35E330311E5}" id="{103A1674-F174-46E7-8431-6C26EDD7CB52}">
    <text>-0.30</text>
  </threadedComment>
  <threadedComment ref="N543" dT="2026-04-21T07:45:47.07" personId="{F2073BF5-E815-47D2-813A-B35E330311E5}" id="{44F6AFD7-6B2E-41F5-88A2-3CFD81CA122C}">
    <text>100 EXTRA PAID</text>
  </threadedComment>
  <threadedComment ref="G560" dT="2026-04-18T09:48:44.33" personId="{F2073BF5-E815-47D2-813A-B35E330311E5}" id="{9A58E3CA-B9A2-45E3-9034-9B8CC99FD024}">
    <text>-3.85</text>
  </threadedComment>
  <threadedComment ref="G563" dT="2026-04-20T08:11:53.97" personId="{F2073BF5-E815-47D2-813A-B35E330311E5}" id="{B7ADBD58-5C95-4C96-ADAF-448937948793}">
    <text>-0.5</text>
  </threadedComment>
  <threadedComment ref="G567" dT="2026-04-20T08:13:43.13" personId="{F2073BF5-E815-47D2-813A-B35E330311E5}" id="{7C852C0A-A199-4D93-AE6E-1F66CDC38CD0}">
    <text>+0.5</text>
  </threadedComment>
  <threadedComment ref="G581" dT="2026-04-22T06:53:53.14" personId="{F2073BF5-E815-47D2-813A-B35E330311E5}" id="{5F12FEAC-93D7-468E-B922-17AD46C24F4D}">
    <text>-0.25</text>
  </threadedComment>
  <threadedComment ref="G589" dT="2026-04-23T07:51:50.37" personId="{F2073BF5-E815-47D2-813A-B35E330311E5}" id="{098BB053-E6EF-4C80-AD6C-55FF3EBA5482}">
    <text>-2</text>
  </threadedComment>
  <threadedComment ref="G591" dT="2026-04-23T07:52:43.20" personId="{F2073BF5-E815-47D2-813A-B35E330311E5}" id="{FBBE1288-CB94-42A2-A243-A60CB8B9AA05}">
    <text>-0.20</text>
  </threadedComment>
  <threadedComment ref="G597" dT="2026-04-24T07:33:01.32" personId="{F2073BF5-E815-47D2-813A-B35E330311E5}" id="{689AA6CA-D38E-4E6B-ABEA-49458C32D99B}">
    <text>-0.75</text>
  </threadedComment>
  <threadedComment ref="G598" dT="2026-04-24T07:33:20.30" personId="{F2073BF5-E815-47D2-813A-B35E330311E5}" id="{E0777E12-51EC-41BC-BDD1-49B7AAC9E665}">
    <text>+0.04</text>
  </threadedComment>
  <threadedComment ref="G617" dT="2026-04-27T05:58:14.83" personId="{F2073BF5-E815-47D2-813A-B35E330311E5}" id="{E059FF80-FDEF-4E0F-AE14-F7AF0F1E62D2}">
    <text>-0.06</text>
  </threadedComment>
  <threadedComment ref="G618" dT="2026-04-27T05:59:17.79" personId="{F2073BF5-E815-47D2-813A-B35E330311E5}" id="{C06200EB-BA9B-49CA-B26B-CEE7458DB8D9}">
    <text xml:space="preserve">-0.10
</text>
  </threadedComment>
  <threadedComment ref="G620" dT="2026-04-27T14:41:16.97" personId="{F2073BF5-E815-47D2-813A-B35E330311E5}" id="{878748DB-DBF4-4061-A6EF-CA6925250B2F}">
    <text>+0.25</text>
  </threadedComment>
  <threadedComment ref="G630" dT="2026-04-30T06:28:36.12" personId="{F2073BF5-E815-47D2-813A-B35E330311E5}" id="{52F771C5-73B2-4A90-AE4F-284FCD861DA2}">
    <text>+0.5</text>
  </threadedComment>
  <threadedComment ref="E759" dT="2026-03-26T06:45:49.11" personId="{F2073BF5-E815-47D2-813A-B35E330311E5}" id="{35432458-09D5-416C-9870-DBE8E5D344C4}">
    <text xml:space="preserve">3757.14- THIS AMOUNT PAID BY FAZEL BHAI, BECAUSE THIS IS HIS PERSONAL FACTORY CONSUMABLE ITEM, WHICH HE BOUGHT TO SEND TO AFGHANISTAN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F571-932F-4757-A081-3BC0A5691B93}">
  <sheetPr codeName="Sheet1"/>
  <dimension ref="A1:AC791"/>
  <sheetViews>
    <sheetView workbookViewId="0">
      <pane ySplit="1" topLeftCell="A2" activePane="bottomLeft" state="frozen"/>
      <selection pane="bottomLeft" activeCell="C17" sqref="C17"/>
    </sheetView>
  </sheetViews>
  <sheetFormatPr defaultRowHeight="15" x14ac:dyDescent="0.25"/>
  <cols>
    <col min="1" max="1" width="11.5703125" customWidth="1"/>
    <col min="2" max="2" width="14.28515625" customWidth="1"/>
    <col min="3" max="3" width="30.140625" bestFit="1" customWidth="1"/>
    <col min="4" max="4" width="10.28515625" bestFit="1" customWidth="1"/>
    <col min="5" max="5" width="6.28515625" bestFit="1" customWidth="1"/>
    <col min="7" max="7" width="8.5703125" bestFit="1" customWidth="1"/>
    <col min="8" max="8" width="11.28515625" bestFit="1" customWidth="1"/>
    <col min="9" max="9" width="12" bestFit="1" customWidth="1"/>
    <col min="10" max="10" width="14.42578125" bestFit="1" customWidth="1"/>
    <col min="11" max="11" width="16.7109375" bestFit="1" customWidth="1"/>
    <col min="12" max="12" width="19.140625" bestFit="1" customWidth="1"/>
    <col min="13" max="13" width="19.85546875" bestFit="1" customWidth="1"/>
    <col min="14" max="14" width="21.85546875" bestFit="1" customWidth="1"/>
    <col min="15" max="15" width="16.140625" bestFit="1" customWidth="1"/>
    <col min="16" max="16" width="14.28515625" bestFit="1" customWidth="1"/>
    <col min="17" max="17" width="21.42578125" bestFit="1" customWidth="1"/>
    <col min="18" max="18" width="19.42578125" bestFit="1" customWidth="1"/>
    <col min="19" max="19" width="19.85546875" bestFit="1" customWidth="1"/>
    <col min="20" max="20" width="15.7109375" bestFit="1" customWidth="1"/>
    <col min="21" max="21" width="19.85546875" bestFit="1" customWidth="1"/>
    <col min="22" max="22" width="19" bestFit="1" customWidth="1"/>
    <col min="23" max="23" width="20.140625" bestFit="1" customWidth="1"/>
    <col min="24" max="24" width="18.140625" bestFit="1" customWidth="1"/>
    <col min="25" max="25" width="26.28515625" bestFit="1" customWidth="1"/>
    <col min="26" max="26" width="23.42578125" bestFit="1" customWidth="1"/>
    <col min="29" max="29" width="37" bestFit="1" customWidth="1"/>
  </cols>
  <sheetData>
    <row r="1" spans="1:2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</row>
    <row r="2" spans="1:29" x14ac:dyDescent="0.25">
      <c r="A2" s="175">
        <v>46174</v>
      </c>
      <c r="B2" s="3" t="s">
        <v>169</v>
      </c>
      <c r="C2" s="169" t="s">
        <v>227</v>
      </c>
      <c r="D2" s="170">
        <v>2908.9</v>
      </c>
      <c r="E2" s="171">
        <v>0.88</v>
      </c>
      <c r="F2" s="172">
        <f>+D2*E2</f>
        <v>2559.8319999999999</v>
      </c>
      <c r="G2" s="172">
        <f>+H2/D2</f>
        <v>3.7249819519405962</v>
      </c>
      <c r="H2" s="176">
        <v>10835.6</v>
      </c>
      <c r="I2" s="158">
        <f t="shared" ref="I2:I65" si="0">IF(B2="SALES",D2,"0")</f>
        <v>2908.9</v>
      </c>
      <c r="J2" s="3" t="str">
        <f t="shared" ref="J2:J65" si="1">IF(B2="SALES RETURN",D2,"0")</f>
        <v>0</v>
      </c>
      <c r="K2" s="3">
        <f t="shared" ref="K2:K65" si="2">IF(B2="SALES",F2,"0")</f>
        <v>2559.8319999999999</v>
      </c>
      <c r="L2" s="3" t="str">
        <f t="shared" ref="L2:L65" si="3">IF(B2="SALES RETURN",F2,"0")</f>
        <v>0</v>
      </c>
      <c r="M2" s="3">
        <f t="shared" ref="M2:M65" si="4">IF(B2="SALES",H2,"0")+IF(B2="SALES",H2,"0")*5%</f>
        <v>11377.380000000001</v>
      </c>
      <c r="N2" s="3">
        <f t="shared" ref="N2:N65" si="5">IF(B2="SALES RETURN",H2,"0")+IF(B2="SALES RETURN",H2,"0")*5%</f>
        <v>0</v>
      </c>
      <c r="O2" s="3" t="str">
        <f t="shared" ref="O2:O65" si="6">IF(B2="PURCHASE",D2,"0")</f>
        <v>0</v>
      </c>
      <c r="P2" s="3" t="str">
        <f t="shared" ref="P2:P65" si="7">IF(B2="METAL PAYMENT",D2,"0")</f>
        <v>0</v>
      </c>
      <c r="Q2" s="3" t="str">
        <f t="shared" ref="Q2:Q65" si="8">IF(B2="PURCHASE",F2,"0")</f>
        <v>0</v>
      </c>
      <c r="R2" s="3" t="str">
        <f t="shared" ref="R2:R65" si="9">IF(B2="METAL PAYMENT",F2,"0")</f>
        <v>0</v>
      </c>
      <c r="S2" s="3">
        <f t="shared" ref="S2:S65" si="10">IF(B2="PURCHASE",H2,"0")+IF(B2="PURCHASE",H2,"0")*5%</f>
        <v>0</v>
      </c>
      <c r="T2" s="3" t="str">
        <f t="shared" ref="T2:T65" si="11">IF(B2="METAL PAYMENT",H2,"0")</f>
        <v>0</v>
      </c>
      <c r="U2" s="3"/>
      <c r="V2" s="3"/>
      <c r="W2" s="3"/>
      <c r="X2" s="3"/>
      <c r="Y2" s="3"/>
      <c r="Z2" s="3"/>
      <c r="AC2" s="75" t="str" cm="1">
        <f t="array" ref="AC2:AC30">_xlfn.UNIQUE(C2:C791)</f>
        <v>RAJU GOLD STAR</v>
      </c>
    </row>
    <row r="3" spans="1:29" x14ac:dyDescent="0.25">
      <c r="A3" s="175">
        <v>46174</v>
      </c>
      <c r="B3" s="3" t="s">
        <v>169</v>
      </c>
      <c r="C3" s="169" t="s">
        <v>228</v>
      </c>
      <c r="D3" s="170">
        <v>1320.61</v>
      </c>
      <c r="E3" s="171">
        <v>0.88</v>
      </c>
      <c r="F3" s="172">
        <f>+D3*E3</f>
        <v>1162.1368</v>
      </c>
      <c r="G3" s="172">
        <f>+H3/D3</f>
        <v>11.003172776217053</v>
      </c>
      <c r="H3" s="176">
        <v>14530.9</v>
      </c>
      <c r="I3" s="158">
        <f t="shared" si="0"/>
        <v>1320.61</v>
      </c>
      <c r="J3" s="3" t="str">
        <f t="shared" si="1"/>
        <v>0</v>
      </c>
      <c r="K3" s="3">
        <f t="shared" si="2"/>
        <v>1162.1368</v>
      </c>
      <c r="L3" s="3" t="str">
        <f t="shared" si="3"/>
        <v>0</v>
      </c>
      <c r="M3" s="3">
        <f t="shared" si="4"/>
        <v>15257.445</v>
      </c>
      <c r="N3" s="3">
        <f t="shared" si="5"/>
        <v>0</v>
      </c>
      <c r="O3" s="3" t="str">
        <f t="shared" si="6"/>
        <v>0</v>
      </c>
      <c r="P3" s="3" t="str">
        <f t="shared" si="7"/>
        <v>0</v>
      </c>
      <c r="Q3" s="3" t="str">
        <f t="shared" si="8"/>
        <v>0</v>
      </c>
      <c r="R3" s="3" t="str">
        <f t="shared" si="9"/>
        <v>0</v>
      </c>
      <c r="S3" s="3">
        <f t="shared" si="10"/>
        <v>0</v>
      </c>
      <c r="T3" s="3" t="str">
        <f t="shared" si="11"/>
        <v>0</v>
      </c>
      <c r="U3" s="3"/>
      <c r="V3" s="3"/>
      <c r="W3" s="3"/>
      <c r="X3" s="3"/>
      <c r="Y3" s="3"/>
      <c r="Z3" s="3"/>
      <c r="AC3" s="75" t="str">
        <v>INDIA STAR JEWELLERY</v>
      </c>
    </row>
    <row r="4" spans="1:29" x14ac:dyDescent="0.25">
      <c r="A4" s="175">
        <v>46174</v>
      </c>
      <c r="B4" s="3" t="s">
        <v>169</v>
      </c>
      <c r="C4" s="169" t="s">
        <v>229</v>
      </c>
      <c r="D4" s="170">
        <v>1509.127</v>
      </c>
      <c r="E4" s="171">
        <v>0.88</v>
      </c>
      <c r="F4" s="172">
        <f t="shared" ref="F4:F5" si="12">+D4*E4</f>
        <v>1328.0317600000001</v>
      </c>
      <c r="G4" s="172">
        <f t="shared" ref="G4:G5" si="13">+H4/D4</f>
        <v>7.9999628924537163</v>
      </c>
      <c r="H4" s="176">
        <v>12072.96</v>
      </c>
      <c r="I4" s="158">
        <f t="shared" si="0"/>
        <v>1509.127</v>
      </c>
      <c r="J4" s="3" t="str">
        <f t="shared" si="1"/>
        <v>0</v>
      </c>
      <c r="K4" s="3">
        <f t="shared" si="2"/>
        <v>1328.0317600000001</v>
      </c>
      <c r="L4" s="3" t="str">
        <f t="shared" si="3"/>
        <v>0</v>
      </c>
      <c r="M4" s="3">
        <f t="shared" si="4"/>
        <v>12676.607999999998</v>
      </c>
      <c r="N4" s="3">
        <f t="shared" si="5"/>
        <v>0</v>
      </c>
      <c r="O4" s="3" t="str">
        <f t="shared" si="6"/>
        <v>0</v>
      </c>
      <c r="P4" s="3" t="str">
        <f t="shared" si="7"/>
        <v>0</v>
      </c>
      <c r="Q4" s="3" t="str">
        <f t="shared" si="8"/>
        <v>0</v>
      </c>
      <c r="R4" s="3" t="str">
        <f t="shared" si="9"/>
        <v>0</v>
      </c>
      <c r="S4" s="3">
        <f t="shared" si="10"/>
        <v>0</v>
      </c>
      <c r="T4" s="3" t="str">
        <f t="shared" si="11"/>
        <v>0</v>
      </c>
      <c r="U4" s="3"/>
      <c r="V4" s="3"/>
      <c r="W4" s="3"/>
      <c r="X4" s="3"/>
      <c r="Y4" s="3"/>
      <c r="Z4" s="3"/>
      <c r="AC4" s="75" t="str">
        <v>BHARAT JEWELLERY LLC</v>
      </c>
    </row>
    <row r="5" spans="1:29" x14ac:dyDescent="0.25">
      <c r="A5" s="175">
        <v>46174</v>
      </c>
      <c r="B5" s="3" t="s">
        <v>169</v>
      </c>
      <c r="C5" s="169" t="s">
        <v>228</v>
      </c>
      <c r="D5" s="170">
        <v>5646</v>
      </c>
      <c r="E5" s="171">
        <v>0.88</v>
      </c>
      <c r="F5" s="172">
        <f t="shared" si="12"/>
        <v>4968.4800000000005</v>
      </c>
      <c r="G5" s="172">
        <f t="shared" si="13"/>
        <v>7.8492826780021261</v>
      </c>
      <c r="H5" s="176">
        <v>44317.05</v>
      </c>
      <c r="I5" s="158">
        <f t="shared" si="0"/>
        <v>5646</v>
      </c>
      <c r="J5" s="3" t="str">
        <f t="shared" si="1"/>
        <v>0</v>
      </c>
      <c r="K5" s="3">
        <f t="shared" si="2"/>
        <v>4968.4800000000005</v>
      </c>
      <c r="L5" s="3" t="str">
        <f t="shared" si="3"/>
        <v>0</v>
      </c>
      <c r="M5" s="3">
        <f t="shared" si="4"/>
        <v>46532.902500000004</v>
      </c>
      <c r="N5" s="3">
        <f t="shared" si="5"/>
        <v>0</v>
      </c>
      <c r="O5" s="3" t="str">
        <f t="shared" si="6"/>
        <v>0</v>
      </c>
      <c r="P5" s="3" t="str">
        <f t="shared" si="7"/>
        <v>0</v>
      </c>
      <c r="Q5" s="3" t="str">
        <f t="shared" si="8"/>
        <v>0</v>
      </c>
      <c r="R5" s="3" t="str">
        <f t="shared" si="9"/>
        <v>0</v>
      </c>
      <c r="S5" s="3">
        <f t="shared" si="10"/>
        <v>0</v>
      </c>
      <c r="T5" s="3" t="str">
        <f t="shared" si="11"/>
        <v>0</v>
      </c>
      <c r="U5" s="3"/>
      <c r="V5" s="3"/>
      <c r="W5" s="3"/>
      <c r="X5" s="3"/>
      <c r="Y5" s="3"/>
      <c r="Z5" s="3"/>
      <c r="AC5" s="75" t="str">
        <v>HINDUSTAN JEWELLERY LLC</v>
      </c>
    </row>
    <row r="6" spans="1:29" x14ac:dyDescent="0.25">
      <c r="A6" s="175">
        <v>46174</v>
      </c>
      <c r="B6" s="3" t="s">
        <v>170</v>
      </c>
      <c r="C6" s="3" t="s">
        <v>230</v>
      </c>
      <c r="D6" s="170">
        <v>5456</v>
      </c>
      <c r="E6" s="173">
        <v>0.995</v>
      </c>
      <c r="F6" s="174">
        <f t="shared" ref="F6:F9" si="14">D6*E6</f>
        <v>5428.72</v>
      </c>
      <c r="G6" s="6">
        <f t="shared" ref="G6:G59" si="15">+H6/D6</f>
        <v>0</v>
      </c>
      <c r="H6" s="7"/>
      <c r="I6" s="158" t="str">
        <f t="shared" si="0"/>
        <v>0</v>
      </c>
      <c r="J6" s="3" t="str">
        <f t="shared" si="1"/>
        <v>0</v>
      </c>
      <c r="K6" s="3" t="str">
        <f t="shared" si="2"/>
        <v>0</v>
      </c>
      <c r="L6" s="3" t="str">
        <f t="shared" si="3"/>
        <v>0</v>
      </c>
      <c r="M6" s="3">
        <f t="shared" si="4"/>
        <v>0</v>
      </c>
      <c r="N6" s="3">
        <f t="shared" si="5"/>
        <v>0</v>
      </c>
      <c r="O6" s="3">
        <f t="shared" si="6"/>
        <v>5456</v>
      </c>
      <c r="P6" s="3" t="str">
        <f t="shared" si="7"/>
        <v>0</v>
      </c>
      <c r="Q6" s="3">
        <f t="shared" si="8"/>
        <v>5428.72</v>
      </c>
      <c r="R6" s="3" t="str">
        <f t="shared" si="9"/>
        <v>0</v>
      </c>
      <c r="S6" s="3">
        <f t="shared" si="10"/>
        <v>0</v>
      </c>
      <c r="T6" s="3" t="str">
        <f t="shared" si="11"/>
        <v>0</v>
      </c>
      <c r="U6" s="3"/>
      <c r="V6" s="3"/>
      <c r="W6" s="3"/>
      <c r="X6" s="3"/>
      <c r="Y6" s="3"/>
      <c r="Z6" s="3"/>
      <c r="AC6" s="75" t="str">
        <v>BADSHAH JEWELLERY SHOP</v>
      </c>
    </row>
    <row r="7" spans="1:29" x14ac:dyDescent="0.25">
      <c r="A7" s="175">
        <v>46174</v>
      </c>
      <c r="B7" s="3" t="s">
        <v>170</v>
      </c>
      <c r="C7" s="169" t="s">
        <v>227</v>
      </c>
      <c r="D7" s="170">
        <v>1200</v>
      </c>
      <c r="E7" s="173">
        <v>1</v>
      </c>
      <c r="F7" s="174">
        <f t="shared" si="14"/>
        <v>1200</v>
      </c>
      <c r="G7" s="6">
        <f t="shared" si="15"/>
        <v>0</v>
      </c>
      <c r="H7" s="7"/>
      <c r="I7" s="158" t="str">
        <f t="shared" si="0"/>
        <v>0</v>
      </c>
      <c r="J7" s="3" t="str">
        <f t="shared" si="1"/>
        <v>0</v>
      </c>
      <c r="K7" s="3" t="str">
        <f t="shared" si="2"/>
        <v>0</v>
      </c>
      <c r="L7" s="3" t="str">
        <f t="shared" si="3"/>
        <v>0</v>
      </c>
      <c r="M7" s="3">
        <f t="shared" si="4"/>
        <v>0</v>
      </c>
      <c r="N7" s="3">
        <f t="shared" si="5"/>
        <v>0</v>
      </c>
      <c r="O7" s="3">
        <f t="shared" si="6"/>
        <v>1200</v>
      </c>
      <c r="P7" s="3" t="str">
        <f t="shared" si="7"/>
        <v>0</v>
      </c>
      <c r="Q7" s="3">
        <f t="shared" si="8"/>
        <v>1200</v>
      </c>
      <c r="R7" s="3" t="str">
        <f t="shared" si="9"/>
        <v>0</v>
      </c>
      <c r="S7" s="3">
        <f t="shared" si="10"/>
        <v>0</v>
      </c>
      <c r="T7" s="3" t="str">
        <f t="shared" si="11"/>
        <v>0</v>
      </c>
      <c r="U7" s="3"/>
      <c r="V7" s="3"/>
      <c r="W7" s="3"/>
      <c r="X7" s="3"/>
      <c r="Y7" s="3"/>
      <c r="Z7" s="3"/>
      <c r="AC7" s="75" t="str">
        <v>VISHAL JEWELLERY LLC</v>
      </c>
    </row>
    <row r="8" spans="1:29" x14ac:dyDescent="0.25">
      <c r="A8" s="175">
        <v>46174</v>
      </c>
      <c r="B8" s="3" t="s">
        <v>170</v>
      </c>
      <c r="C8" s="3" t="s">
        <v>231</v>
      </c>
      <c r="D8" s="170">
        <v>500</v>
      </c>
      <c r="E8" s="173">
        <v>0.995</v>
      </c>
      <c r="F8" s="174">
        <f t="shared" si="14"/>
        <v>497.5</v>
      </c>
      <c r="G8" s="6">
        <f t="shared" si="15"/>
        <v>0</v>
      </c>
      <c r="H8" s="7"/>
      <c r="I8" s="158" t="str">
        <f t="shared" si="0"/>
        <v>0</v>
      </c>
      <c r="J8" s="3" t="str">
        <f t="shared" si="1"/>
        <v>0</v>
      </c>
      <c r="K8" s="3" t="str">
        <f t="shared" si="2"/>
        <v>0</v>
      </c>
      <c r="L8" s="3" t="str">
        <f t="shared" si="3"/>
        <v>0</v>
      </c>
      <c r="M8" s="3">
        <f t="shared" si="4"/>
        <v>0</v>
      </c>
      <c r="N8" s="3">
        <f t="shared" si="5"/>
        <v>0</v>
      </c>
      <c r="O8" s="3">
        <f t="shared" si="6"/>
        <v>500</v>
      </c>
      <c r="P8" s="3" t="str">
        <f t="shared" si="7"/>
        <v>0</v>
      </c>
      <c r="Q8" s="3">
        <f t="shared" si="8"/>
        <v>497.5</v>
      </c>
      <c r="R8" s="3" t="str">
        <f t="shared" si="9"/>
        <v>0</v>
      </c>
      <c r="S8" s="3">
        <f t="shared" si="10"/>
        <v>0</v>
      </c>
      <c r="T8" s="3" t="str">
        <f t="shared" si="11"/>
        <v>0</v>
      </c>
      <c r="U8" s="3"/>
      <c r="V8" s="3"/>
      <c r="W8" s="3"/>
      <c r="X8" s="3"/>
      <c r="Y8" s="3"/>
      <c r="Z8" s="3"/>
      <c r="AC8" s="75" t="str">
        <v>DHANANJAY JEWELLERY L.L.C</v>
      </c>
    </row>
    <row r="9" spans="1:29" x14ac:dyDescent="0.25">
      <c r="A9" s="175">
        <v>46174</v>
      </c>
      <c r="B9" s="3" t="s">
        <v>170</v>
      </c>
      <c r="C9" s="169" t="s">
        <v>228</v>
      </c>
      <c r="D9" s="170">
        <v>510</v>
      </c>
      <c r="E9" s="173">
        <v>0.995</v>
      </c>
      <c r="F9" s="174">
        <f t="shared" si="14"/>
        <v>507.45</v>
      </c>
      <c r="G9" s="6">
        <f t="shared" si="15"/>
        <v>0</v>
      </c>
      <c r="H9" s="7"/>
      <c r="I9" s="158" t="str">
        <f t="shared" si="0"/>
        <v>0</v>
      </c>
      <c r="J9" s="3" t="str">
        <f t="shared" si="1"/>
        <v>0</v>
      </c>
      <c r="K9" s="3" t="str">
        <f t="shared" si="2"/>
        <v>0</v>
      </c>
      <c r="L9" s="3" t="str">
        <f t="shared" si="3"/>
        <v>0</v>
      </c>
      <c r="M9" s="3">
        <f t="shared" si="4"/>
        <v>0</v>
      </c>
      <c r="N9" s="3">
        <f t="shared" si="5"/>
        <v>0</v>
      </c>
      <c r="O9" s="3">
        <f t="shared" si="6"/>
        <v>510</v>
      </c>
      <c r="P9" s="3" t="str">
        <f t="shared" si="7"/>
        <v>0</v>
      </c>
      <c r="Q9" s="3">
        <f t="shared" si="8"/>
        <v>507.45</v>
      </c>
      <c r="R9" s="3" t="str">
        <f t="shared" si="9"/>
        <v>0</v>
      </c>
      <c r="S9" s="3">
        <f t="shared" si="10"/>
        <v>0</v>
      </c>
      <c r="T9" s="3" t="str">
        <f t="shared" si="11"/>
        <v>0</v>
      </c>
      <c r="U9" s="3"/>
      <c r="V9" s="3"/>
      <c r="W9" s="3"/>
      <c r="X9" s="3"/>
      <c r="Y9" s="3"/>
      <c r="Z9" s="3"/>
      <c r="AC9" s="75" t="str">
        <v>UMAR GOLD SHOP</v>
      </c>
    </row>
    <row r="10" spans="1:29" x14ac:dyDescent="0.25">
      <c r="A10" s="175">
        <v>46175</v>
      </c>
      <c r="B10" s="3" t="s">
        <v>169</v>
      </c>
      <c r="C10" s="169" t="s">
        <v>232</v>
      </c>
      <c r="D10" s="170">
        <v>5454</v>
      </c>
      <c r="E10" s="171">
        <v>0.88</v>
      </c>
      <c r="F10" s="172">
        <f>+D10*E10</f>
        <v>4799.5200000000004</v>
      </c>
      <c r="G10" s="172">
        <f>+H10/D10</f>
        <v>0.35056839017235059</v>
      </c>
      <c r="H10" s="176">
        <v>1912</v>
      </c>
      <c r="I10" s="158">
        <f t="shared" si="0"/>
        <v>5454</v>
      </c>
      <c r="J10" s="3" t="str">
        <f t="shared" si="1"/>
        <v>0</v>
      </c>
      <c r="K10" s="3">
        <f t="shared" si="2"/>
        <v>4799.5200000000004</v>
      </c>
      <c r="L10" s="3" t="str">
        <f t="shared" si="3"/>
        <v>0</v>
      </c>
      <c r="M10" s="3">
        <f t="shared" si="4"/>
        <v>2007.6</v>
      </c>
      <c r="N10" s="3">
        <f t="shared" si="5"/>
        <v>0</v>
      </c>
      <c r="O10" s="3" t="str">
        <f t="shared" si="6"/>
        <v>0</v>
      </c>
      <c r="P10" s="3" t="str">
        <f t="shared" si="7"/>
        <v>0</v>
      </c>
      <c r="Q10" s="3" t="str">
        <f t="shared" si="8"/>
        <v>0</v>
      </c>
      <c r="R10" s="3" t="str">
        <f t="shared" si="9"/>
        <v>0</v>
      </c>
      <c r="S10" s="3">
        <f t="shared" si="10"/>
        <v>0</v>
      </c>
      <c r="T10" s="3" t="str">
        <f t="shared" si="11"/>
        <v>0</v>
      </c>
      <c r="U10" s="3"/>
      <c r="V10" s="3"/>
      <c r="W10" s="3"/>
      <c r="X10" s="3"/>
      <c r="Y10" s="3"/>
      <c r="Z10" s="3"/>
      <c r="AC10" s="75" t="str">
        <v>ABBAS GOLD CENTER LLC</v>
      </c>
    </row>
    <row r="11" spans="1:29" x14ac:dyDescent="0.25">
      <c r="A11" s="175">
        <v>46175</v>
      </c>
      <c r="B11" s="3" t="s">
        <v>169</v>
      </c>
      <c r="C11" s="169" t="s">
        <v>229</v>
      </c>
      <c r="D11" s="170">
        <v>952</v>
      </c>
      <c r="E11" s="171">
        <v>0.88</v>
      </c>
      <c r="F11" s="172">
        <f t="shared" ref="F11:F15" si="16">+D11*E11</f>
        <v>837.76</v>
      </c>
      <c r="G11" s="172">
        <f t="shared" ref="G11:G15" si="17">+H11/D11</f>
        <v>7.2470588235294118</v>
      </c>
      <c r="H11" s="176">
        <v>6899.2</v>
      </c>
      <c r="I11" s="158">
        <f t="shared" si="0"/>
        <v>952</v>
      </c>
      <c r="J11" s="3" t="str">
        <f t="shared" si="1"/>
        <v>0</v>
      </c>
      <c r="K11" s="3">
        <f t="shared" si="2"/>
        <v>837.76</v>
      </c>
      <c r="L11" s="3" t="str">
        <f t="shared" si="3"/>
        <v>0</v>
      </c>
      <c r="M11" s="3">
        <f t="shared" si="4"/>
        <v>7244.16</v>
      </c>
      <c r="N11" s="3">
        <f t="shared" si="5"/>
        <v>0</v>
      </c>
      <c r="O11" s="3" t="str">
        <f t="shared" si="6"/>
        <v>0</v>
      </c>
      <c r="P11" s="3" t="str">
        <f t="shared" si="7"/>
        <v>0</v>
      </c>
      <c r="Q11" s="3" t="str">
        <f t="shared" si="8"/>
        <v>0</v>
      </c>
      <c r="R11" s="3" t="str">
        <f t="shared" si="9"/>
        <v>0</v>
      </c>
      <c r="S11" s="3">
        <f t="shared" si="10"/>
        <v>0</v>
      </c>
      <c r="T11" s="3" t="str">
        <f t="shared" si="11"/>
        <v>0</v>
      </c>
      <c r="U11" s="3"/>
      <c r="V11" s="3"/>
      <c r="W11" s="3"/>
      <c r="X11" s="3"/>
      <c r="Y11" s="3"/>
      <c r="Z11" s="3"/>
      <c r="AC11" s="75" t="str">
        <v>SUMIT GOLD HUB LLC</v>
      </c>
    </row>
    <row r="12" spans="1:29" x14ac:dyDescent="0.25">
      <c r="A12" s="175">
        <v>46175</v>
      </c>
      <c r="B12" s="3" t="s">
        <v>169</v>
      </c>
      <c r="C12" s="169" t="s">
        <v>233</v>
      </c>
      <c r="D12" s="170">
        <v>745.3</v>
      </c>
      <c r="E12" s="171">
        <v>0.88</v>
      </c>
      <c r="F12" s="172">
        <f t="shared" si="16"/>
        <v>655.86399999999992</v>
      </c>
      <c r="G12" s="172">
        <f t="shared" si="17"/>
        <v>7.3700523279216421</v>
      </c>
      <c r="H12" s="176">
        <v>5492.9</v>
      </c>
      <c r="I12" s="158">
        <f t="shared" si="0"/>
        <v>745.3</v>
      </c>
      <c r="J12" s="3" t="str">
        <f t="shared" si="1"/>
        <v>0</v>
      </c>
      <c r="K12" s="3">
        <f t="shared" si="2"/>
        <v>655.86399999999992</v>
      </c>
      <c r="L12" s="3" t="str">
        <f t="shared" si="3"/>
        <v>0</v>
      </c>
      <c r="M12" s="3">
        <f t="shared" si="4"/>
        <v>5767.5450000000001</v>
      </c>
      <c r="N12" s="3">
        <f t="shared" si="5"/>
        <v>0</v>
      </c>
      <c r="O12" s="3" t="str">
        <f t="shared" si="6"/>
        <v>0</v>
      </c>
      <c r="P12" s="3" t="str">
        <f t="shared" si="7"/>
        <v>0</v>
      </c>
      <c r="Q12" s="3" t="str">
        <f t="shared" si="8"/>
        <v>0</v>
      </c>
      <c r="R12" s="3" t="str">
        <f t="shared" si="9"/>
        <v>0</v>
      </c>
      <c r="S12" s="3">
        <f t="shared" si="10"/>
        <v>0</v>
      </c>
      <c r="T12" s="3" t="str">
        <f t="shared" si="11"/>
        <v>0</v>
      </c>
      <c r="U12" s="3"/>
      <c r="V12" s="3"/>
      <c r="W12" s="3"/>
      <c r="X12" s="3"/>
      <c r="Y12" s="3"/>
      <c r="Z12" s="3"/>
      <c r="AC12" s="75" t="str">
        <v>GORAKHPUR GOLD SHOP</v>
      </c>
    </row>
    <row r="13" spans="1:29" x14ac:dyDescent="0.25">
      <c r="A13" s="175">
        <v>46175</v>
      </c>
      <c r="B13" s="3" t="s">
        <v>169</v>
      </c>
      <c r="C13" s="169" t="s">
        <v>234</v>
      </c>
      <c r="D13" s="170">
        <v>430.19</v>
      </c>
      <c r="E13" s="171">
        <v>0.88</v>
      </c>
      <c r="F13" s="172">
        <f t="shared" si="16"/>
        <v>378.56720000000001</v>
      </c>
      <c r="G13" s="172">
        <f t="shared" si="17"/>
        <v>5.0001162277133364</v>
      </c>
      <c r="H13" s="176">
        <v>2151</v>
      </c>
      <c r="I13" s="158">
        <f t="shared" si="0"/>
        <v>430.19</v>
      </c>
      <c r="J13" s="3" t="str">
        <f t="shared" si="1"/>
        <v>0</v>
      </c>
      <c r="K13" s="3">
        <f t="shared" si="2"/>
        <v>378.56720000000001</v>
      </c>
      <c r="L13" s="3" t="str">
        <f t="shared" si="3"/>
        <v>0</v>
      </c>
      <c r="M13" s="3">
        <f t="shared" si="4"/>
        <v>2258.5500000000002</v>
      </c>
      <c r="N13" s="3">
        <f t="shared" si="5"/>
        <v>0</v>
      </c>
      <c r="O13" s="3" t="str">
        <f t="shared" si="6"/>
        <v>0</v>
      </c>
      <c r="P13" s="3" t="str">
        <f t="shared" si="7"/>
        <v>0</v>
      </c>
      <c r="Q13" s="3" t="str">
        <f t="shared" si="8"/>
        <v>0</v>
      </c>
      <c r="R13" s="3" t="str">
        <f t="shared" si="9"/>
        <v>0</v>
      </c>
      <c r="S13" s="3">
        <f t="shared" si="10"/>
        <v>0</v>
      </c>
      <c r="T13" s="3" t="str">
        <f t="shared" si="11"/>
        <v>0</v>
      </c>
      <c r="U13" s="3"/>
      <c r="V13" s="3"/>
      <c r="W13" s="3"/>
      <c r="X13" s="3"/>
      <c r="Y13" s="3"/>
      <c r="Z13" s="3"/>
      <c r="AC13" s="75" t="str">
        <v>RAM RAHEEM GOLD SHOP</v>
      </c>
    </row>
    <row r="14" spans="1:29" x14ac:dyDescent="0.25">
      <c r="A14" s="175">
        <v>46175</v>
      </c>
      <c r="B14" s="3" t="s">
        <v>169</v>
      </c>
      <c r="C14" s="169" t="s">
        <v>228</v>
      </c>
      <c r="D14" s="170">
        <v>784</v>
      </c>
      <c r="E14" s="171">
        <v>0.88</v>
      </c>
      <c r="F14" s="172">
        <f t="shared" si="16"/>
        <v>689.92</v>
      </c>
      <c r="G14" s="172">
        <f t="shared" si="17"/>
        <v>11.177487244897959</v>
      </c>
      <c r="H14" s="176">
        <v>8763.15</v>
      </c>
      <c r="I14" s="158">
        <f t="shared" si="0"/>
        <v>784</v>
      </c>
      <c r="J14" s="3" t="str">
        <f t="shared" si="1"/>
        <v>0</v>
      </c>
      <c r="K14" s="3">
        <f t="shared" si="2"/>
        <v>689.92</v>
      </c>
      <c r="L14" s="3" t="str">
        <f t="shared" si="3"/>
        <v>0</v>
      </c>
      <c r="M14" s="3">
        <f t="shared" si="4"/>
        <v>9201.307499999999</v>
      </c>
      <c r="N14" s="3">
        <f t="shared" si="5"/>
        <v>0</v>
      </c>
      <c r="O14" s="3" t="str">
        <f t="shared" si="6"/>
        <v>0</v>
      </c>
      <c r="P14" s="3" t="str">
        <f t="shared" si="7"/>
        <v>0</v>
      </c>
      <c r="Q14" s="3" t="str">
        <f t="shared" si="8"/>
        <v>0</v>
      </c>
      <c r="R14" s="3" t="str">
        <f t="shared" si="9"/>
        <v>0</v>
      </c>
      <c r="S14" s="3">
        <f t="shared" si="10"/>
        <v>0</v>
      </c>
      <c r="T14" s="3" t="str">
        <f t="shared" si="11"/>
        <v>0</v>
      </c>
      <c r="U14" s="3"/>
      <c r="V14" s="3"/>
      <c r="W14" s="3"/>
      <c r="X14" s="3"/>
      <c r="Y14" s="3"/>
      <c r="Z14" s="3"/>
      <c r="AC14" s="75" t="str">
        <v>ASHA RAAM GOLD JEWELLERY SHOP</v>
      </c>
    </row>
    <row r="15" spans="1:29" x14ac:dyDescent="0.25">
      <c r="A15" s="175">
        <v>46175</v>
      </c>
      <c r="B15" s="3" t="s">
        <v>169</v>
      </c>
      <c r="C15" s="169" t="s">
        <v>232</v>
      </c>
      <c r="D15" s="170">
        <v>800.5</v>
      </c>
      <c r="E15" s="171">
        <v>0.88</v>
      </c>
      <c r="F15" s="172">
        <f t="shared" si="16"/>
        <v>704.44</v>
      </c>
      <c r="G15" s="172">
        <f t="shared" si="17"/>
        <v>8</v>
      </c>
      <c r="H15" s="176">
        <v>6404</v>
      </c>
      <c r="I15" s="158">
        <f t="shared" si="0"/>
        <v>800.5</v>
      </c>
      <c r="J15" s="3" t="str">
        <f t="shared" si="1"/>
        <v>0</v>
      </c>
      <c r="K15" s="3">
        <f t="shared" si="2"/>
        <v>704.44</v>
      </c>
      <c r="L15" s="3" t="str">
        <f t="shared" si="3"/>
        <v>0</v>
      </c>
      <c r="M15" s="3">
        <f t="shared" si="4"/>
        <v>6724.2</v>
      </c>
      <c r="N15" s="3">
        <f t="shared" si="5"/>
        <v>0</v>
      </c>
      <c r="O15" s="3" t="str">
        <f t="shared" si="6"/>
        <v>0</v>
      </c>
      <c r="P15" s="3" t="str">
        <f t="shared" si="7"/>
        <v>0</v>
      </c>
      <c r="Q15" s="3" t="str">
        <f t="shared" si="8"/>
        <v>0</v>
      </c>
      <c r="R15" s="3" t="str">
        <f t="shared" si="9"/>
        <v>0</v>
      </c>
      <c r="S15" s="3">
        <f t="shared" si="10"/>
        <v>0</v>
      </c>
      <c r="T15" s="3" t="str">
        <f t="shared" si="11"/>
        <v>0</v>
      </c>
      <c r="U15" s="3"/>
      <c r="V15" s="3"/>
      <c r="W15" s="3"/>
      <c r="X15" s="3"/>
      <c r="Y15" s="3"/>
      <c r="Z15" s="3"/>
      <c r="AC15" s="75" t="str">
        <v>BABA RAMDEV AYURVEDIC GOLD</v>
      </c>
    </row>
    <row r="16" spans="1:29" x14ac:dyDescent="0.25">
      <c r="A16" s="175">
        <v>46175</v>
      </c>
      <c r="B16" s="3" t="s">
        <v>170</v>
      </c>
      <c r="C16" s="169" t="s">
        <v>229</v>
      </c>
      <c r="D16" s="170">
        <v>1000</v>
      </c>
      <c r="E16" s="173">
        <v>0.995</v>
      </c>
      <c r="F16" s="174">
        <f t="shared" ref="F16:F21" si="18">D16*E16</f>
        <v>995</v>
      </c>
      <c r="G16" s="6">
        <f t="shared" si="15"/>
        <v>0</v>
      </c>
      <c r="H16" s="7"/>
      <c r="I16" s="158" t="str">
        <f t="shared" si="0"/>
        <v>0</v>
      </c>
      <c r="J16" s="3" t="str">
        <f t="shared" si="1"/>
        <v>0</v>
      </c>
      <c r="K16" s="3" t="str">
        <f t="shared" si="2"/>
        <v>0</v>
      </c>
      <c r="L16" s="3" t="str">
        <f t="shared" si="3"/>
        <v>0</v>
      </c>
      <c r="M16" s="3">
        <f t="shared" si="4"/>
        <v>0</v>
      </c>
      <c r="N16" s="3">
        <f t="shared" si="5"/>
        <v>0</v>
      </c>
      <c r="O16" s="3">
        <f t="shared" si="6"/>
        <v>1000</v>
      </c>
      <c r="P16" s="3" t="str">
        <f t="shared" si="7"/>
        <v>0</v>
      </c>
      <c r="Q16" s="3">
        <f t="shared" si="8"/>
        <v>995</v>
      </c>
      <c r="R16" s="3" t="str">
        <f t="shared" si="9"/>
        <v>0</v>
      </c>
      <c r="S16" s="3">
        <f t="shared" si="10"/>
        <v>0</v>
      </c>
      <c r="T16" s="3" t="str">
        <f t="shared" si="11"/>
        <v>0</v>
      </c>
      <c r="U16" s="3"/>
      <c r="V16" s="3"/>
      <c r="W16" s="3"/>
      <c r="X16" s="3"/>
      <c r="Y16" s="3"/>
      <c r="Z16" s="3"/>
      <c r="AC16" s="75" t="str">
        <v>BAGPAT GOLD HUB</v>
      </c>
    </row>
    <row r="17" spans="1:29" x14ac:dyDescent="0.25">
      <c r="A17" s="175">
        <v>46175</v>
      </c>
      <c r="B17" s="3" t="s">
        <v>170</v>
      </c>
      <c r="C17" s="169" t="s">
        <v>227</v>
      </c>
      <c r="D17" s="170">
        <v>1156.81</v>
      </c>
      <c r="E17" s="173">
        <v>0.995</v>
      </c>
      <c r="F17" s="174">
        <f t="shared" si="18"/>
        <v>1151.02595</v>
      </c>
      <c r="G17" s="6">
        <f t="shared" si="15"/>
        <v>0</v>
      </c>
      <c r="H17" s="7"/>
      <c r="I17" s="158" t="str">
        <f t="shared" si="0"/>
        <v>0</v>
      </c>
      <c r="J17" s="3" t="str">
        <f t="shared" si="1"/>
        <v>0</v>
      </c>
      <c r="K17" s="3" t="str">
        <f t="shared" si="2"/>
        <v>0</v>
      </c>
      <c r="L17" s="3" t="str">
        <f t="shared" si="3"/>
        <v>0</v>
      </c>
      <c r="M17" s="3">
        <f t="shared" si="4"/>
        <v>0</v>
      </c>
      <c r="N17" s="3">
        <f t="shared" si="5"/>
        <v>0</v>
      </c>
      <c r="O17" s="3">
        <f t="shared" si="6"/>
        <v>1156.81</v>
      </c>
      <c r="P17" s="3" t="str">
        <f t="shared" si="7"/>
        <v>0</v>
      </c>
      <c r="Q17" s="3">
        <f t="shared" si="8"/>
        <v>1151.02595</v>
      </c>
      <c r="R17" s="3" t="str">
        <f t="shared" si="9"/>
        <v>0</v>
      </c>
      <c r="S17" s="3">
        <f t="shared" si="10"/>
        <v>0</v>
      </c>
      <c r="T17" s="3" t="str">
        <f t="shared" si="11"/>
        <v>0</v>
      </c>
      <c r="U17" s="3"/>
      <c r="V17" s="3"/>
      <c r="W17" s="3"/>
      <c r="X17" s="3"/>
      <c r="Y17" s="3"/>
      <c r="Z17" s="3"/>
      <c r="AC17" s="75" t="str">
        <v>SANT RAM PAL GOLD</v>
      </c>
    </row>
    <row r="18" spans="1:29" x14ac:dyDescent="0.25">
      <c r="A18" s="175">
        <v>46175</v>
      </c>
      <c r="B18" s="3" t="s">
        <v>170</v>
      </c>
      <c r="C18" s="3" t="s">
        <v>235</v>
      </c>
      <c r="D18" s="170">
        <v>521.84</v>
      </c>
      <c r="E18" s="173">
        <v>0.995</v>
      </c>
      <c r="F18" s="174">
        <f t="shared" si="18"/>
        <v>519.23080000000004</v>
      </c>
      <c r="G18" s="6">
        <f t="shared" si="15"/>
        <v>0</v>
      </c>
      <c r="H18" s="7"/>
      <c r="I18" s="158" t="str">
        <f t="shared" si="0"/>
        <v>0</v>
      </c>
      <c r="J18" s="3" t="str">
        <f t="shared" si="1"/>
        <v>0</v>
      </c>
      <c r="K18" s="3" t="str">
        <f t="shared" si="2"/>
        <v>0</v>
      </c>
      <c r="L18" s="3" t="str">
        <f t="shared" si="3"/>
        <v>0</v>
      </c>
      <c r="M18" s="3">
        <f t="shared" si="4"/>
        <v>0</v>
      </c>
      <c r="N18" s="3">
        <f t="shared" si="5"/>
        <v>0</v>
      </c>
      <c r="O18" s="3">
        <f t="shared" si="6"/>
        <v>521.84</v>
      </c>
      <c r="P18" s="3" t="str">
        <f t="shared" si="7"/>
        <v>0</v>
      </c>
      <c r="Q18" s="3">
        <f t="shared" si="8"/>
        <v>519.23080000000004</v>
      </c>
      <c r="R18" s="3" t="str">
        <f t="shared" si="9"/>
        <v>0</v>
      </c>
      <c r="S18" s="3">
        <f t="shared" si="10"/>
        <v>0</v>
      </c>
      <c r="T18" s="3" t="str">
        <f t="shared" si="11"/>
        <v>0</v>
      </c>
      <c r="U18" s="3"/>
      <c r="V18" s="3"/>
      <c r="W18" s="3"/>
      <c r="X18" s="3"/>
      <c r="Y18" s="3"/>
      <c r="Z18" s="3"/>
      <c r="AC18" s="75" t="str">
        <v>MODI JI GOLD WALE</v>
      </c>
    </row>
    <row r="19" spans="1:29" x14ac:dyDescent="0.25">
      <c r="A19" s="175">
        <v>46175</v>
      </c>
      <c r="B19" s="3" t="s">
        <v>170</v>
      </c>
      <c r="C19" s="169" t="s">
        <v>234</v>
      </c>
      <c r="D19" s="170">
        <v>1732.55</v>
      </c>
      <c r="E19" s="173">
        <v>0.995</v>
      </c>
      <c r="F19" s="174">
        <f t="shared" si="18"/>
        <v>1723.88725</v>
      </c>
      <c r="G19" s="6">
        <f t="shared" si="15"/>
        <v>0</v>
      </c>
      <c r="H19" s="7"/>
      <c r="I19" s="158" t="str">
        <f t="shared" si="0"/>
        <v>0</v>
      </c>
      <c r="J19" s="3" t="str">
        <f t="shared" si="1"/>
        <v>0</v>
      </c>
      <c r="K19" s="3" t="str">
        <f t="shared" si="2"/>
        <v>0</v>
      </c>
      <c r="L19" s="3" t="str">
        <f t="shared" si="3"/>
        <v>0</v>
      </c>
      <c r="M19" s="3">
        <f t="shared" si="4"/>
        <v>0</v>
      </c>
      <c r="N19" s="3">
        <f t="shared" si="5"/>
        <v>0</v>
      </c>
      <c r="O19" s="3">
        <f t="shared" si="6"/>
        <v>1732.55</v>
      </c>
      <c r="P19" s="3" t="str">
        <f t="shared" si="7"/>
        <v>0</v>
      </c>
      <c r="Q19" s="3">
        <f t="shared" si="8"/>
        <v>1723.88725</v>
      </c>
      <c r="R19" s="3" t="str">
        <f t="shared" si="9"/>
        <v>0</v>
      </c>
      <c r="S19" s="3">
        <f t="shared" si="10"/>
        <v>0</v>
      </c>
      <c r="T19" s="3" t="str">
        <f t="shared" si="11"/>
        <v>0</v>
      </c>
      <c r="U19" s="3"/>
      <c r="V19" s="3"/>
      <c r="W19" s="3"/>
      <c r="X19" s="3"/>
      <c r="Y19" s="3"/>
      <c r="Z19" s="3"/>
      <c r="AC19" s="75" t="str">
        <v>BULDOZER GOLD SHOP</v>
      </c>
    </row>
    <row r="20" spans="1:29" x14ac:dyDescent="0.25">
      <c r="A20" s="175">
        <v>46175</v>
      </c>
      <c r="B20" s="3" t="s">
        <v>170</v>
      </c>
      <c r="C20" s="169" t="s">
        <v>232</v>
      </c>
      <c r="D20" s="170">
        <v>541</v>
      </c>
      <c r="E20" s="173">
        <v>0.995</v>
      </c>
      <c r="F20" s="174">
        <f t="shared" si="18"/>
        <v>538.29499999999996</v>
      </c>
      <c r="G20" s="6">
        <f t="shared" si="15"/>
        <v>0</v>
      </c>
      <c r="H20" s="7"/>
      <c r="I20" s="158" t="str">
        <f t="shared" si="0"/>
        <v>0</v>
      </c>
      <c r="J20" s="3" t="str">
        <f t="shared" si="1"/>
        <v>0</v>
      </c>
      <c r="K20" s="3" t="str">
        <f t="shared" si="2"/>
        <v>0</v>
      </c>
      <c r="L20" s="3" t="str">
        <f t="shared" si="3"/>
        <v>0</v>
      </c>
      <c r="M20" s="3">
        <f t="shared" si="4"/>
        <v>0</v>
      </c>
      <c r="N20" s="3">
        <f t="shared" si="5"/>
        <v>0</v>
      </c>
      <c r="O20" s="3">
        <f t="shared" si="6"/>
        <v>541</v>
      </c>
      <c r="P20" s="3" t="str">
        <f t="shared" si="7"/>
        <v>0</v>
      </c>
      <c r="Q20" s="3">
        <f t="shared" si="8"/>
        <v>538.29499999999996</v>
      </c>
      <c r="R20" s="3" t="str">
        <f t="shared" si="9"/>
        <v>0</v>
      </c>
      <c r="S20" s="3">
        <f t="shared" si="10"/>
        <v>0</v>
      </c>
      <c r="T20" s="3" t="str">
        <f t="shared" si="11"/>
        <v>0</v>
      </c>
      <c r="U20" s="3"/>
      <c r="V20" s="3"/>
      <c r="W20" s="3"/>
      <c r="X20" s="3"/>
      <c r="Y20" s="3"/>
      <c r="Z20" s="3"/>
      <c r="AC20" s="75" t="str">
        <v>DHAMI GOLD SHOP</v>
      </c>
    </row>
    <row r="21" spans="1:29" x14ac:dyDescent="0.25">
      <c r="A21" s="175">
        <v>46175</v>
      </c>
      <c r="B21" s="3" t="s">
        <v>170</v>
      </c>
      <c r="C21" s="169" t="s">
        <v>228</v>
      </c>
      <c r="D21" s="170">
        <v>2000</v>
      </c>
      <c r="E21" s="173">
        <v>0.995</v>
      </c>
      <c r="F21" s="174">
        <f t="shared" si="18"/>
        <v>1990</v>
      </c>
      <c r="G21" s="6">
        <f t="shared" si="15"/>
        <v>0</v>
      </c>
      <c r="H21" s="7"/>
      <c r="I21" s="158" t="str">
        <f t="shared" si="0"/>
        <v>0</v>
      </c>
      <c r="J21" s="3" t="str">
        <f t="shared" si="1"/>
        <v>0</v>
      </c>
      <c r="K21" s="3" t="str">
        <f t="shared" si="2"/>
        <v>0</v>
      </c>
      <c r="L21" s="3" t="str">
        <f t="shared" si="3"/>
        <v>0</v>
      </c>
      <c r="M21" s="3">
        <f t="shared" si="4"/>
        <v>0</v>
      </c>
      <c r="N21" s="3">
        <f t="shared" si="5"/>
        <v>0</v>
      </c>
      <c r="O21" s="3">
        <f t="shared" si="6"/>
        <v>2000</v>
      </c>
      <c r="P21" s="3" t="str">
        <f t="shared" si="7"/>
        <v>0</v>
      </c>
      <c r="Q21" s="3">
        <f t="shared" si="8"/>
        <v>1990</v>
      </c>
      <c r="R21" s="3" t="str">
        <f t="shared" si="9"/>
        <v>0</v>
      </c>
      <c r="S21" s="3">
        <f t="shared" si="10"/>
        <v>0</v>
      </c>
      <c r="T21" s="3" t="str">
        <f t="shared" si="11"/>
        <v>0</v>
      </c>
      <c r="U21" s="3"/>
      <c r="V21" s="3"/>
      <c r="W21" s="3"/>
      <c r="X21" s="3"/>
      <c r="Y21" s="3"/>
      <c r="Z21" s="3"/>
      <c r="AC21" s="75" t="str">
        <v>RAHUL BABA GOLD HUB</v>
      </c>
    </row>
    <row r="22" spans="1:29" x14ac:dyDescent="0.25">
      <c r="A22" s="175">
        <v>46176</v>
      </c>
      <c r="B22" s="3" t="s">
        <v>169</v>
      </c>
      <c r="C22" s="3" t="s">
        <v>230</v>
      </c>
      <c r="D22" s="170">
        <v>9546</v>
      </c>
      <c r="E22" s="171">
        <v>0.88</v>
      </c>
      <c r="F22" s="172">
        <f>+D22*E22</f>
        <v>8400.48</v>
      </c>
      <c r="G22" s="172">
        <f>+H22/D22</f>
        <v>1.0581185836999789</v>
      </c>
      <c r="H22" s="176">
        <v>10100.799999999999</v>
      </c>
      <c r="I22" s="158">
        <f t="shared" si="0"/>
        <v>9546</v>
      </c>
      <c r="J22" s="3" t="str">
        <f t="shared" si="1"/>
        <v>0</v>
      </c>
      <c r="K22" s="3">
        <f t="shared" si="2"/>
        <v>8400.48</v>
      </c>
      <c r="L22" s="3" t="str">
        <f t="shared" si="3"/>
        <v>0</v>
      </c>
      <c r="M22" s="3">
        <f t="shared" si="4"/>
        <v>10605.84</v>
      </c>
      <c r="N22" s="3">
        <f t="shared" si="5"/>
        <v>0</v>
      </c>
      <c r="O22" s="3" t="str">
        <f t="shared" si="6"/>
        <v>0</v>
      </c>
      <c r="P22" s="3" t="str">
        <f t="shared" si="7"/>
        <v>0</v>
      </c>
      <c r="Q22" s="3" t="str">
        <f t="shared" si="8"/>
        <v>0</v>
      </c>
      <c r="R22" s="3" t="str">
        <f t="shared" si="9"/>
        <v>0</v>
      </c>
      <c r="S22" s="3">
        <f t="shared" si="10"/>
        <v>0</v>
      </c>
      <c r="T22" s="3" t="str">
        <f t="shared" si="11"/>
        <v>0</v>
      </c>
      <c r="U22" s="3"/>
      <c r="V22" s="3"/>
      <c r="W22" s="3"/>
      <c r="X22" s="3"/>
      <c r="Y22" s="3"/>
      <c r="Z22" s="3"/>
      <c r="AC22" s="75" t="str">
        <v>SONIYA JI GOLD HOUSE</v>
      </c>
    </row>
    <row r="23" spans="1:29" x14ac:dyDescent="0.25">
      <c r="A23" s="175">
        <v>46176</v>
      </c>
      <c r="B23" s="3" t="s">
        <v>169</v>
      </c>
      <c r="C23" s="3" t="s">
        <v>235</v>
      </c>
      <c r="D23" s="170">
        <v>1511.15</v>
      </c>
      <c r="E23" s="171">
        <v>0.88</v>
      </c>
      <c r="F23" s="172">
        <f t="shared" ref="F23:F27" si="19">+D23*E23</f>
        <v>1329.8120000000001</v>
      </c>
      <c r="G23" s="172">
        <f t="shared" ref="G23:G27" si="20">+H23/D23</f>
        <v>11.613684941931641</v>
      </c>
      <c r="H23" s="176">
        <f>15845.38+1704.64</f>
        <v>17550.02</v>
      </c>
      <c r="I23" s="158">
        <f t="shared" si="0"/>
        <v>1511.15</v>
      </c>
      <c r="J23" s="3" t="str">
        <f t="shared" si="1"/>
        <v>0</v>
      </c>
      <c r="K23" s="3">
        <f t="shared" si="2"/>
        <v>1329.8120000000001</v>
      </c>
      <c r="L23" s="3" t="str">
        <f t="shared" si="3"/>
        <v>0</v>
      </c>
      <c r="M23" s="3">
        <f t="shared" si="4"/>
        <v>18427.521000000001</v>
      </c>
      <c r="N23" s="3">
        <f t="shared" si="5"/>
        <v>0</v>
      </c>
      <c r="O23" s="3" t="str">
        <f t="shared" si="6"/>
        <v>0</v>
      </c>
      <c r="P23" s="3" t="str">
        <f t="shared" si="7"/>
        <v>0</v>
      </c>
      <c r="Q23" s="3" t="str">
        <f t="shared" si="8"/>
        <v>0</v>
      </c>
      <c r="R23" s="3" t="str">
        <f t="shared" si="9"/>
        <v>0</v>
      </c>
      <c r="S23" s="3">
        <f t="shared" si="10"/>
        <v>0</v>
      </c>
      <c r="T23" s="3" t="str">
        <f t="shared" si="11"/>
        <v>0</v>
      </c>
      <c r="U23" s="3"/>
      <c r="V23" s="3"/>
      <c r="W23" s="3"/>
      <c r="X23" s="3"/>
      <c r="Y23" s="3"/>
      <c r="Z23" s="3"/>
      <c r="AC23" s="75" t="str">
        <v>PANNE  LAL GOLD SHOP</v>
      </c>
    </row>
    <row r="24" spans="1:29" x14ac:dyDescent="0.25">
      <c r="A24" s="175">
        <v>46176</v>
      </c>
      <c r="B24" s="3" t="s">
        <v>169</v>
      </c>
      <c r="C24" s="169" t="s">
        <v>227</v>
      </c>
      <c r="D24" s="170">
        <v>852</v>
      </c>
      <c r="E24" s="171">
        <v>0.88</v>
      </c>
      <c r="F24" s="172">
        <f t="shared" si="19"/>
        <v>749.76</v>
      </c>
      <c r="G24" s="172">
        <f t="shared" si="20"/>
        <v>3.5647887323943661</v>
      </c>
      <c r="H24" s="176">
        <v>3037.2</v>
      </c>
      <c r="I24" s="158">
        <f t="shared" si="0"/>
        <v>852</v>
      </c>
      <c r="J24" s="3" t="str">
        <f t="shared" si="1"/>
        <v>0</v>
      </c>
      <c r="K24" s="3">
        <f t="shared" si="2"/>
        <v>749.76</v>
      </c>
      <c r="L24" s="3" t="str">
        <f t="shared" si="3"/>
        <v>0</v>
      </c>
      <c r="M24" s="3">
        <f t="shared" si="4"/>
        <v>3189.06</v>
      </c>
      <c r="N24" s="3">
        <f t="shared" si="5"/>
        <v>0</v>
      </c>
      <c r="O24" s="3" t="str">
        <f t="shared" si="6"/>
        <v>0</v>
      </c>
      <c r="P24" s="3" t="str">
        <f t="shared" si="7"/>
        <v>0</v>
      </c>
      <c r="Q24" s="3" t="str">
        <f t="shared" si="8"/>
        <v>0</v>
      </c>
      <c r="R24" s="3" t="str">
        <f t="shared" si="9"/>
        <v>0</v>
      </c>
      <c r="S24" s="3">
        <f t="shared" si="10"/>
        <v>0</v>
      </c>
      <c r="T24" s="3" t="str">
        <f t="shared" si="11"/>
        <v>0</v>
      </c>
      <c r="U24" s="3"/>
      <c r="V24" s="3"/>
      <c r="W24" s="3"/>
      <c r="X24" s="3"/>
      <c r="Y24" s="3"/>
      <c r="Z24" s="3"/>
      <c r="AC24" s="75" t="str">
        <v>YOGI JI PURE GOLD SHOP</v>
      </c>
    </row>
    <row r="25" spans="1:29" x14ac:dyDescent="0.25">
      <c r="A25" s="175">
        <v>46176</v>
      </c>
      <c r="B25" s="3" t="s">
        <v>169</v>
      </c>
      <c r="C25" s="169" t="s">
        <v>236</v>
      </c>
      <c r="D25" s="170">
        <v>1341.7</v>
      </c>
      <c r="E25" s="171">
        <v>0.92</v>
      </c>
      <c r="F25" s="172">
        <f t="shared" si="19"/>
        <v>1234.364</v>
      </c>
      <c r="G25" s="172">
        <f t="shared" si="20"/>
        <v>4</v>
      </c>
      <c r="H25" s="176">
        <v>5366.8</v>
      </c>
      <c r="I25" s="158">
        <f t="shared" si="0"/>
        <v>1341.7</v>
      </c>
      <c r="J25" s="3" t="str">
        <f t="shared" si="1"/>
        <v>0</v>
      </c>
      <c r="K25" s="3">
        <f t="shared" si="2"/>
        <v>1234.364</v>
      </c>
      <c r="L25" s="3" t="str">
        <f t="shared" si="3"/>
        <v>0</v>
      </c>
      <c r="M25" s="3">
        <f t="shared" si="4"/>
        <v>5635.14</v>
      </c>
      <c r="N25" s="3">
        <f t="shared" si="5"/>
        <v>0</v>
      </c>
      <c r="O25" s="3" t="str">
        <f t="shared" si="6"/>
        <v>0</v>
      </c>
      <c r="P25" s="3" t="str">
        <f t="shared" si="7"/>
        <v>0</v>
      </c>
      <c r="Q25" s="3" t="str">
        <f t="shared" si="8"/>
        <v>0</v>
      </c>
      <c r="R25" s="3" t="str">
        <f t="shared" si="9"/>
        <v>0</v>
      </c>
      <c r="S25" s="3">
        <f t="shared" si="10"/>
        <v>0</v>
      </c>
      <c r="T25" s="3" t="str">
        <f t="shared" si="11"/>
        <v>0</v>
      </c>
      <c r="U25" s="3"/>
      <c r="V25" s="3"/>
      <c r="W25" s="3"/>
      <c r="X25" s="3"/>
      <c r="Y25" s="3"/>
      <c r="Z25" s="3"/>
      <c r="AC25" s="75" t="str">
        <v>OM NATH JEWELLERY LLC</v>
      </c>
    </row>
    <row r="26" spans="1:29" x14ac:dyDescent="0.25">
      <c r="A26" s="175">
        <v>46176</v>
      </c>
      <c r="B26" s="3" t="s">
        <v>169</v>
      </c>
      <c r="C26" s="169" t="s">
        <v>237</v>
      </c>
      <c r="D26" s="170">
        <v>1323.9</v>
      </c>
      <c r="E26" s="171">
        <v>0.88</v>
      </c>
      <c r="F26" s="172">
        <f t="shared" si="19"/>
        <v>1165.0320000000002</v>
      </c>
      <c r="G26" s="172">
        <f t="shared" si="20"/>
        <v>6.5791978246091096</v>
      </c>
      <c r="H26" s="176">
        <v>8710.2000000000007</v>
      </c>
      <c r="I26" s="158">
        <f t="shared" si="0"/>
        <v>1323.9</v>
      </c>
      <c r="J26" s="3" t="str">
        <f t="shared" si="1"/>
        <v>0</v>
      </c>
      <c r="K26" s="3">
        <f t="shared" si="2"/>
        <v>1165.0320000000002</v>
      </c>
      <c r="L26" s="3" t="str">
        <f t="shared" si="3"/>
        <v>0</v>
      </c>
      <c r="M26" s="3">
        <f t="shared" si="4"/>
        <v>9145.7100000000009</v>
      </c>
      <c r="N26" s="3">
        <f t="shared" si="5"/>
        <v>0</v>
      </c>
      <c r="O26" s="3" t="str">
        <f t="shared" si="6"/>
        <v>0</v>
      </c>
      <c r="P26" s="3" t="str">
        <f t="shared" si="7"/>
        <v>0</v>
      </c>
      <c r="Q26" s="3" t="str">
        <f t="shared" si="8"/>
        <v>0</v>
      </c>
      <c r="R26" s="3" t="str">
        <f t="shared" si="9"/>
        <v>0</v>
      </c>
      <c r="S26" s="3">
        <f t="shared" si="10"/>
        <v>0</v>
      </c>
      <c r="T26" s="3" t="str">
        <f t="shared" si="11"/>
        <v>0</v>
      </c>
      <c r="U26" s="3"/>
      <c r="V26" s="3"/>
      <c r="W26" s="3"/>
      <c r="X26" s="3"/>
      <c r="Y26" s="3"/>
      <c r="Z26" s="3"/>
      <c r="AC26">
        <v>0</v>
      </c>
    </row>
    <row r="27" spans="1:29" x14ac:dyDescent="0.25">
      <c r="A27" s="175">
        <v>46176</v>
      </c>
      <c r="B27" s="3" t="s">
        <v>169</v>
      </c>
      <c r="C27" s="169" t="s">
        <v>238</v>
      </c>
      <c r="D27" s="170">
        <v>848.54</v>
      </c>
      <c r="E27" s="171">
        <v>0.88</v>
      </c>
      <c r="F27" s="172">
        <f t="shared" si="19"/>
        <v>746.71519999999998</v>
      </c>
      <c r="G27" s="172">
        <f t="shared" si="20"/>
        <v>11.228191953237326</v>
      </c>
      <c r="H27" s="176">
        <v>9527.57</v>
      </c>
      <c r="I27" s="158">
        <f t="shared" si="0"/>
        <v>848.54</v>
      </c>
      <c r="J27" s="3" t="str">
        <f t="shared" si="1"/>
        <v>0</v>
      </c>
      <c r="K27" s="3">
        <f t="shared" si="2"/>
        <v>746.71519999999998</v>
      </c>
      <c r="L27" s="3" t="str">
        <f t="shared" si="3"/>
        <v>0</v>
      </c>
      <c r="M27" s="3">
        <f t="shared" si="4"/>
        <v>10003.9485</v>
      </c>
      <c r="N27" s="3">
        <f t="shared" si="5"/>
        <v>0</v>
      </c>
      <c r="O27" s="3" t="str">
        <f t="shared" si="6"/>
        <v>0</v>
      </c>
      <c r="P27" s="3" t="str">
        <f t="shared" si="7"/>
        <v>0</v>
      </c>
      <c r="Q27" s="3" t="str">
        <f t="shared" si="8"/>
        <v>0</v>
      </c>
      <c r="R27" s="3" t="str">
        <f t="shared" si="9"/>
        <v>0</v>
      </c>
      <c r="S27" s="3">
        <f t="shared" si="10"/>
        <v>0</v>
      </c>
      <c r="T27" s="3" t="str">
        <f t="shared" si="11"/>
        <v>0</v>
      </c>
      <c r="U27" s="3"/>
      <c r="V27" s="3"/>
      <c r="W27" s="3"/>
      <c r="X27" s="3"/>
      <c r="Y27" s="3"/>
      <c r="Z27" s="3"/>
      <c r="AC27" s="75" t="str">
        <v>TINNU YADAV GOLD SHOP</v>
      </c>
    </row>
    <row r="28" spans="1:29" x14ac:dyDescent="0.25">
      <c r="A28" s="175">
        <v>46176</v>
      </c>
      <c r="B28" s="3" t="s">
        <v>170</v>
      </c>
      <c r="C28" s="3" t="s">
        <v>230</v>
      </c>
      <c r="D28" s="170">
        <v>59</v>
      </c>
      <c r="E28" s="173">
        <v>0.995</v>
      </c>
      <c r="F28" s="174">
        <f t="shared" ref="F28:F35" si="21">D28*E28</f>
        <v>58.704999999999998</v>
      </c>
      <c r="G28" s="6">
        <f t="shared" si="15"/>
        <v>0</v>
      </c>
      <c r="H28" s="7"/>
      <c r="I28" s="158" t="str">
        <f t="shared" si="0"/>
        <v>0</v>
      </c>
      <c r="J28" s="3" t="str">
        <f t="shared" si="1"/>
        <v>0</v>
      </c>
      <c r="K28" s="3" t="str">
        <f t="shared" si="2"/>
        <v>0</v>
      </c>
      <c r="L28" s="3" t="str">
        <f t="shared" si="3"/>
        <v>0</v>
      </c>
      <c r="M28" s="3">
        <f t="shared" si="4"/>
        <v>0</v>
      </c>
      <c r="N28" s="3">
        <f t="shared" si="5"/>
        <v>0</v>
      </c>
      <c r="O28" s="3">
        <f t="shared" si="6"/>
        <v>59</v>
      </c>
      <c r="P28" s="3" t="str">
        <f t="shared" si="7"/>
        <v>0</v>
      </c>
      <c r="Q28" s="3">
        <f t="shared" si="8"/>
        <v>58.704999999999998</v>
      </c>
      <c r="R28" s="3" t="str">
        <f t="shared" si="9"/>
        <v>0</v>
      </c>
      <c r="S28" s="3">
        <f t="shared" si="10"/>
        <v>0</v>
      </c>
      <c r="T28" s="3" t="str">
        <f t="shared" si="11"/>
        <v>0</v>
      </c>
      <c r="U28" s="3"/>
      <c r="V28" s="3"/>
      <c r="W28" s="3"/>
      <c r="X28" s="3"/>
      <c r="Y28" s="3"/>
      <c r="Z28" s="3"/>
      <c r="AC28" s="75" t="str">
        <v>ALI ABBAS GOLD SHOP</v>
      </c>
    </row>
    <row r="29" spans="1:29" x14ac:dyDescent="0.25">
      <c r="A29" s="175">
        <v>46176</v>
      </c>
      <c r="B29" s="3" t="s">
        <v>170</v>
      </c>
      <c r="C29" s="169" t="s">
        <v>229</v>
      </c>
      <c r="D29" s="170">
        <v>1000</v>
      </c>
      <c r="E29" s="173">
        <v>0.995</v>
      </c>
      <c r="F29" s="174">
        <f t="shared" si="21"/>
        <v>995</v>
      </c>
      <c r="G29" s="6">
        <f t="shared" si="15"/>
        <v>0</v>
      </c>
      <c r="H29" s="7"/>
      <c r="I29" s="158" t="str">
        <f t="shared" si="0"/>
        <v>0</v>
      </c>
      <c r="J29" s="3" t="str">
        <f t="shared" si="1"/>
        <v>0</v>
      </c>
      <c r="K29" s="3" t="str">
        <f t="shared" si="2"/>
        <v>0</v>
      </c>
      <c r="L29" s="3" t="str">
        <f t="shared" si="3"/>
        <v>0</v>
      </c>
      <c r="M29" s="3">
        <f t="shared" si="4"/>
        <v>0</v>
      </c>
      <c r="N29" s="3">
        <f t="shared" si="5"/>
        <v>0</v>
      </c>
      <c r="O29" s="3">
        <f t="shared" si="6"/>
        <v>1000</v>
      </c>
      <c r="P29" s="3" t="str">
        <f t="shared" si="7"/>
        <v>0</v>
      </c>
      <c r="Q29" s="3">
        <f t="shared" si="8"/>
        <v>995</v>
      </c>
      <c r="R29" s="3" t="str">
        <f t="shared" si="9"/>
        <v>0</v>
      </c>
      <c r="S29" s="3">
        <f t="shared" si="10"/>
        <v>0</v>
      </c>
      <c r="T29" s="3" t="str">
        <f t="shared" si="11"/>
        <v>0</v>
      </c>
      <c r="U29" s="3"/>
      <c r="V29" s="3"/>
      <c r="W29" s="3"/>
      <c r="X29" s="3"/>
      <c r="Y29" s="3"/>
      <c r="Z29" s="3"/>
      <c r="AC29" s="75" t="str">
        <v>OSAMA BIN LADEN GOLD SHOP</v>
      </c>
    </row>
    <row r="30" spans="1:29" x14ac:dyDescent="0.25">
      <c r="A30" s="175">
        <v>46176</v>
      </c>
      <c r="B30" s="3" t="s">
        <v>170</v>
      </c>
      <c r="C30" s="169" t="s">
        <v>238</v>
      </c>
      <c r="D30" s="170">
        <v>1000</v>
      </c>
      <c r="E30" s="173">
        <v>0.995</v>
      </c>
      <c r="F30" s="174">
        <f t="shared" si="21"/>
        <v>995</v>
      </c>
      <c r="G30" s="6">
        <f t="shared" si="15"/>
        <v>0</v>
      </c>
      <c r="H30" s="7"/>
      <c r="I30" s="158" t="str">
        <f t="shared" si="0"/>
        <v>0</v>
      </c>
      <c r="J30" s="3" t="str">
        <f t="shared" si="1"/>
        <v>0</v>
      </c>
      <c r="K30" s="3" t="str">
        <f t="shared" si="2"/>
        <v>0</v>
      </c>
      <c r="L30" s="3" t="str">
        <f t="shared" si="3"/>
        <v>0</v>
      </c>
      <c r="M30" s="3">
        <f t="shared" si="4"/>
        <v>0</v>
      </c>
      <c r="N30" s="3">
        <f t="shared" si="5"/>
        <v>0</v>
      </c>
      <c r="O30" s="3">
        <f t="shared" si="6"/>
        <v>1000</v>
      </c>
      <c r="P30" s="3" t="str">
        <f t="shared" si="7"/>
        <v>0</v>
      </c>
      <c r="Q30" s="3">
        <f t="shared" si="8"/>
        <v>995</v>
      </c>
      <c r="R30" s="3" t="str">
        <f t="shared" si="9"/>
        <v>0</v>
      </c>
      <c r="S30" s="3">
        <f t="shared" si="10"/>
        <v>0</v>
      </c>
      <c r="T30" s="3" t="str">
        <f t="shared" si="11"/>
        <v>0</v>
      </c>
      <c r="U30" s="3"/>
      <c r="V30" s="3"/>
      <c r="W30" s="3"/>
      <c r="X30" s="3"/>
      <c r="Y30" s="3"/>
      <c r="Z30" s="3"/>
      <c r="AC30" s="75" t="str">
        <v>ABU BAKAR AL BAGDADI GOLD</v>
      </c>
    </row>
    <row r="31" spans="1:29" x14ac:dyDescent="0.25">
      <c r="A31" s="175">
        <v>46176</v>
      </c>
      <c r="B31" s="3" t="s">
        <v>170</v>
      </c>
      <c r="C31" s="169" t="s">
        <v>236</v>
      </c>
      <c r="D31" s="170">
        <v>1000</v>
      </c>
      <c r="E31" s="173">
        <v>1</v>
      </c>
      <c r="F31" s="174">
        <f t="shared" si="21"/>
        <v>1000</v>
      </c>
      <c r="G31" s="6">
        <f t="shared" si="15"/>
        <v>0</v>
      </c>
      <c r="H31" s="7"/>
      <c r="I31" s="158" t="str">
        <f t="shared" si="0"/>
        <v>0</v>
      </c>
      <c r="J31" s="3" t="str">
        <f t="shared" si="1"/>
        <v>0</v>
      </c>
      <c r="K31" s="3" t="str">
        <f t="shared" si="2"/>
        <v>0</v>
      </c>
      <c r="L31" s="3" t="str">
        <f t="shared" si="3"/>
        <v>0</v>
      </c>
      <c r="M31" s="3">
        <f t="shared" si="4"/>
        <v>0</v>
      </c>
      <c r="N31" s="3">
        <f t="shared" si="5"/>
        <v>0</v>
      </c>
      <c r="O31" s="3">
        <f t="shared" si="6"/>
        <v>1000</v>
      </c>
      <c r="P31" s="3" t="str">
        <f t="shared" si="7"/>
        <v>0</v>
      </c>
      <c r="Q31" s="3">
        <f t="shared" si="8"/>
        <v>1000</v>
      </c>
      <c r="R31" s="3" t="str">
        <f t="shared" si="9"/>
        <v>0</v>
      </c>
      <c r="S31" s="3">
        <f t="shared" si="10"/>
        <v>0</v>
      </c>
      <c r="T31" s="3" t="str">
        <f t="shared" si="11"/>
        <v>0</v>
      </c>
      <c r="U31" s="3"/>
      <c r="V31" s="3"/>
      <c r="W31" s="3"/>
      <c r="X31" s="3"/>
      <c r="Y31" s="3"/>
      <c r="Z31" s="3"/>
    </row>
    <row r="32" spans="1:29" x14ac:dyDescent="0.25">
      <c r="A32" s="175">
        <v>46176</v>
      </c>
      <c r="B32" s="3" t="s">
        <v>170</v>
      </c>
      <c r="C32" s="169" t="s">
        <v>236</v>
      </c>
      <c r="D32" s="170">
        <v>235.54</v>
      </c>
      <c r="E32" s="173">
        <v>0.995</v>
      </c>
      <c r="F32" s="174">
        <f t="shared" si="21"/>
        <v>234.3623</v>
      </c>
      <c r="G32" s="6">
        <f t="shared" si="15"/>
        <v>0</v>
      </c>
      <c r="H32" s="7"/>
      <c r="I32" s="158" t="str">
        <f t="shared" si="0"/>
        <v>0</v>
      </c>
      <c r="J32" s="3" t="str">
        <f t="shared" si="1"/>
        <v>0</v>
      </c>
      <c r="K32" s="3" t="str">
        <f t="shared" si="2"/>
        <v>0</v>
      </c>
      <c r="L32" s="3" t="str">
        <f t="shared" si="3"/>
        <v>0</v>
      </c>
      <c r="M32" s="3">
        <f t="shared" si="4"/>
        <v>0</v>
      </c>
      <c r="N32" s="3">
        <f t="shared" si="5"/>
        <v>0</v>
      </c>
      <c r="O32" s="3">
        <f t="shared" si="6"/>
        <v>235.54</v>
      </c>
      <c r="P32" s="3" t="str">
        <f t="shared" si="7"/>
        <v>0</v>
      </c>
      <c r="Q32" s="3">
        <f t="shared" si="8"/>
        <v>234.3623</v>
      </c>
      <c r="R32" s="3" t="str">
        <f t="shared" si="9"/>
        <v>0</v>
      </c>
      <c r="S32" s="3">
        <f t="shared" si="10"/>
        <v>0</v>
      </c>
      <c r="T32" s="3" t="str">
        <f t="shared" si="11"/>
        <v>0</v>
      </c>
      <c r="U32" s="3"/>
      <c r="V32" s="3"/>
      <c r="W32" s="3"/>
      <c r="X32" s="3"/>
      <c r="Y32" s="3"/>
      <c r="Z32" s="3"/>
    </row>
    <row r="33" spans="1:26" x14ac:dyDescent="0.25">
      <c r="A33" s="175">
        <v>46176</v>
      </c>
      <c r="B33" s="3" t="s">
        <v>170</v>
      </c>
      <c r="C33" s="169" t="s">
        <v>228</v>
      </c>
      <c r="D33" s="170">
        <v>1000</v>
      </c>
      <c r="E33" s="173">
        <v>0.995</v>
      </c>
      <c r="F33" s="174">
        <f t="shared" si="21"/>
        <v>995</v>
      </c>
      <c r="G33" s="6">
        <f t="shared" si="15"/>
        <v>0</v>
      </c>
      <c r="H33" s="7"/>
      <c r="I33" s="158" t="str">
        <f t="shared" si="0"/>
        <v>0</v>
      </c>
      <c r="J33" s="3" t="str">
        <f t="shared" si="1"/>
        <v>0</v>
      </c>
      <c r="K33" s="3" t="str">
        <f t="shared" si="2"/>
        <v>0</v>
      </c>
      <c r="L33" s="3" t="str">
        <f t="shared" si="3"/>
        <v>0</v>
      </c>
      <c r="M33" s="3">
        <f t="shared" si="4"/>
        <v>0</v>
      </c>
      <c r="N33" s="3">
        <f t="shared" si="5"/>
        <v>0</v>
      </c>
      <c r="O33" s="3">
        <f t="shared" si="6"/>
        <v>1000</v>
      </c>
      <c r="P33" s="3" t="str">
        <f t="shared" si="7"/>
        <v>0</v>
      </c>
      <c r="Q33" s="3">
        <f t="shared" si="8"/>
        <v>995</v>
      </c>
      <c r="R33" s="3" t="str">
        <f t="shared" si="9"/>
        <v>0</v>
      </c>
      <c r="S33" s="3">
        <f t="shared" si="10"/>
        <v>0</v>
      </c>
      <c r="T33" s="3" t="str">
        <f t="shared" si="11"/>
        <v>0</v>
      </c>
      <c r="U33" s="3"/>
      <c r="V33" s="3"/>
      <c r="W33" s="3"/>
      <c r="X33" s="3"/>
      <c r="Y33" s="3"/>
      <c r="Z33" s="3"/>
    </row>
    <row r="34" spans="1:26" x14ac:dyDescent="0.25">
      <c r="A34" s="175">
        <v>46176</v>
      </c>
      <c r="B34" s="3" t="s">
        <v>170</v>
      </c>
      <c r="C34" s="169" t="s">
        <v>232</v>
      </c>
      <c r="D34" s="170">
        <v>640.6</v>
      </c>
      <c r="E34" s="173">
        <v>0.995</v>
      </c>
      <c r="F34" s="174">
        <f t="shared" si="21"/>
        <v>637.39700000000005</v>
      </c>
      <c r="G34" s="6">
        <f t="shared" si="15"/>
        <v>0</v>
      </c>
      <c r="H34" s="7"/>
      <c r="I34" s="158" t="str">
        <f t="shared" si="0"/>
        <v>0</v>
      </c>
      <c r="J34" s="3" t="str">
        <f t="shared" si="1"/>
        <v>0</v>
      </c>
      <c r="K34" s="3" t="str">
        <f t="shared" si="2"/>
        <v>0</v>
      </c>
      <c r="L34" s="3" t="str">
        <f t="shared" si="3"/>
        <v>0</v>
      </c>
      <c r="M34" s="3">
        <f t="shared" si="4"/>
        <v>0</v>
      </c>
      <c r="N34" s="3">
        <f t="shared" si="5"/>
        <v>0</v>
      </c>
      <c r="O34" s="3">
        <f t="shared" si="6"/>
        <v>640.6</v>
      </c>
      <c r="P34" s="3" t="str">
        <f t="shared" si="7"/>
        <v>0</v>
      </c>
      <c r="Q34" s="3">
        <f t="shared" si="8"/>
        <v>637.39700000000005</v>
      </c>
      <c r="R34" s="3" t="str">
        <f t="shared" si="9"/>
        <v>0</v>
      </c>
      <c r="S34" s="3">
        <f t="shared" si="10"/>
        <v>0</v>
      </c>
      <c r="T34" s="3" t="str">
        <f t="shared" si="11"/>
        <v>0</v>
      </c>
      <c r="U34" s="3"/>
      <c r="V34" s="3"/>
      <c r="W34" s="3"/>
      <c r="X34" s="3"/>
      <c r="Y34" s="3"/>
      <c r="Z34" s="3"/>
    </row>
    <row r="35" spans="1:26" x14ac:dyDescent="0.25">
      <c r="A35" s="175">
        <v>46176</v>
      </c>
      <c r="B35" s="3" t="s">
        <v>170</v>
      </c>
      <c r="C35" s="169" t="s">
        <v>237</v>
      </c>
      <c r="D35" s="170">
        <v>1170.9000000000001</v>
      </c>
      <c r="E35" s="173">
        <v>0.995</v>
      </c>
      <c r="F35" s="174">
        <f t="shared" si="21"/>
        <v>1165.0455000000002</v>
      </c>
      <c r="G35" s="6">
        <f t="shared" si="15"/>
        <v>0</v>
      </c>
      <c r="H35" s="7"/>
      <c r="I35" s="158" t="str">
        <f t="shared" si="0"/>
        <v>0</v>
      </c>
      <c r="J35" s="3" t="str">
        <f t="shared" si="1"/>
        <v>0</v>
      </c>
      <c r="K35" s="3" t="str">
        <f t="shared" si="2"/>
        <v>0</v>
      </c>
      <c r="L35" s="3" t="str">
        <f t="shared" si="3"/>
        <v>0</v>
      </c>
      <c r="M35" s="3">
        <f t="shared" si="4"/>
        <v>0</v>
      </c>
      <c r="N35" s="3">
        <f t="shared" si="5"/>
        <v>0</v>
      </c>
      <c r="O35" s="3">
        <f t="shared" si="6"/>
        <v>1170.9000000000001</v>
      </c>
      <c r="P35" s="3" t="str">
        <f t="shared" si="7"/>
        <v>0</v>
      </c>
      <c r="Q35" s="3">
        <f t="shared" si="8"/>
        <v>1165.0455000000002</v>
      </c>
      <c r="R35" s="3" t="str">
        <f t="shared" si="9"/>
        <v>0</v>
      </c>
      <c r="S35" s="3">
        <f t="shared" si="10"/>
        <v>0</v>
      </c>
      <c r="T35" s="3" t="str">
        <f t="shared" si="11"/>
        <v>0</v>
      </c>
      <c r="U35" s="3"/>
      <c r="V35" s="3"/>
      <c r="W35" s="3"/>
      <c r="X35" s="3"/>
      <c r="Y35" s="3"/>
      <c r="Z35" s="3"/>
    </row>
    <row r="36" spans="1:26" x14ac:dyDescent="0.25">
      <c r="A36" s="175">
        <v>46176</v>
      </c>
      <c r="B36" s="3" t="s">
        <v>209</v>
      </c>
      <c r="C36" s="169" t="s">
        <v>239</v>
      </c>
      <c r="D36" s="170">
        <v>58</v>
      </c>
      <c r="E36" s="173">
        <v>0.995</v>
      </c>
      <c r="F36" s="174">
        <f>+D36*E36</f>
        <v>57.71</v>
      </c>
      <c r="G36" s="6">
        <f t="shared" si="15"/>
        <v>0</v>
      </c>
      <c r="H36" s="7"/>
      <c r="I36" s="158" t="str">
        <f t="shared" si="0"/>
        <v>0</v>
      </c>
      <c r="J36" s="3" t="str">
        <f t="shared" si="1"/>
        <v>0</v>
      </c>
      <c r="K36" s="3" t="str">
        <f t="shared" si="2"/>
        <v>0</v>
      </c>
      <c r="L36" s="3" t="str">
        <f t="shared" si="3"/>
        <v>0</v>
      </c>
      <c r="M36" s="3">
        <f t="shared" si="4"/>
        <v>0</v>
      </c>
      <c r="N36" s="3">
        <f t="shared" si="5"/>
        <v>0</v>
      </c>
      <c r="O36" s="3" t="str">
        <f t="shared" si="6"/>
        <v>0</v>
      </c>
      <c r="P36" s="3">
        <f t="shared" si="7"/>
        <v>58</v>
      </c>
      <c r="Q36" s="3" t="str">
        <f t="shared" si="8"/>
        <v>0</v>
      </c>
      <c r="R36" s="3">
        <f t="shared" si="9"/>
        <v>57.71</v>
      </c>
      <c r="S36" s="3">
        <f t="shared" si="10"/>
        <v>0</v>
      </c>
      <c r="T36" s="3">
        <f t="shared" si="11"/>
        <v>0</v>
      </c>
      <c r="U36" s="3"/>
      <c r="V36" s="3"/>
      <c r="W36" s="3"/>
      <c r="X36" s="3"/>
      <c r="Y36" s="3"/>
      <c r="Z36" s="3"/>
    </row>
    <row r="37" spans="1:26" x14ac:dyDescent="0.25">
      <c r="A37" s="175">
        <v>46176</v>
      </c>
      <c r="B37" s="3" t="s">
        <v>210</v>
      </c>
      <c r="C37" s="169" t="s">
        <v>228</v>
      </c>
      <c r="D37" s="4"/>
      <c r="E37" s="5"/>
      <c r="F37" s="6">
        <f t="shared" ref="F37:F49" si="22">+D37*E37</f>
        <v>0</v>
      </c>
      <c r="G37" s="6" t="e">
        <f t="shared" si="15"/>
        <v>#DIV/0!</v>
      </c>
      <c r="H37" s="7"/>
      <c r="I37" s="3" t="str">
        <f t="shared" si="0"/>
        <v>0</v>
      </c>
      <c r="J37" s="3" t="str">
        <f t="shared" si="1"/>
        <v>0</v>
      </c>
      <c r="K37" s="3" t="str">
        <f t="shared" si="2"/>
        <v>0</v>
      </c>
      <c r="L37" s="3" t="str">
        <f t="shared" si="3"/>
        <v>0</v>
      </c>
      <c r="M37" s="3">
        <f t="shared" si="4"/>
        <v>0</v>
      </c>
      <c r="N37" s="3">
        <f t="shared" si="5"/>
        <v>0</v>
      </c>
      <c r="O37" s="3" t="str">
        <f t="shared" si="6"/>
        <v>0</v>
      </c>
      <c r="P37" s="3" t="str">
        <f t="shared" si="7"/>
        <v>0</v>
      </c>
      <c r="Q37" s="3" t="str">
        <f t="shared" si="8"/>
        <v>0</v>
      </c>
      <c r="R37" s="3" t="str">
        <f t="shared" si="9"/>
        <v>0</v>
      </c>
      <c r="S37" s="3">
        <f t="shared" si="10"/>
        <v>0</v>
      </c>
      <c r="T37" s="3" t="str">
        <f t="shared" si="11"/>
        <v>0</v>
      </c>
      <c r="U37" s="3">
        <v>150000</v>
      </c>
      <c r="V37" s="3"/>
      <c r="W37" s="3"/>
      <c r="X37" s="3"/>
      <c r="Y37" s="3"/>
      <c r="Z37" s="3"/>
    </row>
    <row r="38" spans="1:26" x14ac:dyDescent="0.25">
      <c r="A38" s="175">
        <v>46176</v>
      </c>
      <c r="B38" s="3" t="s">
        <v>210</v>
      </c>
      <c r="C38" s="169" t="s">
        <v>236</v>
      </c>
      <c r="D38" s="4"/>
      <c r="E38" s="5"/>
      <c r="F38" s="6">
        <f t="shared" si="22"/>
        <v>0</v>
      </c>
      <c r="G38" s="6" t="e">
        <f t="shared" si="15"/>
        <v>#DIV/0!</v>
      </c>
      <c r="H38" s="7"/>
      <c r="I38" s="3" t="str">
        <f t="shared" si="0"/>
        <v>0</v>
      </c>
      <c r="J38" s="3" t="str">
        <f t="shared" si="1"/>
        <v>0</v>
      </c>
      <c r="K38" s="3" t="str">
        <f t="shared" si="2"/>
        <v>0</v>
      </c>
      <c r="L38" s="3" t="str">
        <f t="shared" si="3"/>
        <v>0</v>
      </c>
      <c r="M38" s="3">
        <f t="shared" si="4"/>
        <v>0</v>
      </c>
      <c r="N38" s="3">
        <f t="shared" si="5"/>
        <v>0</v>
      </c>
      <c r="O38" s="3" t="str">
        <f t="shared" si="6"/>
        <v>0</v>
      </c>
      <c r="P38" s="3" t="str">
        <f t="shared" si="7"/>
        <v>0</v>
      </c>
      <c r="Q38" s="3" t="str">
        <f t="shared" si="8"/>
        <v>0</v>
      </c>
      <c r="R38" s="3" t="str">
        <f t="shared" si="9"/>
        <v>0</v>
      </c>
      <c r="S38" s="3">
        <f t="shared" si="10"/>
        <v>0</v>
      </c>
      <c r="T38" s="3" t="str">
        <f t="shared" si="11"/>
        <v>0</v>
      </c>
      <c r="U38" s="3">
        <v>5635</v>
      </c>
      <c r="V38" s="3"/>
      <c r="W38" s="3"/>
      <c r="X38" s="3"/>
      <c r="Y38" s="3"/>
      <c r="Z38" s="3"/>
    </row>
    <row r="39" spans="1:26" x14ac:dyDescent="0.25">
      <c r="A39" s="175">
        <v>46177</v>
      </c>
      <c r="B39" s="3" t="s">
        <v>169</v>
      </c>
      <c r="C39" s="3" t="s">
        <v>230</v>
      </c>
      <c r="D39" s="170">
        <v>177.5</v>
      </c>
      <c r="E39" s="171">
        <v>0.88</v>
      </c>
      <c r="F39" s="172">
        <f>+D39*E39</f>
        <v>156.19999999999999</v>
      </c>
      <c r="G39" s="172">
        <f>+H39/D39</f>
        <v>8.5</v>
      </c>
      <c r="H39" s="176">
        <v>1508.75</v>
      </c>
      <c r="I39" s="158">
        <f t="shared" si="0"/>
        <v>177.5</v>
      </c>
      <c r="J39" s="3" t="str">
        <f t="shared" si="1"/>
        <v>0</v>
      </c>
      <c r="K39" s="3">
        <f t="shared" si="2"/>
        <v>156.19999999999999</v>
      </c>
      <c r="L39" s="3" t="str">
        <f t="shared" si="3"/>
        <v>0</v>
      </c>
      <c r="M39" s="3">
        <f t="shared" si="4"/>
        <v>1584.1875</v>
      </c>
      <c r="N39" s="3">
        <f t="shared" si="5"/>
        <v>0</v>
      </c>
      <c r="O39" s="3" t="str">
        <f t="shared" si="6"/>
        <v>0</v>
      </c>
      <c r="P39" s="3" t="str">
        <f t="shared" si="7"/>
        <v>0</v>
      </c>
      <c r="Q39" s="3" t="str">
        <f t="shared" si="8"/>
        <v>0</v>
      </c>
      <c r="R39" s="3" t="str">
        <f t="shared" si="9"/>
        <v>0</v>
      </c>
      <c r="S39" s="3">
        <f t="shared" si="10"/>
        <v>0</v>
      </c>
      <c r="T39" s="3" t="str">
        <f t="shared" si="11"/>
        <v>0</v>
      </c>
      <c r="U39" s="3"/>
      <c r="V39" s="3"/>
      <c r="W39" s="3"/>
      <c r="X39" s="3"/>
      <c r="Y39" s="3"/>
      <c r="Z39" s="3"/>
    </row>
    <row r="40" spans="1:26" x14ac:dyDescent="0.25">
      <c r="A40" s="175">
        <v>46177</v>
      </c>
      <c r="B40" s="3" t="s">
        <v>169</v>
      </c>
      <c r="C40" s="169" t="s">
        <v>240</v>
      </c>
      <c r="D40" s="170">
        <v>1417.9</v>
      </c>
      <c r="E40" s="171">
        <v>0.88</v>
      </c>
      <c r="F40" s="172">
        <f t="shared" ref="F40:F43" si="23">+D40*E40</f>
        <v>1247.7520000000002</v>
      </c>
      <c r="G40" s="172">
        <f t="shared" ref="G40:G43" si="24">+H40/D40</f>
        <v>9</v>
      </c>
      <c r="H40" s="176">
        <v>12761.1</v>
      </c>
      <c r="I40" s="158">
        <f t="shared" si="0"/>
        <v>1417.9</v>
      </c>
      <c r="J40" s="3" t="str">
        <f t="shared" si="1"/>
        <v>0</v>
      </c>
      <c r="K40" s="3">
        <f t="shared" si="2"/>
        <v>1247.7520000000002</v>
      </c>
      <c r="L40" s="3" t="str">
        <f t="shared" si="3"/>
        <v>0</v>
      </c>
      <c r="M40" s="3">
        <f t="shared" si="4"/>
        <v>13399.155000000001</v>
      </c>
      <c r="N40" s="3">
        <f t="shared" si="5"/>
        <v>0</v>
      </c>
      <c r="O40" s="3" t="str">
        <f t="shared" si="6"/>
        <v>0</v>
      </c>
      <c r="P40" s="3" t="str">
        <f t="shared" si="7"/>
        <v>0</v>
      </c>
      <c r="Q40" s="3" t="str">
        <f t="shared" si="8"/>
        <v>0</v>
      </c>
      <c r="R40" s="3" t="str">
        <f t="shared" si="9"/>
        <v>0</v>
      </c>
      <c r="S40" s="3">
        <f t="shared" si="10"/>
        <v>0</v>
      </c>
      <c r="T40" s="3" t="str">
        <f t="shared" si="11"/>
        <v>0</v>
      </c>
      <c r="U40" s="3"/>
      <c r="V40" s="3"/>
      <c r="W40" s="3"/>
      <c r="X40" s="3"/>
      <c r="Y40" s="3"/>
      <c r="Z40" s="3"/>
    </row>
    <row r="41" spans="1:26" x14ac:dyDescent="0.25">
      <c r="A41" s="175">
        <v>46177</v>
      </c>
      <c r="B41" s="3" t="s">
        <v>169</v>
      </c>
      <c r="C41" s="169" t="s">
        <v>228</v>
      </c>
      <c r="D41" s="170">
        <v>775.3</v>
      </c>
      <c r="E41" s="171">
        <v>0.88</v>
      </c>
      <c r="F41" s="172">
        <f t="shared" si="23"/>
        <v>682.26400000000001</v>
      </c>
      <c r="G41" s="172">
        <f t="shared" si="24"/>
        <v>7.7679607893718563</v>
      </c>
      <c r="H41" s="176">
        <v>6022.5</v>
      </c>
      <c r="I41" s="158">
        <f t="shared" si="0"/>
        <v>775.3</v>
      </c>
      <c r="J41" s="3" t="str">
        <f t="shared" si="1"/>
        <v>0</v>
      </c>
      <c r="K41" s="3">
        <f t="shared" si="2"/>
        <v>682.26400000000001</v>
      </c>
      <c r="L41" s="3" t="str">
        <f t="shared" si="3"/>
        <v>0</v>
      </c>
      <c r="M41" s="3">
        <f t="shared" si="4"/>
        <v>6323.625</v>
      </c>
      <c r="N41" s="3">
        <f t="shared" si="5"/>
        <v>0</v>
      </c>
      <c r="O41" s="3" t="str">
        <f t="shared" si="6"/>
        <v>0</v>
      </c>
      <c r="P41" s="3" t="str">
        <f t="shared" si="7"/>
        <v>0</v>
      </c>
      <c r="Q41" s="3" t="str">
        <f t="shared" si="8"/>
        <v>0</v>
      </c>
      <c r="R41" s="3" t="str">
        <f t="shared" si="9"/>
        <v>0</v>
      </c>
      <c r="S41" s="3">
        <f t="shared" si="10"/>
        <v>0</v>
      </c>
      <c r="T41" s="3" t="str">
        <f t="shared" si="11"/>
        <v>0</v>
      </c>
      <c r="U41" s="3"/>
      <c r="V41" s="3"/>
      <c r="W41" s="3"/>
      <c r="X41" s="3"/>
      <c r="Y41" s="3"/>
      <c r="Z41" s="3"/>
    </row>
    <row r="42" spans="1:26" x14ac:dyDescent="0.25">
      <c r="A42" s="175">
        <v>46177</v>
      </c>
      <c r="B42" s="3" t="s">
        <v>169</v>
      </c>
      <c r="C42" s="3" t="s">
        <v>231</v>
      </c>
      <c r="D42" s="170">
        <v>648.70000000000005</v>
      </c>
      <c r="E42" s="171">
        <v>0.88</v>
      </c>
      <c r="F42" s="172">
        <f t="shared" si="23"/>
        <v>570.85599999999999</v>
      </c>
      <c r="G42" s="172">
        <f t="shared" si="24"/>
        <v>7.7117311546169258</v>
      </c>
      <c r="H42" s="176">
        <v>5002.6000000000004</v>
      </c>
      <c r="I42" s="158">
        <f t="shared" si="0"/>
        <v>648.70000000000005</v>
      </c>
      <c r="J42" s="3" t="str">
        <f t="shared" si="1"/>
        <v>0</v>
      </c>
      <c r="K42" s="3">
        <f t="shared" si="2"/>
        <v>570.85599999999999</v>
      </c>
      <c r="L42" s="3" t="str">
        <f t="shared" si="3"/>
        <v>0</v>
      </c>
      <c r="M42" s="3">
        <f t="shared" si="4"/>
        <v>5252.7300000000005</v>
      </c>
      <c r="N42" s="3">
        <f t="shared" si="5"/>
        <v>0</v>
      </c>
      <c r="O42" s="3" t="str">
        <f t="shared" si="6"/>
        <v>0</v>
      </c>
      <c r="P42" s="3" t="str">
        <f t="shared" si="7"/>
        <v>0</v>
      </c>
      <c r="Q42" s="3" t="str">
        <f t="shared" si="8"/>
        <v>0</v>
      </c>
      <c r="R42" s="3" t="str">
        <f t="shared" si="9"/>
        <v>0</v>
      </c>
      <c r="S42" s="3">
        <f t="shared" si="10"/>
        <v>0</v>
      </c>
      <c r="T42" s="3" t="str">
        <f t="shared" si="11"/>
        <v>0</v>
      </c>
      <c r="U42" s="3"/>
      <c r="V42" s="3"/>
      <c r="W42" s="3"/>
      <c r="X42" s="3"/>
      <c r="Y42" s="3"/>
      <c r="Z42" s="3"/>
    </row>
    <row r="43" spans="1:26" x14ac:dyDescent="0.25">
      <c r="A43" s="175">
        <v>46177</v>
      </c>
      <c r="B43" s="3" t="s">
        <v>169</v>
      </c>
      <c r="C43" s="169" t="s">
        <v>241</v>
      </c>
      <c r="D43" s="170">
        <v>8521</v>
      </c>
      <c r="E43" s="171">
        <v>0.88</v>
      </c>
      <c r="F43" s="172">
        <f t="shared" si="23"/>
        <v>7498.4800000000005</v>
      </c>
      <c r="G43" s="172">
        <f t="shared" si="24"/>
        <v>0.55171928177443963</v>
      </c>
      <c r="H43" s="176">
        <v>4701.2</v>
      </c>
      <c r="I43" s="158">
        <f t="shared" si="0"/>
        <v>8521</v>
      </c>
      <c r="J43" s="3" t="str">
        <f t="shared" si="1"/>
        <v>0</v>
      </c>
      <c r="K43" s="3">
        <f t="shared" si="2"/>
        <v>7498.4800000000005</v>
      </c>
      <c r="L43" s="3" t="str">
        <f t="shared" si="3"/>
        <v>0</v>
      </c>
      <c r="M43" s="3">
        <f t="shared" si="4"/>
        <v>4936.26</v>
      </c>
      <c r="N43" s="3">
        <f t="shared" si="5"/>
        <v>0</v>
      </c>
      <c r="O43" s="3" t="str">
        <f t="shared" si="6"/>
        <v>0</v>
      </c>
      <c r="P43" s="3" t="str">
        <f t="shared" si="7"/>
        <v>0</v>
      </c>
      <c r="Q43" s="3" t="str">
        <f t="shared" si="8"/>
        <v>0</v>
      </c>
      <c r="R43" s="3" t="str">
        <f t="shared" si="9"/>
        <v>0</v>
      </c>
      <c r="S43" s="3">
        <f t="shared" si="10"/>
        <v>0</v>
      </c>
      <c r="T43" s="3" t="str">
        <f t="shared" si="11"/>
        <v>0</v>
      </c>
      <c r="U43" s="3"/>
      <c r="V43" s="3"/>
      <c r="W43" s="3"/>
      <c r="X43" s="3"/>
      <c r="Y43" s="3"/>
      <c r="Z43" s="3"/>
    </row>
    <row r="44" spans="1:26" x14ac:dyDescent="0.25">
      <c r="A44" s="175">
        <v>46177</v>
      </c>
      <c r="B44" s="3" t="s">
        <v>170</v>
      </c>
      <c r="C44" s="169" t="s">
        <v>240</v>
      </c>
      <c r="D44" s="170">
        <v>1254.03</v>
      </c>
      <c r="E44" s="171">
        <v>0.995</v>
      </c>
      <c r="F44" s="172">
        <f t="shared" ref="F44:F48" si="25">D44*E44</f>
        <v>1247.7598499999999</v>
      </c>
      <c r="G44" s="6">
        <f t="shared" si="15"/>
        <v>0</v>
      </c>
      <c r="H44" s="7"/>
      <c r="I44" s="158" t="str">
        <f t="shared" si="0"/>
        <v>0</v>
      </c>
      <c r="J44" s="3" t="str">
        <f t="shared" si="1"/>
        <v>0</v>
      </c>
      <c r="K44" s="3" t="str">
        <f t="shared" si="2"/>
        <v>0</v>
      </c>
      <c r="L44" s="3" t="str">
        <f t="shared" si="3"/>
        <v>0</v>
      </c>
      <c r="M44" s="3">
        <f t="shared" si="4"/>
        <v>0</v>
      </c>
      <c r="N44" s="3">
        <f t="shared" si="5"/>
        <v>0</v>
      </c>
      <c r="O44" s="3">
        <f t="shared" si="6"/>
        <v>1254.03</v>
      </c>
      <c r="P44" s="3" t="str">
        <f t="shared" si="7"/>
        <v>0</v>
      </c>
      <c r="Q44" s="3">
        <f t="shared" si="8"/>
        <v>1247.7598499999999</v>
      </c>
      <c r="R44" s="3" t="str">
        <f t="shared" si="9"/>
        <v>0</v>
      </c>
      <c r="S44" s="3">
        <f t="shared" si="10"/>
        <v>0</v>
      </c>
      <c r="T44" s="3" t="str">
        <f t="shared" si="11"/>
        <v>0</v>
      </c>
      <c r="U44" s="3"/>
      <c r="V44" s="3"/>
      <c r="W44" s="3"/>
      <c r="X44" s="3"/>
      <c r="Y44" s="3"/>
      <c r="Z44" s="3"/>
    </row>
    <row r="45" spans="1:26" x14ac:dyDescent="0.25">
      <c r="A45" s="175">
        <v>46177</v>
      </c>
      <c r="B45" s="3" t="s">
        <v>170</v>
      </c>
      <c r="C45" s="169" t="s">
        <v>227</v>
      </c>
      <c r="D45" s="170">
        <v>792.95</v>
      </c>
      <c r="E45" s="171">
        <v>0.995</v>
      </c>
      <c r="F45" s="172">
        <f t="shared" si="25"/>
        <v>788.98525000000006</v>
      </c>
      <c r="G45" s="6">
        <f t="shared" si="15"/>
        <v>0</v>
      </c>
      <c r="H45" s="7"/>
      <c r="I45" s="158" t="str">
        <f t="shared" si="0"/>
        <v>0</v>
      </c>
      <c r="J45" s="3" t="str">
        <f t="shared" si="1"/>
        <v>0</v>
      </c>
      <c r="K45" s="3" t="str">
        <f t="shared" si="2"/>
        <v>0</v>
      </c>
      <c r="L45" s="3" t="str">
        <f t="shared" si="3"/>
        <v>0</v>
      </c>
      <c r="M45" s="3">
        <f t="shared" si="4"/>
        <v>0</v>
      </c>
      <c r="N45" s="3">
        <f t="shared" si="5"/>
        <v>0</v>
      </c>
      <c r="O45" s="3">
        <f t="shared" si="6"/>
        <v>792.95</v>
      </c>
      <c r="P45" s="3" t="str">
        <f t="shared" si="7"/>
        <v>0</v>
      </c>
      <c r="Q45" s="3">
        <f t="shared" si="8"/>
        <v>788.98525000000006</v>
      </c>
      <c r="R45" s="3" t="str">
        <f t="shared" si="9"/>
        <v>0</v>
      </c>
      <c r="S45" s="3">
        <f t="shared" si="10"/>
        <v>0</v>
      </c>
      <c r="T45" s="3" t="str">
        <f t="shared" si="11"/>
        <v>0</v>
      </c>
      <c r="U45" s="3"/>
      <c r="V45" s="3"/>
      <c r="W45" s="3"/>
      <c r="X45" s="3"/>
      <c r="Y45" s="3"/>
      <c r="Z45" s="3"/>
    </row>
    <row r="46" spans="1:26" x14ac:dyDescent="0.25">
      <c r="A46" s="175">
        <v>46177</v>
      </c>
      <c r="B46" s="3" t="s">
        <v>170</v>
      </c>
      <c r="C46" s="169" t="s">
        <v>233</v>
      </c>
      <c r="D46" s="170">
        <v>553.79999999999995</v>
      </c>
      <c r="E46" s="171">
        <v>0.995</v>
      </c>
      <c r="F46" s="172">
        <f t="shared" si="25"/>
        <v>551.03099999999995</v>
      </c>
      <c r="G46" s="6">
        <f t="shared" si="15"/>
        <v>0</v>
      </c>
      <c r="H46" s="7"/>
      <c r="I46" s="158" t="str">
        <f t="shared" si="0"/>
        <v>0</v>
      </c>
      <c r="J46" s="3" t="str">
        <f t="shared" si="1"/>
        <v>0</v>
      </c>
      <c r="K46" s="3" t="str">
        <f t="shared" si="2"/>
        <v>0</v>
      </c>
      <c r="L46" s="3" t="str">
        <f t="shared" si="3"/>
        <v>0</v>
      </c>
      <c r="M46" s="3">
        <f t="shared" si="4"/>
        <v>0</v>
      </c>
      <c r="N46" s="3">
        <f t="shared" si="5"/>
        <v>0</v>
      </c>
      <c r="O46" s="3">
        <f t="shared" si="6"/>
        <v>553.79999999999995</v>
      </c>
      <c r="P46" s="3" t="str">
        <f t="shared" si="7"/>
        <v>0</v>
      </c>
      <c r="Q46" s="3">
        <f t="shared" si="8"/>
        <v>551.03099999999995</v>
      </c>
      <c r="R46" s="3" t="str">
        <f t="shared" si="9"/>
        <v>0</v>
      </c>
      <c r="S46" s="3">
        <f t="shared" si="10"/>
        <v>0</v>
      </c>
      <c r="T46" s="3" t="str">
        <f t="shared" si="11"/>
        <v>0</v>
      </c>
      <c r="U46" s="3"/>
      <c r="V46" s="3"/>
      <c r="W46" s="3"/>
      <c r="X46" s="3"/>
      <c r="Y46" s="3"/>
      <c r="Z46" s="3"/>
    </row>
    <row r="47" spans="1:26" x14ac:dyDescent="0.25">
      <c r="A47" s="175">
        <v>46177</v>
      </c>
      <c r="B47" s="3" t="s">
        <v>170</v>
      </c>
      <c r="C47" s="3" t="s">
        <v>235</v>
      </c>
      <c r="D47" s="170">
        <v>537.82000000000005</v>
      </c>
      <c r="E47" s="171">
        <v>0.995</v>
      </c>
      <c r="F47" s="172">
        <f t="shared" si="25"/>
        <v>535.1309</v>
      </c>
      <c r="G47" s="6">
        <f t="shared" si="15"/>
        <v>0</v>
      </c>
      <c r="H47" s="7"/>
      <c r="I47" s="158" t="str">
        <f t="shared" si="0"/>
        <v>0</v>
      </c>
      <c r="J47" s="3" t="str">
        <f t="shared" si="1"/>
        <v>0</v>
      </c>
      <c r="K47" s="3" t="str">
        <f t="shared" si="2"/>
        <v>0</v>
      </c>
      <c r="L47" s="3" t="str">
        <f t="shared" si="3"/>
        <v>0</v>
      </c>
      <c r="M47" s="3">
        <f t="shared" si="4"/>
        <v>0</v>
      </c>
      <c r="N47" s="3">
        <f t="shared" si="5"/>
        <v>0</v>
      </c>
      <c r="O47" s="3">
        <f t="shared" si="6"/>
        <v>537.82000000000005</v>
      </c>
      <c r="P47" s="3" t="str">
        <f t="shared" si="7"/>
        <v>0</v>
      </c>
      <c r="Q47" s="3">
        <f t="shared" si="8"/>
        <v>535.1309</v>
      </c>
      <c r="R47" s="3" t="str">
        <f t="shared" si="9"/>
        <v>0</v>
      </c>
      <c r="S47" s="3">
        <f t="shared" si="10"/>
        <v>0</v>
      </c>
      <c r="T47" s="3" t="str">
        <f t="shared" si="11"/>
        <v>0</v>
      </c>
      <c r="U47" s="3"/>
      <c r="V47" s="3"/>
      <c r="W47" s="3"/>
      <c r="X47" s="3"/>
      <c r="Y47" s="3"/>
      <c r="Z47" s="3"/>
    </row>
    <row r="48" spans="1:26" x14ac:dyDescent="0.25">
      <c r="A48" s="175">
        <v>46177</v>
      </c>
      <c r="B48" s="3" t="s">
        <v>170</v>
      </c>
      <c r="C48" s="169" t="s">
        <v>228</v>
      </c>
      <c r="D48" s="170">
        <v>1000</v>
      </c>
      <c r="E48" s="171">
        <v>0.995</v>
      </c>
      <c r="F48" s="172">
        <f t="shared" si="25"/>
        <v>995</v>
      </c>
      <c r="G48" s="6">
        <f t="shared" si="15"/>
        <v>0</v>
      </c>
      <c r="H48" s="7"/>
      <c r="I48" s="158" t="str">
        <f t="shared" si="0"/>
        <v>0</v>
      </c>
      <c r="J48" s="3" t="str">
        <f t="shared" si="1"/>
        <v>0</v>
      </c>
      <c r="K48" s="3" t="str">
        <f t="shared" si="2"/>
        <v>0</v>
      </c>
      <c r="L48" s="3" t="str">
        <f t="shared" si="3"/>
        <v>0</v>
      </c>
      <c r="M48" s="3">
        <f t="shared" si="4"/>
        <v>0</v>
      </c>
      <c r="N48" s="3">
        <f t="shared" si="5"/>
        <v>0</v>
      </c>
      <c r="O48" s="3">
        <f t="shared" si="6"/>
        <v>1000</v>
      </c>
      <c r="P48" s="3" t="str">
        <f t="shared" si="7"/>
        <v>0</v>
      </c>
      <c r="Q48" s="3">
        <f t="shared" si="8"/>
        <v>995</v>
      </c>
      <c r="R48" s="3" t="str">
        <f t="shared" si="9"/>
        <v>0</v>
      </c>
      <c r="S48" s="3">
        <f t="shared" si="10"/>
        <v>0</v>
      </c>
      <c r="T48" s="3" t="str">
        <f t="shared" si="11"/>
        <v>0</v>
      </c>
      <c r="U48" s="3"/>
      <c r="V48" s="3"/>
      <c r="W48" s="3"/>
      <c r="X48" s="3"/>
      <c r="Y48" s="3"/>
      <c r="Z48" s="3"/>
    </row>
    <row r="49" spans="1:26" x14ac:dyDescent="0.25">
      <c r="A49" s="175">
        <v>46177</v>
      </c>
      <c r="B49" s="3" t="s">
        <v>210</v>
      </c>
      <c r="C49" s="169" t="s">
        <v>240</v>
      </c>
      <c r="D49" s="4"/>
      <c r="E49" s="5"/>
      <c r="F49" s="6">
        <f t="shared" si="22"/>
        <v>0</v>
      </c>
      <c r="G49" s="6" t="e">
        <f t="shared" si="15"/>
        <v>#DIV/0!</v>
      </c>
      <c r="H49" s="7"/>
      <c r="I49" s="3" t="str">
        <f t="shared" si="0"/>
        <v>0</v>
      </c>
      <c r="J49" s="3" t="str">
        <f t="shared" si="1"/>
        <v>0</v>
      </c>
      <c r="K49" s="3" t="str">
        <f t="shared" si="2"/>
        <v>0</v>
      </c>
      <c r="L49" s="3" t="str">
        <f t="shared" si="3"/>
        <v>0</v>
      </c>
      <c r="M49" s="3">
        <f t="shared" si="4"/>
        <v>0</v>
      </c>
      <c r="N49" s="3">
        <f t="shared" si="5"/>
        <v>0</v>
      </c>
      <c r="O49" s="3" t="str">
        <f t="shared" si="6"/>
        <v>0</v>
      </c>
      <c r="P49" s="3" t="str">
        <f t="shared" si="7"/>
        <v>0</v>
      </c>
      <c r="Q49" s="3" t="str">
        <f t="shared" si="8"/>
        <v>0</v>
      </c>
      <c r="R49" s="3" t="str">
        <f t="shared" si="9"/>
        <v>0</v>
      </c>
      <c r="S49" s="3">
        <f t="shared" si="10"/>
        <v>0</v>
      </c>
      <c r="T49" s="3" t="str">
        <f t="shared" si="11"/>
        <v>0</v>
      </c>
      <c r="U49" s="3"/>
      <c r="V49" s="3">
        <v>13400</v>
      </c>
      <c r="W49" s="3"/>
      <c r="X49" s="3"/>
      <c r="Y49" s="3"/>
      <c r="Z49" s="3"/>
    </row>
    <row r="50" spans="1:26" x14ac:dyDescent="0.25">
      <c r="A50" s="175">
        <v>46178</v>
      </c>
      <c r="B50" s="3" t="s">
        <v>169</v>
      </c>
      <c r="C50" s="169" t="s">
        <v>242</v>
      </c>
      <c r="D50" s="170">
        <v>900.6</v>
      </c>
      <c r="E50" s="171">
        <v>0.88</v>
      </c>
      <c r="F50" s="172">
        <f>+D50*E50</f>
        <v>792.52800000000002</v>
      </c>
      <c r="G50" s="172">
        <f>+H50/D50</f>
        <v>5</v>
      </c>
      <c r="H50" s="176">
        <v>4503</v>
      </c>
      <c r="I50" s="158">
        <f t="shared" si="0"/>
        <v>900.6</v>
      </c>
      <c r="J50" s="3" t="str">
        <f t="shared" si="1"/>
        <v>0</v>
      </c>
      <c r="K50" s="3">
        <f t="shared" si="2"/>
        <v>792.52800000000002</v>
      </c>
      <c r="L50" s="3" t="str">
        <f t="shared" si="3"/>
        <v>0</v>
      </c>
      <c r="M50" s="3">
        <f t="shared" si="4"/>
        <v>4728.1499999999996</v>
      </c>
      <c r="N50" s="3">
        <f t="shared" si="5"/>
        <v>0</v>
      </c>
      <c r="O50" s="3" t="str">
        <f t="shared" si="6"/>
        <v>0</v>
      </c>
      <c r="P50" s="3" t="str">
        <f t="shared" si="7"/>
        <v>0</v>
      </c>
      <c r="Q50" s="3" t="str">
        <f t="shared" si="8"/>
        <v>0</v>
      </c>
      <c r="R50" s="3" t="str">
        <f t="shared" si="9"/>
        <v>0</v>
      </c>
      <c r="S50" s="3">
        <f t="shared" si="10"/>
        <v>0</v>
      </c>
      <c r="T50" s="3" t="str">
        <f t="shared" si="11"/>
        <v>0</v>
      </c>
      <c r="U50" s="3"/>
      <c r="V50" s="3"/>
      <c r="W50" s="3"/>
      <c r="X50" s="3"/>
      <c r="Y50" s="3"/>
      <c r="Z50" s="3"/>
    </row>
    <row r="51" spans="1:26" x14ac:dyDescent="0.25">
      <c r="A51" s="175">
        <v>46178</v>
      </c>
      <c r="B51" s="3" t="s">
        <v>169</v>
      </c>
      <c r="C51" s="169" t="s">
        <v>228</v>
      </c>
      <c r="D51" s="170">
        <v>909.2</v>
      </c>
      <c r="E51" s="171">
        <v>0.88</v>
      </c>
      <c r="F51" s="172">
        <f t="shared" ref="F51:F52" si="26">+D51*E51</f>
        <v>800.096</v>
      </c>
      <c r="G51" s="172">
        <f t="shared" ref="G51:G52" si="27">+H51/D51</f>
        <v>11.220908490981081</v>
      </c>
      <c r="H51" s="176">
        <v>10202.049999999999</v>
      </c>
      <c r="I51" s="158">
        <f t="shared" si="0"/>
        <v>909.2</v>
      </c>
      <c r="J51" s="3" t="str">
        <f t="shared" si="1"/>
        <v>0</v>
      </c>
      <c r="K51" s="3">
        <f t="shared" si="2"/>
        <v>800.096</v>
      </c>
      <c r="L51" s="3" t="str">
        <f t="shared" si="3"/>
        <v>0</v>
      </c>
      <c r="M51" s="3">
        <f t="shared" si="4"/>
        <v>10712.1525</v>
      </c>
      <c r="N51" s="3">
        <f t="shared" si="5"/>
        <v>0</v>
      </c>
      <c r="O51" s="3" t="str">
        <f t="shared" si="6"/>
        <v>0</v>
      </c>
      <c r="P51" s="3" t="str">
        <f t="shared" si="7"/>
        <v>0</v>
      </c>
      <c r="Q51" s="3" t="str">
        <f t="shared" si="8"/>
        <v>0</v>
      </c>
      <c r="R51" s="3" t="str">
        <f t="shared" si="9"/>
        <v>0</v>
      </c>
      <c r="S51" s="3">
        <f t="shared" si="10"/>
        <v>0</v>
      </c>
      <c r="T51" s="3" t="str">
        <f t="shared" si="11"/>
        <v>0</v>
      </c>
      <c r="U51" s="3"/>
      <c r="V51" s="3"/>
      <c r="W51" s="3"/>
      <c r="X51" s="3"/>
      <c r="Y51" s="3"/>
      <c r="Z51" s="3"/>
    </row>
    <row r="52" spans="1:26" x14ac:dyDescent="0.25">
      <c r="A52" s="175">
        <v>46178</v>
      </c>
      <c r="B52" s="3" t="s">
        <v>169</v>
      </c>
      <c r="C52" s="169" t="s">
        <v>243</v>
      </c>
      <c r="D52" s="170">
        <v>670.7</v>
      </c>
      <c r="E52" s="171">
        <v>0.88</v>
      </c>
      <c r="F52" s="172">
        <f t="shared" si="26"/>
        <v>590.21600000000001</v>
      </c>
      <c r="G52" s="172">
        <f t="shared" si="27"/>
        <v>5</v>
      </c>
      <c r="H52" s="176">
        <v>3353.5</v>
      </c>
      <c r="I52" s="158">
        <f t="shared" si="0"/>
        <v>670.7</v>
      </c>
      <c r="J52" s="3" t="str">
        <f t="shared" si="1"/>
        <v>0</v>
      </c>
      <c r="K52" s="3">
        <f t="shared" si="2"/>
        <v>590.21600000000001</v>
      </c>
      <c r="L52" s="3" t="str">
        <f t="shared" si="3"/>
        <v>0</v>
      </c>
      <c r="M52" s="3">
        <f t="shared" si="4"/>
        <v>3521.1750000000002</v>
      </c>
      <c r="N52" s="3">
        <f t="shared" si="5"/>
        <v>0</v>
      </c>
      <c r="O52" s="3" t="str">
        <f t="shared" si="6"/>
        <v>0</v>
      </c>
      <c r="P52" s="3" t="str">
        <f t="shared" si="7"/>
        <v>0</v>
      </c>
      <c r="Q52" s="3" t="str">
        <f t="shared" si="8"/>
        <v>0</v>
      </c>
      <c r="R52" s="3" t="str">
        <f t="shared" si="9"/>
        <v>0</v>
      </c>
      <c r="S52" s="3">
        <f t="shared" si="10"/>
        <v>0</v>
      </c>
      <c r="T52" s="3" t="str">
        <f t="shared" si="11"/>
        <v>0</v>
      </c>
      <c r="U52" s="3"/>
      <c r="V52" s="3"/>
      <c r="W52" s="3"/>
      <c r="X52" s="3"/>
      <c r="Y52" s="3"/>
      <c r="Z52" s="3"/>
    </row>
    <row r="53" spans="1:26" x14ac:dyDescent="0.25">
      <c r="A53" s="175">
        <v>46178</v>
      </c>
      <c r="B53" s="3" t="s">
        <v>170</v>
      </c>
      <c r="C53" s="3" t="s">
        <v>230</v>
      </c>
      <c r="D53" s="170">
        <v>407.4</v>
      </c>
      <c r="E53" s="173">
        <v>0.995</v>
      </c>
      <c r="F53" s="174">
        <f t="shared" ref="F53:F55" si="28">D53*E53</f>
        <v>405.363</v>
      </c>
      <c r="G53" s="6">
        <f t="shared" si="15"/>
        <v>0</v>
      </c>
      <c r="H53" s="7"/>
      <c r="I53" s="158" t="str">
        <f t="shared" si="0"/>
        <v>0</v>
      </c>
      <c r="J53" s="3" t="str">
        <f t="shared" si="1"/>
        <v>0</v>
      </c>
      <c r="K53" s="3" t="str">
        <f t="shared" si="2"/>
        <v>0</v>
      </c>
      <c r="L53" s="3" t="str">
        <f t="shared" si="3"/>
        <v>0</v>
      </c>
      <c r="M53" s="3">
        <f t="shared" si="4"/>
        <v>0</v>
      </c>
      <c r="N53" s="3">
        <f t="shared" si="5"/>
        <v>0</v>
      </c>
      <c r="O53" s="3">
        <f t="shared" si="6"/>
        <v>407.4</v>
      </c>
      <c r="P53" s="3" t="str">
        <f t="shared" si="7"/>
        <v>0</v>
      </c>
      <c r="Q53" s="3">
        <f t="shared" si="8"/>
        <v>405.363</v>
      </c>
      <c r="R53" s="3" t="str">
        <f t="shared" si="9"/>
        <v>0</v>
      </c>
      <c r="S53" s="3">
        <f t="shared" si="10"/>
        <v>0</v>
      </c>
      <c r="T53" s="3" t="str">
        <f t="shared" si="11"/>
        <v>0</v>
      </c>
      <c r="U53" s="3"/>
      <c r="V53" s="3"/>
      <c r="W53" s="3"/>
      <c r="X53" s="3"/>
      <c r="Y53" s="3"/>
      <c r="Z53" s="3"/>
    </row>
    <row r="54" spans="1:26" x14ac:dyDescent="0.25">
      <c r="A54" s="175">
        <v>46178</v>
      </c>
      <c r="B54" s="3" t="s">
        <v>170</v>
      </c>
      <c r="C54" s="169" t="s">
        <v>242</v>
      </c>
      <c r="D54" s="170">
        <v>800.8</v>
      </c>
      <c r="E54" s="173">
        <v>0.995</v>
      </c>
      <c r="F54" s="174">
        <f t="shared" si="28"/>
        <v>796.79599999999994</v>
      </c>
      <c r="G54" s="6">
        <f t="shared" si="15"/>
        <v>0</v>
      </c>
      <c r="H54" s="7"/>
      <c r="I54" s="158" t="str">
        <f t="shared" si="0"/>
        <v>0</v>
      </c>
      <c r="J54" s="3" t="str">
        <f t="shared" si="1"/>
        <v>0</v>
      </c>
      <c r="K54" s="3" t="str">
        <f t="shared" si="2"/>
        <v>0</v>
      </c>
      <c r="L54" s="3" t="str">
        <f t="shared" si="3"/>
        <v>0</v>
      </c>
      <c r="M54" s="3">
        <f t="shared" si="4"/>
        <v>0</v>
      </c>
      <c r="N54" s="3">
        <f t="shared" si="5"/>
        <v>0</v>
      </c>
      <c r="O54" s="3">
        <f t="shared" si="6"/>
        <v>800.8</v>
      </c>
      <c r="P54" s="3" t="str">
        <f t="shared" si="7"/>
        <v>0</v>
      </c>
      <c r="Q54" s="3">
        <f t="shared" si="8"/>
        <v>796.79599999999994</v>
      </c>
      <c r="R54" s="3" t="str">
        <f t="shared" si="9"/>
        <v>0</v>
      </c>
      <c r="S54" s="3">
        <f t="shared" si="10"/>
        <v>0</v>
      </c>
      <c r="T54" s="3" t="str">
        <f t="shared" si="11"/>
        <v>0</v>
      </c>
      <c r="U54" s="3"/>
      <c r="V54" s="3"/>
      <c r="W54" s="3"/>
      <c r="X54" s="3"/>
      <c r="Y54" s="3"/>
      <c r="Z54" s="3"/>
    </row>
    <row r="55" spans="1:26" x14ac:dyDescent="0.25">
      <c r="A55" s="175">
        <v>46178</v>
      </c>
      <c r="B55" s="3" t="s">
        <v>170</v>
      </c>
      <c r="C55" s="169" t="s">
        <v>243</v>
      </c>
      <c r="D55" s="170">
        <v>377.8</v>
      </c>
      <c r="E55" s="173">
        <v>0.995</v>
      </c>
      <c r="F55" s="174">
        <f t="shared" si="28"/>
        <v>375.911</v>
      </c>
      <c r="G55" s="6">
        <f t="shared" si="15"/>
        <v>0</v>
      </c>
      <c r="H55" s="7"/>
      <c r="I55" s="158" t="str">
        <f t="shared" si="0"/>
        <v>0</v>
      </c>
      <c r="J55" s="3" t="str">
        <f t="shared" si="1"/>
        <v>0</v>
      </c>
      <c r="K55" s="3" t="str">
        <f t="shared" si="2"/>
        <v>0</v>
      </c>
      <c r="L55" s="3" t="str">
        <f t="shared" si="3"/>
        <v>0</v>
      </c>
      <c r="M55" s="3">
        <f t="shared" si="4"/>
        <v>0</v>
      </c>
      <c r="N55" s="3">
        <f t="shared" si="5"/>
        <v>0</v>
      </c>
      <c r="O55" s="3">
        <f t="shared" si="6"/>
        <v>377.8</v>
      </c>
      <c r="P55" s="3" t="str">
        <f t="shared" si="7"/>
        <v>0</v>
      </c>
      <c r="Q55" s="3">
        <f t="shared" si="8"/>
        <v>375.911</v>
      </c>
      <c r="R55" s="3" t="str">
        <f t="shared" si="9"/>
        <v>0</v>
      </c>
      <c r="S55" s="3">
        <f t="shared" si="10"/>
        <v>0</v>
      </c>
      <c r="T55" s="3" t="str">
        <f t="shared" si="11"/>
        <v>0</v>
      </c>
      <c r="U55" s="3"/>
      <c r="V55" s="3"/>
      <c r="W55" s="3"/>
      <c r="X55" s="3"/>
      <c r="Y55" s="3"/>
      <c r="Z55" s="3"/>
    </row>
    <row r="56" spans="1:26" x14ac:dyDescent="0.25">
      <c r="A56" s="175">
        <v>46179</v>
      </c>
      <c r="B56" s="3" t="s">
        <v>169</v>
      </c>
      <c r="C56" s="169" t="s">
        <v>234</v>
      </c>
      <c r="D56" s="170">
        <v>5974</v>
      </c>
      <c r="E56" s="171">
        <v>0.88</v>
      </c>
      <c r="F56" s="172">
        <f>+D56*E56</f>
        <v>5257.12</v>
      </c>
      <c r="G56" s="172">
        <f>+H56/D56</f>
        <v>0.43006360897221291</v>
      </c>
      <c r="H56" s="176">
        <v>2569.1999999999998</v>
      </c>
      <c r="I56" s="158">
        <f t="shared" si="0"/>
        <v>5974</v>
      </c>
      <c r="J56" s="3" t="str">
        <f t="shared" si="1"/>
        <v>0</v>
      </c>
      <c r="K56" s="3">
        <f t="shared" si="2"/>
        <v>5257.12</v>
      </c>
      <c r="L56" s="3" t="str">
        <f t="shared" si="3"/>
        <v>0</v>
      </c>
      <c r="M56" s="3">
        <f t="shared" si="4"/>
        <v>2697.66</v>
      </c>
      <c r="N56" s="3">
        <f t="shared" si="5"/>
        <v>0</v>
      </c>
      <c r="O56" s="3" t="str">
        <f t="shared" si="6"/>
        <v>0</v>
      </c>
      <c r="P56" s="3" t="str">
        <f t="shared" si="7"/>
        <v>0</v>
      </c>
      <c r="Q56" s="3" t="str">
        <f t="shared" si="8"/>
        <v>0</v>
      </c>
      <c r="R56" s="3" t="str">
        <f t="shared" si="9"/>
        <v>0</v>
      </c>
      <c r="S56" s="3">
        <f t="shared" si="10"/>
        <v>0</v>
      </c>
      <c r="T56" s="3" t="str">
        <f t="shared" si="11"/>
        <v>0</v>
      </c>
      <c r="U56" s="3"/>
      <c r="V56" s="3"/>
      <c r="W56" s="3"/>
      <c r="X56" s="3"/>
      <c r="Y56" s="3"/>
      <c r="Z56" s="3"/>
    </row>
    <row r="57" spans="1:26" x14ac:dyDescent="0.25">
      <c r="A57" s="175">
        <v>46179</v>
      </c>
      <c r="B57" s="3" t="s">
        <v>169</v>
      </c>
      <c r="C57" s="169" t="s">
        <v>243</v>
      </c>
      <c r="D57" s="170">
        <v>722.1</v>
      </c>
      <c r="E57" s="171">
        <v>0.88</v>
      </c>
      <c r="F57" s="172">
        <f t="shared" ref="F57:F58" si="29">+D57*E57</f>
        <v>635.44799999999998</v>
      </c>
      <c r="G57" s="172">
        <f t="shared" ref="G57:G58" si="30">+H57/D57</f>
        <v>5</v>
      </c>
      <c r="H57" s="176">
        <v>3610.5</v>
      </c>
      <c r="I57" s="158">
        <f t="shared" si="0"/>
        <v>722.1</v>
      </c>
      <c r="J57" s="3" t="str">
        <f t="shared" si="1"/>
        <v>0</v>
      </c>
      <c r="K57" s="3">
        <f t="shared" si="2"/>
        <v>635.44799999999998</v>
      </c>
      <c r="L57" s="3" t="str">
        <f t="shared" si="3"/>
        <v>0</v>
      </c>
      <c r="M57" s="3">
        <f t="shared" si="4"/>
        <v>3791.0250000000001</v>
      </c>
      <c r="N57" s="3">
        <f t="shared" si="5"/>
        <v>0</v>
      </c>
      <c r="O57" s="3" t="str">
        <f t="shared" si="6"/>
        <v>0</v>
      </c>
      <c r="P57" s="3" t="str">
        <f t="shared" si="7"/>
        <v>0</v>
      </c>
      <c r="Q57" s="3" t="str">
        <f t="shared" si="8"/>
        <v>0</v>
      </c>
      <c r="R57" s="3" t="str">
        <f t="shared" si="9"/>
        <v>0</v>
      </c>
      <c r="S57" s="3">
        <f t="shared" si="10"/>
        <v>0</v>
      </c>
      <c r="T57" s="3" t="str">
        <f t="shared" si="11"/>
        <v>0</v>
      </c>
      <c r="U57" s="3"/>
      <c r="V57" s="3"/>
      <c r="W57" s="3"/>
      <c r="X57" s="3"/>
      <c r="Y57" s="3"/>
      <c r="Z57" s="3"/>
    </row>
    <row r="58" spans="1:26" x14ac:dyDescent="0.25">
      <c r="A58" s="175">
        <v>46179</v>
      </c>
      <c r="B58" s="3" t="s">
        <v>169</v>
      </c>
      <c r="C58" s="169" t="s">
        <v>228</v>
      </c>
      <c r="D58" s="170">
        <v>1918.5</v>
      </c>
      <c r="E58" s="171">
        <v>0.88</v>
      </c>
      <c r="F58" s="172">
        <f t="shared" si="29"/>
        <v>1688.28</v>
      </c>
      <c r="G58" s="172">
        <f t="shared" si="30"/>
        <v>9.519937451133698</v>
      </c>
      <c r="H58" s="176">
        <v>18264</v>
      </c>
      <c r="I58" s="158">
        <f t="shared" si="0"/>
        <v>1918.5</v>
      </c>
      <c r="J58" s="3" t="str">
        <f t="shared" si="1"/>
        <v>0</v>
      </c>
      <c r="K58" s="3">
        <f t="shared" si="2"/>
        <v>1688.28</v>
      </c>
      <c r="L58" s="3" t="str">
        <f t="shared" si="3"/>
        <v>0</v>
      </c>
      <c r="M58" s="3">
        <f t="shared" si="4"/>
        <v>19177.2</v>
      </c>
      <c r="N58" s="3">
        <f t="shared" si="5"/>
        <v>0</v>
      </c>
      <c r="O58" s="3" t="str">
        <f t="shared" si="6"/>
        <v>0</v>
      </c>
      <c r="P58" s="3" t="str">
        <f t="shared" si="7"/>
        <v>0</v>
      </c>
      <c r="Q58" s="3" t="str">
        <f t="shared" si="8"/>
        <v>0</v>
      </c>
      <c r="R58" s="3" t="str">
        <f t="shared" si="9"/>
        <v>0</v>
      </c>
      <c r="S58" s="3">
        <f t="shared" si="10"/>
        <v>0</v>
      </c>
      <c r="T58" s="3" t="str">
        <f t="shared" si="11"/>
        <v>0</v>
      </c>
      <c r="U58" s="3"/>
      <c r="V58" s="3"/>
      <c r="W58" s="3"/>
      <c r="X58" s="3"/>
      <c r="Y58" s="3"/>
      <c r="Z58" s="3"/>
    </row>
    <row r="59" spans="1:26" x14ac:dyDescent="0.25">
      <c r="A59" s="175">
        <v>46179</v>
      </c>
      <c r="B59" s="3" t="s">
        <v>170</v>
      </c>
      <c r="C59" s="169" t="s">
        <v>228</v>
      </c>
      <c r="D59" s="170">
        <v>1000</v>
      </c>
      <c r="E59" s="173">
        <v>0.995</v>
      </c>
      <c r="F59" s="174">
        <f t="shared" ref="F59" si="31">D59*E59</f>
        <v>995</v>
      </c>
      <c r="G59" s="6">
        <f t="shared" si="15"/>
        <v>0</v>
      </c>
      <c r="H59" s="7"/>
      <c r="I59" s="158" t="str">
        <f t="shared" si="0"/>
        <v>0</v>
      </c>
      <c r="J59" s="3" t="str">
        <f t="shared" si="1"/>
        <v>0</v>
      </c>
      <c r="K59" s="3" t="str">
        <f t="shared" si="2"/>
        <v>0</v>
      </c>
      <c r="L59" s="3" t="str">
        <f t="shared" si="3"/>
        <v>0</v>
      </c>
      <c r="M59" s="3">
        <f t="shared" si="4"/>
        <v>0</v>
      </c>
      <c r="N59" s="3">
        <f t="shared" si="5"/>
        <v>0</v>
      </c>
      <c r="O59" s="3">
        <f t="shared" si="6"/>
        <v>1000</v>
      </c>
      <c r="P59" s="3" t="str">
        <f t="shared" si="7"/>
        <v>0</v>
      </c>
      <c r="Q59" s="3">
        <f t="shared" si="8"/>
        <v>995</v>
      </c>
      <c r="R59" s="3" t="str">
        <f t="shared" si="9"/>
        <v>0</v>
      </c>
      <c r="S59" s="3">
        <f t="shared" si="10"/>
        <v>0</v>
      </c>
      <c r="T59" s="3" t="str">
        <f t="shared" si="11"/>
        <v>0</v>
      </c>
      <c r="U59" s="3"/>
      <c r="V59" s="3"/>
      <c r="W59" s="3"/>
      <c r="X59" s="3"/>
      <c r="Y59" s="3"/>
      <c r="Z59" s="3"/>
    </row>
    <row r="60" spans="1:26" x14ac:dyDescent="0.25">
      <c r="A60" s="175">
        <v>46179</v>
      </c>
      <c r="B60" s="3" t="s">
        <v>212</v>
      </c>
      <c r="C60" s="169" t="s">
        <v>241</v>
      </c>
      <c r="D60" s="170">
        <v>203</v>
      </c>
      <c r="E60" s="173">
        <v>0.88</v>
      </c>
      <c r="F60" s="174">
        <f>+D60*E60</f>
        <v>178.64000000000001</v>
      </c>
      <c r="G60" s="184">
        <f>+H60/D60</f>
        <v>5</v>
      </c>
      <c r="H60" s="185">
        <v>1015</v>
      </c>
      <c r="I60" s="158" t="str">
        <f t="shared" si="0"/>
        <v>0</v>
      </c>
      <c r="J60" s="3">
        <f t="shared" si="1"/>
        <v>203</v>
      </c>
      <c r="K60" s="3" t="str">
        <f t="shared" si="2"/>
        <v>0</v>
      </c>
      <c r="L60" s="3">
        <f t="shared" si="3"/>
        <v>178.64000000000001</v>
      </c>
      <c r="M60" s="3">
        <f t="shared" si="4"/>
        <v>0</v>
      </c>
      <c r="N60" s="3">
        <f t="shared" si="5"/>
        <v>1065.75</v>
      </c>
      <c r="O60" s="3" t="str">
        <f t="shared" si="6"/>
        <v>0</v>
      </c>
      <c r="P60" s="3" t="str">
        <f t="shared" si="7"/>
        <v>0</v>
      </c>
      <c r="Q60" s="3" t="str">
        <f t="shared" si="8"/>
        <v>0</v>
      </c>
      <c r="R60" s="3" t="str">
        <f t="shared" si="9"/>
        <v>0</v>
      </c>
      <c r="S60" s="3">
        <f t="shared" si="10"/>
        <v>0</v>
      </c>
      <c r="T60" s="3" t="str">
        <f t="shared" si="11"/>
        <v>0</v>
      </c>
      <c r="U60" s="3"/>
      <c r="V60" s="3"/>
      <c r="W60" s="3"/>
      <c r="X60" s="3"/>
      <c r="Y60" s="3"/>
      <c r="Z60" s="3"/>
    </row>
    <row r="61" spans="1:26" x14ac:dyDescent="0.25">
      <c r="A61" s="175">
        <v>46181</v>
      </c>
      <c r="B61" s="3" t="s">
        <v>169</v>
      </c>
      <c r="C61" s="169" t="s">
        <v>229</v>
      </c>
      <c r="D61" s="170">
        <v>1295.54</v>
      </c>
      <c r="E61" s="171">
        <v>0.88</v>
      </c>
      <c r="F61" s="172">
        <f>+D61*E61</f>
        <v>1140.0752</v>
      </c>
      <c r="G61" s="172">
        <f>+H61/D61</f>
        <v>8</v>
      </c>
      <c r="H61" s="176">
        <v>10364.32</v>
      </c>
      <c r="I61" s="158">
        <f t="shared" si="0"/>
        <v>1295.54</v>
      </c>
      <c r="J61" s="3" t="str">
        <f t="shared" si="1"/>
        <v>0</v>
      </c>
      <c r="K61" s="3">
        <f t="shared" si="2"/>
        <v>1140.0752</v>
      </c>
      <c r="L61" s="3" t="str">
        <f t="shared" si="3"/>
        <v>0</v>
      </c>
      <c r="M61" s="3">
        <f t="shared" si="4"/>
        <v>10882.536</v>
      </c>
      <c r="N61" s="3">
        <f t="shared" si="5"/>
        <v>0</v>
      </c>
      <c r="O61" s="3" t="str">
        <f t="shared" si="6"/>
        <v>0</v>
      </c>
      <c r="P61" s="3" t="str">
        <f t="shared" si="7"/>
        <v>0</v>
      </c>
      <c r="Q61" s="3" t="str">
        <f t="shared" si="8"/>
        <v>0</v>
      </c>
      <c r="R61" s="3" t="str">
        <f t="shared" si="9"/>
        <v>0</v>
      </c>
      <c r="S61" s="3">
        <f t="shared" si="10"/>
        <v>0</v>
      </c>
      <c r="T61" s="3" t="str">
        <f t="shared" si="11"/>
        <v>0</v>
      </c>
      <c r="U61" s="3"/>
      <c r="V61" s="3"/>
      <c r="W61" s="3"/>
      <c r="X61" s="3"/>
      <c r="Y61" s="3"/>
      <c r="Z61" s="3"/>
    </row>
    <row r="62" spans="1:26" x14ac:dyDescent="0.25">
      <c r="A62" s="175">
        <v>46181</v>
      </c>
      <c r="B62" s="3" t="s">
        <v>169</v>
      </c>
      <c r="C62" s="169" t="s">
        <v>234</v>
      </c>
      <c r="D62" s="170">
        <v>1635.5</v>
      </c>
      <c r="E62" s="171">
        <v>0.88</v>
      </c>
      <c r="F62" s="172">
        <f t="shared" ref="F62:F63" si="32">+D62*E62</f>
        <v>1439.24</v>
      </c>
      <c r="G62" s="172">
        <f t="shared" ref="G62:G63" si="33">+H62/D62</f>
        <v>5.0003057169061451</v>
      </c>
      <c r="H62" s="176">
        <v>8178</v>
      </c>
      <c r="I62" s="158">
        <f t="shared" si="0"/>
        <v>1635.5</v>
      </c>
      <c r="J62" s="3" t="str">
        <f t="shared" si="1"/>
        <v>0</v>
      </c>
      <c r="K62" s="3">
        <f t="shared" si="2"/>
        <v>1439.24</v>
      </c>
      <c r="L62" s="3" t="str">
        <f t="shared" si="3"/>
        <v>0</v>
      </c>
      <c r="M62" s="3">
        <f t="shared" si="4"/>
        <v>8586.9</v>
      </c>
      <c r="N62" s="3">
        <f t="shared" si="5"/>
        <v>0</v>
      </c>
      <c r="O62" s="3" t="str">
        <f t="shared" si="6"/>
        <v>0</v>
      </c>
      <c r="P62" s="3" t="str">
        <f t="shared" si="7"/>
        <v>0</v>
      </c>
      <c r="Q62" s="3" t="str">
        <f t="shared" si="8"/>
        <v>0</v>
      </c>
      <c r="R62" s="3" t="str">
        <f t="shared" si="9"/>
        <v>0</v>
      </c>
      <c r="S62" s="3">
        <f t="shared" si="10"/>
        <v>0</v>
      </c>
      <c r="T62" s="3" t="str">
        <f t="shared" si="11"/>
        <v>0</v>
      </c>
      <c r="U62" s="3"/>
      <c r="V62" s="3"/>
      <c r="W62" s="3"/>
      <c r="X62" s="3"/>
      <c r="Y62" s="3"/>
      <c r="Z62" s="3"/>
    </row>
    <row r="63" spans="1:26" x14ac:dyDescent="0.25">
      <c r="A63" s="175">
        <v>46181</v>
      </c>
      <c r="B63" s="3" t="s">
        <v>169</v>
      </c>
      <c r="C63" s="169" t="s">
        <v>228</v>
      </c>
      <c r="D63" s="170">
        <v>1266.3</v>
      </c>
      <c r="E63" s="171">
        <v>0.88</v>
      </c>
      <c r="F63" s="172">
        <f t="shared" si="32"/>
        <v>1114.3440000000001</v>
      </c>
      <c r="G63" s="172">
        <f t="shared" si="33"/>
        <v>11.344705046197584</v>
      </c>
      <c r="H63" s="176">
        <v>14365.8</v>
      </c>
      <c r="I63" s="158">
        <f t="shared" si="0"/>
        <v>1266.3</v>
      </c>
      <c r="J63" s="3" t="str">
        <f t="shared" si="1"/>
        <v>0</v>
      </c>
      <c r="K63" s="3">
        <f t="shared" si="2"/>
        <v>1114.3440000000001</v>
      </c>
      <c r="L63" s="3" t="str">
        <f t="shared" si="3"/>
        <v>0</v>
      </c>
      <c r="M63" s="3">
        <f t="shared" si="4"/>
        <v>15084.09</v>
      </c>
      <c r="N63" s="3">
        <f t="shared" si="5"/>
        <v>0</v>
      </c>
      <c r="O63" s="3" t="str">
        <f t="shared" si="6"/>
        <v>0</v>
      </c>
      <c r="P63" s="3" t="str">
        <f t="shared" si="7"/>
        <v>0</v>
      </c>
      <c r="Q63" s="3" t="str">
        <f t="shared" si="8"/>
        <v>0</v>
      </c>
      <c r="R63" s="3" t="str">
        <f t="shared" si="9"/>
        <v>0</v>
      </c>
      <c r="S63" s="3">
        <f t="shared" si="10"/>
        <v>0</v>
      </c>
      <c r="T63" s="3" t="str">
        <f t="shared" si="11"/>
        <v>0</v>
      </c>
      <c r="U63" s="3"/>
      <c r="V63" s="3"/>
      <c r="W63" s="3"/>
      <c r="X63" s="3"/>
      <c r="Y63" s="3"/>
      <c r="Z63" s="3"/>
    </row>
    <row r="64" spans="1:26" x14ac:dyDescent="0.25">
      <c r="A64" s="175">
        <v>46181</v>
      </c>
      <c r="B64" s="3" t="s">
        <v>170</v>
      </c>
      <c r="C64" s="3" t="s">
        <v>235</v>
      </c>
      <c r="D64" s="170">
        <v>531.76</v>
      </c>
      <c r="E64" s="173">
        <v>0.995</v>
      </c>
      <c r="F64" s="174">
        <f t="shared" ref="F64:F66" si="34">D64*E64</f>
        <v>529.10119999999995</v>
      </c>
      <c r="G64" s="6"/>
      <c r="H64" s="176"/>
      <c r="I64" s="158" t="str">
        <f t="shared" si="0"/>
        <v>0</v>
      </c>
      <c r="J64" s="3" t="str">
        <f t="shared" si="1"/>
        <v>0</v>
      </c>
      <c r="K64" s="3" t="str">
        <f t="shared" si="2"/>
        <v>0</v>
      </c>
      <c r="L64" s="3" t="str">
        <f t="shared" si="3"/>
        <v>0</v>
      </c>
      <c r="M64" s="3">
        <f t="shared" si="4"/>
        <v>0</v>
      </c>
      <c r="N64" s="3">
        <f t="shared" si="5"/>
        <v>0</v>
      </c>
      <c r="O64" s="3">
        <f t="shared" si="6"/>
        <v>531.76</v>
      </c>
      <c r="P64" s="3" t="str">
        <f t="shared" si="7"/>
        <v>0</v>
      </c>
      <c r="Q64" s="3">
        <f t="shared" si="8"/>
        <v>529.10119999999995</v>
      </c>
      <c r="R64" s="3" t="str">
        <f t="shared" si="9"/>
        <v>0</v>
      </c>
      <c r="S64" s="3">
        <f t="shared" si="10"/>
        <v>0</v>
      </c>
      <c r="T64" s="3" t="str">
        <f t="shared" si="11"/>
        <v>0</v>
      </c>
      <c r="U64" s="3"/>
      <c r="V64" s="3"/>
      <c r="W64" s="3"/>
      <c r="X64" s="3"/>
      <c r="Y64" s="3"/>
      <c r="Z64" s="3"/>
    </row>
    <row r="65" spans="1:26" x14ac:dyDescent="0.25">
      <c r="A65" s="175">
        <v>46181</v>
      </c>
      <c r="B65" s="3" t="s">
        <v>170</v>
      </c>
      <c r="C65" s="169" t="s">
        <v>229</v>
      </c>
      <c r="D65" s="170">
        <v>1593.7</v>
      </c>
      <c r="E65" s="173">
        <v>0.995</v>
      </c>
      <c r="F65" s="174">
        <f t="shared" si="34"/>
        <v>1585.7315000000001</v>
      </c>
      <c r="G65" s="6"/>
      <c r="H65" s="176"/>
      <c r="I65" s="158" t="str">
        <f t="shared" si="0"/>
        <v>0</v>
      </c>
      <c r="J65" s="3" t="str">
        <f t="shared" si="1"/>
        <v>0</v>
      </c>
      <c r="K65" s="3" t="str">
        <f t="shared" si="2"/>
        <v>0</v>
      </c>
      <c r="L65" s="3" t="str">
        <f t="shared" si="3"/>
        <v>0</v>
      </c>
      <c r="M65" s="3">
        <f t="shared" si="4"/>
        <v>0</v>
      </c>
      <c r="N65" s="3">
        <f t="shared" si="5"/>
        <v>0</v>
      </c>
      <c r="O65" s="3">
        <f t="shared" si="6"/>
        <v>1593.7</v>
      </c>
      <c r="P65" s="3" t="str">
        <f t="shared" si="7"/>
        <v>0</v>
      </c>
      <c r="Q65" s="3">
        <f t="shared" si="8"/>
        <v>1585.7315000000001</v>
      </c>
      <c r="R65" s="3" t="str">
        <f t="shared" si="9"/>
        <v>0</v>
      </c>
      <c r="S65" s="3">
        <f t="shared" si="10"/>
        <v>0</v>
      </c>
      <c r="T65" s="3" t="str">
        <f t="shared" si="11"/>
        <v>0</v>
      </c>
      <c r="U65" s="3"/>
      <c r="V65" s="3"/>
      <c r="W65" s="3"/>
      <c r="X65" s="3"/>
      <c r="Y65" s="3"/>
      <c r="Z65" s="3"/>
    </row>
    <row r="66" spans="1:26" x14ac:dyDescent="0.25">
      <c r="A66" s="175">
        <v>46181</v>
      </c>
      <c r="B66" s="3" t="s">
        <v>170</v>
      </c>
      <c r="C66" s="169" t="s">
        <v>228</v>
      </c>
      <c r="D66" s="170">
        <v>1000</v>
      </c>
      <c r="E66" s="173">
        <v>0.995</v>
      </c>
      <c r="F66" s="174">
        <f t="shared" si="34"/>
        <v>995</v>
      </c>
      <c r="G66" s="6"/>
      <c r="H66" s="176"/>
      <c r="I66" s="158" t="str">
        <f t="shared" ref="I66:I129" si="35">IF(B66="SALES",D66,"0")</f>
        <v>0</v>
      </c>
      <c r="J66" s="3" t="str">
        <f t="shared" ref="J66:J129" si="36">IF(B66="SALES RETURN",D66,"0")</f>
        <v>0</v>
      </c>
      <c r="K66" s="3" t="str">
        <f t="shared" ref="K66:K129" si="37">IF(B66="SALES",F66,"0")</f>
        <v>0</v>
      </c>
      <c r="L66" s="3" t="str">
        <f t="shared" ref="L66:L129" si="38">IF(B66="SALES RETURN",F66,"0")</f>
        <v>0</v>
      </c>
      <c r="M66" s="3">
        <f t="shared" ref="M66:M129" si="39">IF(B66="SALES",H66,"0")+IF(B66="SALES",H66,"0")*5%</f>
        <v>0</v>
      </c>
      <c r="N66" s="3">
        <f t="shared" ref="N66:N129" si="40">IF(B66="SALES RETURN",H66,"0")+IF(B66="SALES RETURN",H66,"0")*5%</f>
        <v>0</v>
      </c>
      <c r="O66" s="3">
        <f t="shared" ref="O66:O129" si="41">IF(B66="PURCHASE",D66,"0")</f>
        <v>1000</v>
      </c>
      <c r="P66" s="3" t="str">
        <f t="shared" ref="P66:P129" si="42">IF(B66="METAL PAYMENT",D66,"0")</f>
        <v>0</v>
      </c>
      <c r="Q66" s="3">
        <f t="shared" ref="Q66:Q129" si="43">IF(B66="PURCHASE",F66,"0")</f>
        <v>995</v>
      </c>
      <c r="R66" s="3" t="str">
        <f t="shared" ref="R66:R129" si="44">IF(B66="METAL PAYMENT",F66,"0")</f>
        <v>0</v>
      </c>
      <c r="S66" s="3">
        <f t="shared" ref="S66:S129" si="45">IF(B66="PURCHASE",H66,"0")+IF(B66="PURCHASE",H66,"0")*5%</f>
        <v>0</v>
      </c>
      <c r="T66" s="3" t="str">
        <f t="shared" ref="T66:T129" si="46">IF(B66="METAL PAYMENT",H66,"0")</f>
        <v>0</v>
      </c>
      <c r="U66" s="3"/>
      <c r="V66" s="3"/>
      <c r="W66" s="3"/>
      <c r="X66" s="3"/>
      <c r="Y66" s="3"/>
      <c r="Z66" s="3"/>
    </row>
    <row r="67" spans="1:26" x14ac:dyDescent="0.25">
      <c r="A67" s="175">
        <v>46181</v>
      </c>
      <c r="B67" s="3" t="s">
        <v>170</v>
      </c>
      <c r="C67" s="3" t="s">
        <v>230</v>
      </c>
      <c r="D67" s="170">
        <v>1954</v>
      </c>
      <c r="E67" s="173">
        <v>0.88</v>
      </c>
      <c r="F67" s="174">
        <f>D67*E67</f>
        <v>1719.52</v>
      </c>
      <c r="G67" s="6">
        <f>H67/D67</f>
        <v>0.63971340839303992</v>
      </c>
      <c r="H67" s="176">
        <v>1250</v>
      </c>
      <c r="I67" s="158" t="str">
        <f t="shared" si="35"/>
        <v>0</v>
      </c>
      <c r="J67" s="3" t="str">
        <f t="shared" si="36"/>
        <v>0</v>
      </c>
      <c r="K67" s="3" t="str">
        <f t="shared" si="37"/>
        <v>0</v>
      </c>
      <c r="L67" s="3" t="str">
        <f t="shared" si="38"/>
        <v>0</v>
      </c>
      <c r="M67" s="3">
        <f t="shared" si="39"/>
        <v>0</v>
      </c>
      <c r="N67" s="3">
        <f t="shared" si="40"/>
        <v>0</v>
      </c>
      <c r="O67" s="3">
        <f t="shared" si="41"/>
        <v>1954</v>
      </c>
      <c r="P67" s="3" t="str">
        <f t="shared" si="42"/>
        <v>0</v>
      </c>
      <c r="Q67" s="3">
        <f t="shared" si="43"/>
        <v>1719.52</v>
      </c>
      <c r="R67" s="3" t="str">
        <f t="shared" si="44"/>
        <v>0</v>
      </c>
      <c r="S67" s="3">
        <f t="shared" si="45"/>
        <v>1312.5</v>
      </c>
      <c r="T67" s="3" t="str">
        <f t="shared" si="46"/>
        <v>0</v>
      </c>
      <c r="U67" s="3"/>
      <c r="V67" s="3"/>
      <c r="W67" s="3"/>
      <c r="X67" s="3"/>
      <c r="Y67" s="3"/>
      <c r="Z67" s="3"/>
    </row>
    <row r="68" spans="1:26" x14ac:dyDescent="0.25">
      <c r="A68" s="175">
        <v>46182</v>
      </c>
      <c r="B68" s="3" t="s">
        <v>169</v>
      </c>
      <c r="C68" s="169" t="s">
        <v>242</v>
      </c>
      <c r="D68" s="170">
        <v>943.2</v>
      </c>
      <c r="E68" s="171">
        <v>0.88</v>
      </c>
      <c r="F68" s="172">
        <f>+D68*E68</f>
        <v>830.01600000000008</v>
      </c>
      <c r="G68" s="172">
        <f>+H68/D68</f>
        <v>6.9999999999999991</v>
      </c>
      <c r="H68" s="176">
        <v>6602.4</v>
      </c>
      <c r="I68" s="158">
        <f t="shared" si="35"/>
        <v>943.2</v>
      </c>
      <c r="J68" s="3" t="str">
        <f t="shared" si="36"/>
        <v>0</v>
      </c>
      <c r="K68" s="3">
        <f t="shared" si="37"/>
        <v>830.01600000000008</v>
      </c>
      <c r="L68" s="3" t="str">
        <f t="shared" si="38"/>
        <v>0</v>
      </c>
      <c r="M68" s="3">
        <f t="shared" si="39"/>
        <v>6932.5199999999995</v>
      </c>
      <c r="N68" s="3">
        <f t="shared" si="40"/>
        <v>0</v>
      </c>
      <c r="O68" s="3" t="str">
        <f t="shared" si="41"/>
        <v>0</v>
      </c>
      <c r="P68" s="3" t="str">
        <f t="shared" si="42"/>
        <v>0</v>
      </c>
      <c r="Q68" s="3" t="str">
        <f t="shared" si="43"/>
        <v>0</v>
      </c>
      <c r="R68" s="3" t="str">
        <f t="shared" si="44"/>
        <v>0</v>
      </c>
      <c r="S68" s="3">
        <f t="shared" si="45"/>
        <v>0</v>
      </c>
      <c r="T68" s="3" t="str">
        <f t="shared" si="46"/>
        <v>0</v>
      </c>
      <c r="U68" s="3"/>
      <c r="V68" s="3"/>
      <c r="W68" s="3"/>
      <c r="X68" s="3"/>
      <c r="Y68" s="3"/>
      <c r="Z68" s="3"/>
    </row>
    <row r="69" spans="1:26" x14ac:dyDescent="0.25">
      <c r="A69" s="175">
        <v>46182</v>
      </c>
      <c r="B69" s="3" t="s">
        <v>169</v>
      </c>
      <c r="C69" s="169" t="s">
        <v>234</v>
      </c>
      <c r="D69" s="170">
        <v>704.06</v>
      </c>
      <c r="E69" s="171">
        <v>0.88</v>
      </c>
      <c r="F69" s="172">
        <f t="shared" ref="F69:F71" si="47">+D69*E69</f>
        <v>619.57279999999992</v>
      </c>
      <c r="G69" s="172">
        <f t="shared" ref="G69:G71" si="48">+H69/D69</f>
        <v>4.9995738999517094</v>
      </c>
      <c r="H69" s="176">
        <v>3520</v>
      </c>
      <c r="I69" s="158">
        <f t="shared" si="35"/>
        <v>704.06</v>
      </c>
      <c r="J69" s="3" t="str">
        <f t="shared" si="36"/>
        <v>0</v>
      </c>
      <c r="K69" s="3">
        <f t="shared" si="37"/>
        <v>619.57279999999992</v>
      </c>
      <c r="L69" s="3" t="str">
        <f t="shared" si="38"/>
        <v>0</v>
      </c>
      <c r="M69" s="3">
        <f t="shared" si="39"/>
        <v>3696</v>
      </c>
      <c r="N69" s="3">
        <f t="shared" si="40"/>
        <v>0</v>
      </c>
      <c r="O69" s="3" t="str">
        <f t="shared" si="41"/>
        <v>0</v>
      </c>
      <c r="P69" s="3" t="str">
        <f t="shared" si="42"/>
        <v>0</v>
      </c>
      <c r="Q69" s="3" t="str">
        <f t="shared" si="43"/>
        <v>0</v>
      </c>
      <c r="R69" s="3" t="str">
        <f t="shared" si="44"/>
        <v>0</v>
      </c>
      <c r="S69" s="3">
        <f t="shared" si="45"/>
        <v>0</v>
      </c>
      <c r="T69" s="3" t="str">
        <f t="shared" si="46"/>
        <v>0</v>
      </c>
      <c r="U69" s="3"/>
      <c r="V69" s="3"/>
      <c r="W69" s="3"/>
      <c r="X69" s="3"/>
      <c r="Y69" s="3"/>
      <c r="Z69" s="3"/>
    </row>
    <row r="70" spans="1:26" x14ac:dyDescent="0.25">
      <c r="A70" s="175">
        <v>46182</v>
      </c>
      <c r="B70" s="3" t="s">
        <v>169</v>
      </c>
      <c r="C70" s="169" t="s">
        <v>244</v>
      </c>
      <c r="D70" s="170">
        <v>56.45</v>
      </c>
      <c r="E70" s="171">
        <v>0.88</v>
      </c>
      <c r="F70" s="172">
        <f t="shared" si="47"/>
        <v>49.676000000000002</v>
      </c>
      <c r="G70" s="172">
        <f t="shared" si="48"/>
        <v>6.9999999999999991</v>
      </c>
      <c r="H70" s="176">
        <v>395.15</v>
      </c>
      <c r="I70" s="158">
        <f t="shared" si="35"/>
        <v>56.45</v>
      </c>
      <c r="J70" s="3" t="str">
        <f t="shared" si="36"/>
        <v>0</v>
      </c>
      <c r="K70" s="3">
        <f t="shared" si="37"/>
        <v>49.676000000000002</v>
      </c>
      <c r="L70" s="3" t="str">
        <f t="shared" si="38"/>
        <v>0</v>
      </c>
      <c r="M70" s="3">
        <f t="shared" si="39"/>
        <v>414.90749999999997</v>
      </c>
      <c r="N70" s="3">
        <f t="shared" si="40"/>
        <v>0</v>
      </c>
      <c r="O70" s="3" t="str">
        <f t="shared" si="41"/>
        <v>0</v>
      </c>
      <c r="P70" s="3" t="str">
        <f t="shared" si="42"/>
        <v>0</v>
      </c>
      <c r="Q70" s="3" t="str">
        <f t="shared" si="43"/>
        <v>0</v>
      </c>
      <c r="R70" s="3" t="str">
        <f t="shared" si="44"/>
        <v>0</v>
      </c>
      <c r="S70" s="3">
        <f t="shared" si="45"/>
        <v>0</v>
      </c>
      <c r="T70" s="3" t="str">
        <f t="shared" si="46"/>
        <v>0</v>
      </c>
      <c r="U70" s="3"/>
      <c r="V70" s="3"/>
      <c r="W70" s="3"/>
      <c r="X70" s="3"/>
      <c r="Y70" s="3"/>
      <c r="Z70" s="3"/>
    </row>
    <row r="71" spans="1:26" x14ac:dyDescent="0.25">
      <c r="A71" s="175">
        <v>46182</v>
      </c>
      <c r="B71" s="3" t="s">
        <v>169</v>
      </c>
      <c r="C71" s="3" t="s">
        <v>231</v>
      </c>
      <c r="D71" s="170">
        <v>233.6</v>
      </c>
      <c r="E71" s="171">
        <v>0.88</v>
      </c>
      <c r="F71" s="172">
        <f t="shared" si="47"/>
        <v>205.56799999999998</v>
      </c>
      <c r="G71" s="172">
        <f t="shared" si="48"/>
        <v>12</v>
      </c>
      <c r="H71" s="176">
        <v>2803.2</v>
      </c>
      <c r="I71" s="158">
        <f t="shared" si="35"/>
        <v>233.6</v>
      </c>
      <c r="J71" s="3" t="str">
        <f t="shared" si="36"/>
        <v>0</v>
      </c>
      <c r="K71" s="3">
        <f t="shared" si="37"/>
        <v>205.56799999999998</v>
      </c>
      <c r="L71" s="3" t="str">
        <f t="shared" si="38"/>
        <v>0</v>
      </c>
      <c r="M71" s="3">
        <f t="shared" si="39"/>
        <v>2943.3599999999997</v>
      </c>
      <c r="N71" s="3">
        <f t="shared" si="40"/>
        <v>0</v>
      </c>
      <c r="O71" s="3" t="str">
        <f t="shared" si="41"/>
        <v>0</v>
      </c>
      <c r="P71" s="3" t="str">
        <f t="shared" si="42"/>
        <v>0</v>
      </c>
      <c r="Q71" s="3" t="str">
        <f t="shared" si="43"/>
        <v>0</v>
      </c>
      <c r="R71" s="3" t="str">
        <f t="shared" si="44"/>
        <v>0</v>
      </c>
      <c r="S71" s="3">
        <f t="shared" si="45"/>
        <v>0</v>
      </c>
      <c r="T71" s="3" t="str">
        <f t="shared" si="46"/>
        <v>0</v>
      </c>
      <c r="U71" s="3"/>
      <c r="V71" s="3"/>
      <c r="W71" s="3"/>
      <c r="X71" s="3"/>
      <c r="Y71" s="3"/>
      <c r="Z71" s="3"/>
    </row>
    <row r="72" spans="1:26" x14ac:dyDescent="0.25">
      <c r="A72" s="175">
        <v>46182</v>
      </c>
      <c r="B72" s="3" t="s">
        <v>170</v>
      </c>
      <c r="C72" s="169" t="s">
        <v>242</v>
      </c>
      <c r="D72" s="170">
        <v>804.6</v>
      </c>
      <c r="E72" s="173">
        <v>0.995</v>
      </c>
      <c r="F72" s="174">
        <f t="shared" ref="F72:F74" si="49">D72*E72</f>
        <v>800.577</v>
      </c>
      <c r="G72" s="6">
        <f t="shared" ref="G72:G129" si="50">+H72/D72</f>
        <v>0</v>
      </c>
      <c r="H72" s="7"/>
      <c r="I72" s="158" t="str">
        <f t="shared" si="35"/>
        <v>0</v>
      </c>
      <c r="J72" s="3" t="str">
        <f t="shared" si="36"/>
        <v>0</v>
      </c>
      <c r="K72" s="3" t="str">
        <f t="shared" si="37"/>
        <v>0</v>
      </c>
      <c r="L72" s="3" t="str">
        <f t="shared" si="38"/>
        <v>0</v>
      </c>
      <c r="M72" s="3">
        <f t="shared" si="39"/>
        <v>0</v>
      </c>
      <c r="N72" s="3">
        <f t="shared" si="40"/>
        <v>0</v>
      </c>
      <c r="O72" s="3">
        <f t="shared" si="41"/>
        <v>804.6</v>
      </c>
      <c r="P72" s="3" t="str">
        <f t="shared" si="42"/>
        <v>0</v>
      </c>
      <c r="Q72" s="3">
        <f t="shared" si="43"/>
        <v>800.577</v>
      </c>
      <c r="R72" s="3" t="str">
        <f t="shared" si="44"/>
        <v>0</v>
      </c>
      <c r="S72" s="3">
        <f t="shared" si="45"/>
        <v>0</v>
      </c>
      <c r="T72" s="3" t="str">
        <f t="shared" si="46"/>
        <v>0</v>
      </c>
      <c r="U72" s="3"/>
      <c r="V72" s="3"/>
      <c r="W72" s="3"/>
      <c r="X72" s="3"/>
      <c r="Y72" s="3"/>
      <c r="Z72" s="3"/>
    </row>
    <row r="73" spans="1:26" x14ac:dyDescent="0.25">
      <c r="A73" s="175">
        <v>46182</v>
      </c>
      <c r="B73" s="3" t="s">
        <v>170</v>
      </c>
      <c r="C73" s="169" t="s">
        <v>234</v>
      </c>
      <c r="D73" s="170">
        <v>2000</v>
      </c>
      <c r="E73" s="173">
        <v>0.995</v>
      </c>
      <c r="F73" s="174">
        <f t="shared" si="49"/>
        <v>1990</v>
      </c>
      <c r="G73" s="6">
        <f t="shared" si="50"/>
        <v>0</v>
      </c>
      <c r="H73" s="7"/>
      <c r="I73" s="158" t="str">
        <f t="shared" si="35"/>
        <v>0</v>
      </c>
      <c r="J73" s="3" t="str">
        <f t="shared" si="36"/>
        <v>0</v>
      </c>
      <c r="K73" s="3" t="str">
        <f t="shared" si="37"/>
        <v>0</v>
      </c>
      <c r="L73" s="3" t="str">
        <f t="shared" si="38"/>
        <v>0</v>
      </c>
      <c r="M73" s="3">
        <f t="shared" si="39"/>
        <v>0</v>
      </c>
      <c r="N73" s="3">
        <f t="shared" si="40"/>
        <v>0</v>
      </c>
      <c r="O73" s="3">
        <f t="shared" si="41"/>
        <v>2000</v>
      </c>
      <c r="P73" s="3" t="str">
        <f t="shared" si="42"/>
        <v>0</v>
      </c>
      <c r="Q73" s="3">
        <f t="shared" si="43"/>
        <v>1990</v>
      </c>
      <c r="R73" s="3" t="str">
        <f t="shared" si="44"/>
        <v>0</v>
      </c>
      <c r="S73" s="3">
        <f t="shared" si="45"/>
        <v>0</v>
      </c>
      <c r="T73" s="3" t="str">
        <f t="shared" si="46"/>
        <v>0</v>
      </c>
      <c r="U73" s="3"/>
      <c r="V73" s="3"/>
      <c r="W73" s="3"/>
      <c r="X73" s="3"/>
      <c r="Y73" s="3"/>
      <c r="Z73" s="3"/>
    </row>
    <row r="74" spans="1:26" x14ac:dyDescent="0.25">
      <c r="A74" s="175">
        <v>46182</v>
      </c>
      <c r="B74" s="3" t="s">
        <v>170</v>
      </c>
      <c r="C74" s="169" t="s">
        <v>244</v>
      </c>
      <c r="D74" s="170">
        <v>149.05000000000001</v>
      </c>
      <c r="E74" s="173">
        <v>0.995</v>
      </c>
      <c r="F74" s="174">
        <f t="shared" si="49"/>
        <v>148.30475000000001</v>
      </c>
      <c r="G74" s="6">
        <f t="shared" si="50"/>
        <v>0</v>
      </c>
      <c r="H74" s="7"/>
      <c r="I74" s="158" t="str">
        <f t="shared" si="35"/>
        <v>0</v>
      </c>
      <c r="J74" s="3" t="str">
        <f t="shared" si="36"/>
        <v>0</v>
      </c>
      <c r="K74" s="3" t="str">
        <f t="shared" si="37"/>
        <v>0</v>
      </c>
      <c r="L74" s="3" t="str">
        <f t="shared" si="38"/>
        <v>0</v>
      </c>
      <c r="M74" s="3">
        <f t="shared" si="39"/>
        <v>0</v>
      </c>
      <c r="N74" s="3">
        <f t="shared" si="40"/>
        <v>0</v>
      </c>
      <c r="O74" s="3">
        <f t="shared" si="41"/>
        <v>149.05000000000001</v>
      </c>
      <c r="P74" s="3" t="str">
        <f t="shared" si="42"/>
        <v>0</v>
      </c>
      <c r="Q74" s="3">
        <f t="shared" si="43"/>
        <v>148.30475000000001</v>
      </c>
      <c r="R74" s="3" t="str">
        <f t="shared" si="44"/>
        <v>0</v>
      </c>
      <c r="S74" s="3">
        <f t="shared" si="45"/>
        <v>0</v>
      </c>
      <c r="T74" s="3" t="str">
        <f t="shared" si="46"/>
        <v>0</v>
      </c>
      <c r="U74" s="3"/>
      <c r="V74" s="3"/>
      <c r="W74" s="3"/>
      <c r="X74" s="3"/>
      <c r="Y74" s="3"/>
      <c r="Z74" s="3"/>
    </row>
    <row r="75" spans="1:26" x14ac:dyDescent="0.25">
      <c r="A75" s="175">
        <v>46182</v>
      </c>
      <c r="B75" s="3" t="s">
        <v>210</v>
      </c>
      <c r="C75" s="169" t="s">
        <v>244</v>
      </c>
      <c r="D75" s="4"/>
      <c r="E75" s="5"/>
      <c r="F75" s="6">
        <f t="shared" ref="F75:F105" si="51">+D75*E75</f>
        <v>0</v>
      </c>
      <c r="G75" s="6" t="e">
        <f t="shared" si="50"/>
        <v>#DIV/0!</v>
      </c>
      <c r="H75" s="7"/>
      <c r="I75" s="3" t="str">
        <f t="shared" si="35"/>
        <v>0</v>
      </c>
      <c r="J75" s="3" t="str">
        <f t="shared" si="36"/>
        <v>0</v>
      </c>
      <c r="K75" s="3" t="str">
        <f t="shared" si="37"/>
        <v>0</v>
      </c>
      <c r="L75" s="3" t="str">
        <f t="shared" si="38"/>
        <v>0</v>
      </c>
      <c r="M75" s="3">
        <f t="shared" si="39"/>
        <v>0</v>
      </c>
      <c r="N75" s="3">
        <f t="shared" si="40"/>
        <v>0</v>
      </c>
      <c r="O75" s="3" t="str">
        <f t="shared" si="41"/>
        <v>0</v>
      </c>
      <c r="P75" s="3" t="str">
        <f t="shared" si="42"/>
        <v>0</v>
      </c>
      <c r="Q75" s="3" t="str">
        <f t="shared" si="43"/>
        <v>0</v>
      </c>
      <c r="R75" s="3" t="str">
        <f t="shared" si="44"/>
        <v>0</v>
      </c>
      <c r="S75" s="3">
        <f t="shared" si="45"/>
        <v>0</v>
      </c>
      <c r="T75" s="3" t="str">
        <f t="shared" si="46"/>
        <v>0</v>
      </c>
      <c r="U75" s="3">
        <v>415</v>
      </c>
      <c r="V75" s="3"/>
      <c r="W75" s="3"/>
      <c r="X75" s="3"/>
      <c r="Y75" s="3"/>
      <c r="Z75" s="3"/>
    </row>
    <row r="76" spans="1:26" x14ac:dyDescent="0.25">
      <c r="A76" s="175">
        <v>46183</v>
      </c>
      <c r="B76" s="3" t="s">
        <v>169</v>
      </c>
      <c r="C76" s="169" t="s">
        <v>228</v>
      </c>
      <c r="D76" s="170">
        <v>2106</v>
      </c>
      <c r="E76" s="171">
        <v>0.88</v>
      </c>
      <c r="F76" s="172">
        <f>+D76*E76</f>
        <v>1853.28</v>
      </c>
      <c r="G76" s="172">
        <f>+H76/D76</f>
        <v>11.395631528964863</v>
      </c>
      <c r="H76" s="176">
        <v>23999.200000000001</v>
      </c>
      <c r="I76" s="158">
        <f t="shared" si="35"/>
        <v>2106</v>
      </c>
      <c r="J76" s="3" t="str">
        <f t="shared" si="36"/>
        <v>0</v>
      </c>
      <c r="K76" s="3">
        <f t="shared" si="37"/>
        <v>1853.28</v>
      </c>
      <c r="L76" s="3" t="str">
        <f t="shared" si="38"/>
        <v>0</v>
      </c>
      <c r="M76" s="3">
        <f t="shared" si="39"/>
        <v>25199.16</v>
      </c>
      <c r="N76" s="3">
        <f t="shared" si="40"/>
        <v>0</v>
      </c>
      <c r="O76" s="3" t="str">
        <f t="shared" si="41"/>
        <v>0</v>
      </c>
      <c r="P76" s="3" t="str">
        <f t="shared" si="42"/>
        <v>0</v>
      </c>
      <c r="Q76" s="3" t="str">
        <f t="shared" si="43"/>
        <v>0</v>
      </c>
      <c r="R76" s="3" t="str">
        <f t="shared" si="44"/>
        <v>0</v>
      </c>
      <c r="S76" s="3">
        <f t="shared" si="45"/>
        <v>0</v>
      </c>
      <c r="T76" s="3" t="str">
        <f t="shared" si="46"/>
        <v>0</v>
      </c>
      <c r="U76" s="3"/>
      <c r="V76" s="3"/>
      <c r="W76" s="3"/>
      <c r="X76" s="3"/>
      <c r="Y76" s="3"/>
      <c r="Z76" s="3"/>
    </row>
    <row r="77" spans="1:26" x14ac:dyDescent="0.25">
      <c r="A77" s="175">
        <v>46183</v>
      </c>
      <c r="B77" s="3" t="s">
        <v>169</v>
      </c>
      <c r="C77" s="169" t="s">
        <v>229</v>
      </c>
      <c r="D77" s="170">
        <v>1200</v>
      </c>
      <c r="E77" s="171">
        <v>0.88</v>
      </c>
      <c r="F77" s="172">
        <f t="shared" ref="F77:F78" si="52">+D77*E77</f>
        <v>1056</v>
      </c>
      <c r="G77" s="172">
        <f t="shared" ref="G77:G78" si="53">+H77/D77</f>
        <v>16.757000000000001</v>
      </c>
      <c r="H77" s="176">
        <v>20108.400000000001</v>
      </c>
      <c r="I77" s="158">
        <f t="shared" si="35"/>
        <v>1200</v>
      </c>
      <c r="J77" s="3" t="str">
        <f t="shared" si="36"/>
        <v>0</v>
      </c>
      <c r="K77" s="3">
        <f t="shared" si="37"/>
        <v>1056</v>
      </c>
      <c r="L77" s="3" t="str">
        <f t="shared" si="38"/>
        <v>0</v>
      </c>
      <c r="M77" s="3">
        <f t="shared" si="39"/>
        <v>21113.82</v>
      </c>
      <c r="N77" s="3">
        <f t="shared" si="40"/>
        <v>0</v>
      </c>
      <c r="O77" s="3" t="str">
        <f t="shared" si="41"/>
        <v>0</v>
      </c>
      <c r="P77" s="3" t="str">
        <f t="shared" si="42"/>
        <v>0</v>
      </c>
      <c r="Q77" s="3" t="str">
        <f t="shared" si="43"/>
        <v>0</v>
      </c>
      <c r="R77" s="3" t="str">
        <f t="shared" si="44"/>
        <v>0</v>
      </c>
      <c r="S77" s="3">
        <f t="shared" si="45"/>
        <v>0</v>
      </c>
      <c r="T77" s="3" t="str">
        <f t="shared" si="46"/>
        <v>0</v>
      </c>
      <c r="U77" s="3"/>
      <c r="V77" s="3"/>
      <c r="W77" s="3"/>
      <c r="X77" s="3"/>
      <c r="Y77" s="3"/>
      <c r="Z77" s="3"/>
    </row>
    <row r="78" spans="1:26" x14ac:dyDescent="0.25">
      <c r="A78" s="175">
        <v>46183</v>
      </c>
      <c r="B78" s="3" t="s">
        <v>169</v>
      </c>
      <c r="C78" s="169" t="s">
        <v>236</v>
      </c>
      <c r="D78" s="170">
        <v>1892.1</v>
      </c>
      <c r="E78" s="171">
        <v>0.92</v>
      </c>
      <c r="F78" s="172">
        <f t="shared" si="52"/>
        <v>1740.732</v>
      </c>
      <c r="G78" s="172">
        <f t="shared" si="53"/>
        <v>4</v>
      </c>
      <c r="H78" s="176">
        <v>7568.4</v>
      </c>
      <c r="I78" s="158">
        <f t="shared" si="35"/>
        <v>1892.1</v>
      </c>
      <c r="J78" s="3" t="str">
        <f t="shared" si="36"/>
        <v>0</v>
      </c>
      <c r="K78" s="3">
        <f t="shared" si="37"/>
        <v>1740.732</v>
      </c>
      <c r="L78" s="3" t="str">
        <f t="shared" si="38"/>
        <v>0</v>
      </c>
      <c r="M78" s="3">
        <f t="shared" si="39"/>
        <v>7946.82</v>
      </c>
      <c r="N78" s="3">
        <f t="shared" si="40"/>
        <v>0</v>
      </c>
      <c r="O78" s="3" t="str">
        <f t="shared" si="41"/>
        <v>0</v>
      </c>
      <c r="P78" s="3" t="str">
        <f t="shared" si="42"/>
        <v>0</v>
      </c>
      <c r="Q78" s="3" t="str">
        <f t="shared" si="43"/>
        <v>0</v>
      </c>
      <c r="R78" s="3" t="str">
        <f t="shared" si="44"/>
        <v>0</v>
      </c>
      <c r="S78" s="3">
        <f t="shared" si="45"/>
        <v>0</v>
      </c>
      <c r="T78" s="3" t="str">
        <f t="shared" si="46"/>
        <v>0</v>
      </c>
      <c r="U78" s="3"/>
      <c r="V78" s="3"/>
      <c r="W78" s="3"/>
      <c r="X78" s="3"/>
      <c r="Y78" s="3"/>
      <c r="Z78" s="3"/>
    </row>
    <row r="79" spans="1:26" x14ac:dyDescent="0.25">
      <c r="A79" s="175">
        <v>46183</v>
      </c>
      <c r="B79" s="3" t="s">
        <v>170</v>
      </c>
      <c r="C79" s="169" t="s">
        <v>229</v>
      </c>
      <c r="D79" s="170">
        <v>1554.1</v>
      </c>
      <c r="E79" s="173">
        <v>0.995</v>
      </c>
      <c r="F79" s="174">
        <f t="shared" ref="F79:F82" si="54">D79*E79</f>
        <v>1546.3294999999998</v>
      </c>
      <c r="G79" s="6">
        <f t="shared" si="50"/>
        <v>0</v>
      </c>
      <c r="H79" s="7"/>
      <c r="I79" s="158" t="str">
        <f t="shared" si="35"/>
        <v>0</v>
      </c>
      <c r="J79" s="3" t="str">
        <f t="shared" si="36"/>
        <v>0</v>
      </c>
      <c r="K79" s="3" t="str">
        <f t="shared" si="37"/>
        <v>0</v>
      </c>
      <c r="L79" s="3" t="str">
        <f t="shared" si="38"/>
        <v>0</v>
      </c>
      <c r="M79" s="3">
        <f t="shared" si="39"/>
        <v>0</v>
      </c>
      <c r="N79" s="3">
        <f t="shared" si="40"/>
        <v>0</v>
      </c>
      <c r="O79" s="3">
        <f t="shared" si="41"/>
        <v>1554.1</v>
      </c>
      <c r="P79" s="3" t="str">
        <f t="shared" si="42"/>
        <v>0</v>
      </c>
      <c r="Q79" s="3">
        <f t="shared" si="43"/>
        <v>1546.3294999999998</v>
      </c>
      <c r="R79" s="3" t="str">
        <f t="shared" si="44"/>
        <v>0</v>
      </c>
      <c r="S79" s="3">
        <f t="shared" si="45"/>
        <v>0</v>
      </c>
      <c r="T79" s="3" t="str">
        <f t="shared" si="46"/>
        <v>0</v>
      </c>
      <c r="U79" s="3"/>
      <c r="V79" s="3"/>
      <c r="W79" s="3"/>
      <c r="X79" s="3"/>
      <c r="Y79" s="3"/>
      <c r="Z79" s="3"/>
    </row>
    <row r="80" spans="1:26" x14ac:dyDescent="0.25">
      <c r="A80" s="175">
        <v>46183</v>
      </c>
      <c r="B80" s="3" t="s">
        <v>170</v>
      </c>
      <c r="C80" s="169" t="s">
        <v>236</v>
      </c>
      <c r="D80" s="170">
        <v>1749.47</v>
      </c>
      <c r="E80" s="173">
        <v>0.995</v>
      </c>
      <c r="F80" s="174">
        <f t="shared" si="54"/>
        <v>1740.7226499999999</v>
      </c>
      <c r="G80" s="6">
        <f t="shared" si="50"/>
        <v>0</v>
      </c>
      <c r="H80" s="7"/>
      <c r="I80" s="158" t="str">
        <f t="shared" si="35"/>
        <v>0</v>
      </c>
      <c r="J80" s="3" t="str">
        <f t="shared" si="36"/>
        <v>0</v>
      </c>
      <c r="K80" s="3" t="str">
        <f t="shared" si="37"/>
        <v>0</v>
      </c>
      <c r="L80" s="3" t="str">
        <f t="shared" si="38"/>
        <v>0</v>
      </c>
      <c r="M80" s="3">
        <f t="shared" si="39"/>
        <v>0</v>
      </c>
      <c r="N80" s="3">
        <f t="shared" si="40"/>
        <v>0</v>
      </c>
      <c r="O80" s="3">
        <f t="shared" si="41"/>
        <v>1749.47</v>
      </c>
      <c r="P80" s="3" t="str">
        <f t="shared" si="42"/>
        <v>0</v>
      </c>
      <c r="Q80" s="3">
        <f t="shared" si="43"/>
        <v>1740.7226499999999</v>
      </c>
      <c r="R80" s="3" t="str">
        <f t="shared" si="44"/>
        <v>0</v>
      </c>
      <c r="S80" s="3">
        <f t="shared" si="45"/>
        <v>0</v>
      </c>
      <c r="T80" s="3" t="str">
        <f t="shared" si="46"/>
        <v>0</v>
      </c>
      <c r="U80" s="3"/>
      <c r="V80" s="3"/>
      <c r="W80" s="3"/>
      <c r="X80" s="3"/>
      <c r="Y80" s="3"/>
      <c r="Z80" s="3"/>
    </row>
    <row r="81" spans="1:26" x14ac:dyDescent="0.25">
      <c r="A81" s="175">
        <v>46183</v>
      </c>
      <c r="B81" s="3" t="s">
        <v>170</v>
      </c>
      <c r="C81" s="3" t="s">
        <v>230</v>
      </c>
      <c r="D81" s="170">
        <v>394.3</v>
      </c>
      <c r="E81" s="173">
        <v>0.995</v>
      </c>
      <c r="F81" s="174">
        <f t="shared" si="54"/>
        <v>392.32850000000002</v>
      </c>
      <c r="G81" s="6">
        <f t="shared" si="50"/>
        <v>0</v>
      </c>
      <c r="H81" s="7"/>
      <c r="I81" s="158" t="str">
        <f t="shared" si="35"/>
        <v>0</v>
      </c>
      <c r="J81" s="3" t="str">
        <f t="shared" si="36"/>
        <v>0</v>
      </c>
      <c r="K81" s="3" t="str">
        <f t="shared" si="37"/>
        <v>0</v>
      </c>
      <c r="L81" s="3" t="str">
        <f t="shared" si="38"/>
        <v>0</v>
      </c>
      <c r="M81" s="3">
        <f t="shared" si="39"/>
        <v>0</v>
      </c>
      <c r="N81" s="3">
        <f t="shared" si="40"/>
        <v>0</v>
      </c>
      <c r="O81" s="3">
        <f t="shared" si="41"/>
        <v>394.3</v>
      </c>
      <c r="P81" s="3" t="str">
        <f t="shared" si="42"/>
        <v>0</v>
      </c>
      <c r="Q81" s="3">
        <f t="shared" si="43"/>
        <v>392.32850000000002</v>
      </c>
      <c r="R81" s="3" t="str">
        <f t="shared" si="44"/>
        <v>0</v>
      </c>
      <c r="S81" s="3">
        <f t="shared" si="45"/>
        <v>0</v>
      </c>
      <c r="T81" s="3" t="str">
        <f t="shared" si="46"/>
        <v>0</v>
      </c>
      <c r="U81" s="3"/>
      <c r="V81" s="3"/>
      <c r="W81" s="3"/>
      <c r="X81" s="3"/>
      <c r="Y81" s="3"/>
      <c r="Z81" s="3"/>
    </row>
    <row r="82" spans="1:26" x14ac:dyDescent="0.25">
      <c r="A82" s="175">
        <v>46183</v>
      </c>
      <c r="B82" s="3" t="s">
        <v>170</v>
      </c>
      <c r="C82" s="169" t="s">
        <v>228</v>
      </c>
      <c r="D82" s="170">
        <v>2000</v>
      </c>
      <c r="E82" s="173">
        <v>0.995</v>
      </c>
      <c r="F82" s="174">
        <f t="shared" si="54"/>
        <v>1990</v>
      </c>
      <c r="G82" s="6">
        <f t="shared" si="50"/>
        <v>0</v>
      </c>
      <c r="H82" s="7"/>
      <c r="I82" s="158" t="str">
        <f t="shared" si="35"/>
        <v>0</v>
      </c>
      <c r="J82" s="3" t="str">
        <f t="shared" si="36"/>
        <v>0</v>
      </c>
      <c r="K82" s="3" t="str">
        <f t="shared" si="37"/>
        <v>0</v>
      </c>
      <c r="L82" s="3" t="str">
        <f t="shared" si="38"/>
        <v>0</v>
      </c>
      <c r="M82" s="3">
        <f t="shared" si="39"/>
        <v>0</v>
      </c>
      <c r="N82" s="3">
        <f t="shared" si="40"/>
        <v>0</v>
      </c>
      <c r="O82" s="3">
        <f t="shared" si="41"/>
        <v>2000</v>
      </c>
      <c r="P82" s="3" t="str">
        <f t="shared" si="42"/>
        <v>0</v>
      </c>
      <c r="Q82" s="3">
        <f t="shared" si="43"/>
        <v>1990</v>
      </c>
      <c r="R82" s="3" t="str">
        <f t="shared" si="44"/>
        <v>0</v>
      </c>
      <c r="S82" s="3">
        <f t="shared" si="45"/>
        <v>0</v>
      </c>
      <c r="T82" s="3" t="str">
        <f t="shared" si="46"/>
        <v>0</v>
      </c>
      <c r="U82" s="3"/>
      <c r="V82" s="3"/>
      <c r="W82" s="3"/>
      <c r="X82" s="3"/>
      <c r="Y82" s="3"/>
      <c r="Z82" s="3"/>
    </row>
    <row r="83" spans="1:26" x14ac:dyDescent="0.25">
      <c r="A83" s="175">
        <v>46183</v>
      </c>
      <c r="B83" s="3" t="s">
        <v>210</v>
      </c>
      <c r="C83" s="169" t="s">
        <v>236</v>
      </c>
      <c r="D83" s="4"/>
      <c r="E83" s="5"/>
      <c r="F83" s="6">
        <f t="shared" si="51"/>
        <v>0</v>
      </c>
      <c r="G83" s="6" t="e">
        <f t="shared" si="50"/>
        <v>#DIV/0!</v>
      </c>
      <c r="H83" s="7"/>
      <c r="I83" s="3" t="str">
        <f t="shared" si="35"/>
        <v>0</v>
      </c>
      <c r="J83" s="3" t="str">
        <f t="shared" si="36"/>
        <v>0</v>
      </c>
      <c r="K83" s="3" t="str">
        <f t="shared" si="37"/>
        <v>0</v>
      </c>
      <c r="L83" s="3" t="str">
        <f t="shared" si="38"/>
        <v>0</v>
      </c>
      <c r="M83" s="3">
        <f t="shared" si="39"/>
        <v>0</v>
      </c>
      <c r="N83" s="3">
        <f t="shared" si="40"/>
        <v>0</v>
      </c>
      <c r="O83" s="3" t="str">
        <f t="shared" si="41"/>
        <v>0</v>
      </c>
      <c r="P83" s="3" t="str">
        <f t="shared" si="42"/>
        <v>0</v>
      </c>
      <c r="Q83" s="3" t="str">
        <f t="shared" si="43"/>
        <v>0</v>
      </c>
      <c r="R83" s="3" t="str">
        <f t="shared" si="44"/>
        <v>0</v>
      </c>
      <c r="S83" s="3">
        <f t="shared" si="45"/>
        <v>0</v>
      </c>
      <c r="T83" s="3" t="str">
        <f t="shared" si="46"/>
        <v>0</v>
      </c>
      <c r="U83" s="3">
        <v>7946</v>
      </c>
      <c r="V83" s="3"/>
      <c r="W83" s="3"/>
      <c r="X83" s="3"/>
      <c r="Y83" s="3"/>
      <c r="Z83" s="3"/>
    </row>
    <row r="84" spans="1:26" x14ac:dyDescent="0.25">
      <c r="A84" s="175">
        <v>46183</v>
      </c>
      <c r="B84" s="3" t="s">
        <v>210</v>
      </c>
      <c r="C84" s="3" t="s">
        <v>235</v>
      </c>
      <c r="D84" s="4"/>
      <c r="E84" s="5"/>
      <c r="F84" s="6">
        <f t="shared" si="51"/>
        <v>0</v>
      </c>
      <c r="G84" s="6" t="e">
        <f t="shared" si="50"/>
        <v>#DIV/0!</v>
      </c>
      <c r="H84" s="7"/>
      <c r="I84" s="3" t="str">
        <f t="shared" si="35"/>
        <v>0</v>
      </c>
      <c r="J84" s="3" t="str">
        <f t="shared" si="36"/>
        <v>0</v>
      </c>
      <c r="K84" s="3" t="str">
        <f t="shared" si="37"/>
        <v>0</v>
      </c>
      <c r="L84" s="3" t="str">
        <f t="shared" si="38"/>
        <v>0</v>
      </c>
      <c r="M84" s="3">
        <f t="shared" si="39"/>
        <v>0</v>
      </c>
      <c r="N84" s="3">
        <f t="shared" si="40"/>
        <v>0</v>
      </c>
      <c r="O84" s="3" t="str">
        <f t="shared" si="41"/>
        <v>0</v>
      </c>
      <c r="P84" s="3" t="str">
        <f t="shared" si="42"/>
        <v>0</v>
      </c>
      <c r="Q84" s="3" t="str">
        <f t="shared" si="43"/>
        <v>0</v>
      </c>
      <c r="R84" s="3" t="str">
        <f t="shared" si="44"/>
        <v>0</v>
      </c>
      <c r="S84" s="3">
        <f t="shared" si="45"/>
        <v>0</v>
      </c>
      <c r="T84" s="3" t="str">
        <f t="shared" si="46"/>
        <v>0</v>
      </c>
      <c r="U84" s="3"/>
      <c r="V84" s="3">
        <v>50000</v>
      </c>
      <c r="W84" s="3"/>
      <c r="X84" s="3"/>
      <c r="Y84" s="3"/>
      <c r="Z84" s="3"/>
    </row>
    <row r="85" spans="1:26" x14ac:dyDescent="0.25">
      <c r="A85" s="175">
        <v>46184</v>
      </c>
      <c r="B85" s="3" t="s">
        <v>169</v>
      </c>
      <c r="C85" s="169" t="s">
        <v>240</v>
      </c>
      <c r="D85" s="170">
        <v>1235.3</v>
      </c>
      <c r="E85" s="171">
        <v>0.88</v>
      </c>
      <c r="F85" s="172">
        <f>+D85*E85</f>
        <v>1087.0640000000001</v>
      </c>
      <c r="G85" s="172">
        <f>+H85/D85</f>
        <v>9.0000000000000018</v>
      </c>
      <c r="H85" s="176">
        <v>11117.7</v>
      </c>
      <c r="I85" s="158">
        <f t="shared" si="35"/>
        <v>1235.3</v>
      </c>
      <c r="J85" s="3" t="str">
        <f t="shared" si="36"/>
        <v>0</v>
      </c>
      <c r="K85" s="3">
        <f t="shared" si="37"/>
        <v>1087.0640000000001</v>
      </c>
      <c r="L85" s="3" t="str">
        <f t="shared" si="38"/>
        <v>0</v>
      </c>
      <c r="M85" s="3">
        <f t="shared" si="39"/>
        <v>11673.585000000001</v>
      </c>
      <c r="N85" s="3">
        <f t="shared" si="40"/>
        <v>0</v>
      </c>
      <c r="O85" s="3" t="str">
        <f t="shared" si="41"/>
        <v>0</v>
      </c>
      <c r="P85" s="3" t="str">
        <f t="shared" si="42"/>
        <v>0</v>
      </c>
      <c r="Q85" s="3" t="str">
        <f t="shared" si="43"/>
        <v>0</v>
      </c>
      <c r="R85" s="3" t="str">
        <f t="shared" si="44"/>
        <v>0</v>
      </c>
      <c r="S85" s="3">
        <f t="shared" si="45"/>
        <v>0</v>
      </c>
      <c r="T85" s="3" t="str">
        <f t="shared" si="46"/>
        <v>0</v>
      </c>
      <c r="U85" s="3"/>
      <c r="V85" s="3"/>
      <c r="W85" s="3"/>
      <c r="X85" s="3"/>
      <c r="Y85" s="3"/>
      <c r="Z85" s="3"/>
    </row>
    <row r="86" spans="1:26" x14ac:dyDescent="0.25">
      <c r="A86" s="175">
        <v>46184</v>
      </c>
      <c r="B86" s="3" t="s">
        <v>169</v>
      </c>
      <c r="C86" s="169" t="s">
        <v>236</v>
      </c>
      <c r="D86" s="170">
        <v>360</v>
      </c>
      <c r="E86" s="171">
        <v>0.92</v>
      </c>
      <c r="F86" s="172">
        <f t="shared" ref="F86:F87" si="55">+D86*E86</f>
        <v>331.2</v>
      </c>
      <c r="G86" s="172">
        <f t="shared" ref="G86:G87" si="56">+H86/D86</f>
        <v>14.375555555555556</v>
      </c>
      <c r="H86" s="176">
        <v>5175.2</v>
      </c>
      <c r="I86" s="158">
        <f t="shared" si="35"/>
        <v>360</v>
      </c>
      <c r="J86" s="3" t="str">
        <f t="shared" si="36"/>
        <v>0</v>
      </c>
      <c r="K86" s="3">
        <f t="shared" si="37"/>
        <v>331.2</v>
      </c>
      <c r="L86" s="3" t="str">
        <f t="shared" si="38"/>
        <v>0</v>
      </c>
      <c r="M86" s="3">
        <f t="shared" si="39"/>
        <v>5433.96</v>
      </c>
      <c r="N86" s="3">
        <f t="shared" si="40"/>
        <v>0</v>
      </c>
      <c r="O86" s="3" t="str">
        <f t="shared" si="41"/>
        <v>0</v>
      </c>
      <c r="P86" s="3" t="str">
        <f t="shared" si="42"/>
        <v>0</v>
      </c>
      <c r="Q86" s="3" t="str">
        <f t="shared" si="43"/>
        <v>0</v>
      </c>
      <c r="R86" s="3" t="str">
        <f t="shared" si="44"/>
        <v>0</v>
      </c>
      <c r="S86" s="3">
        <f t="shared" si="45"/>
        <v>0</v>
      </c>
      <c r="T86" s="3" t="str">
        <f t="shared" si="46"/>
        <v>0</v>
      </c>
      <c r="U86" s="3"/>
      <c r="V86" s="3"/>
      <c r="W86" s="3"/>
      <c r="X86" s="3"/>
      <c r="Y86" s="3"/>
      <c r="Z86" s="3"/>
    </row>
    <row r="87" spans="1:26" x14ac:dyDescent="0.25">
      <c r="A87" s="175">
        <v>46184</v>
      </c>
      <c r="B87" s="3" t="s">
        <v>169</v>
      </c>
      <c r="C87" s="169" t="s">
        <v>228</v>
      </c>
      <c r="D87" s="170">
        <v>2428.3000000000002</v>
      </c>
      <c r="E87" s="171">
        <v>0.88</v>
      </c>
      <c r="F87" s="172">
        <f t="shared" si="55"/>
        <v>2136.904</v>
      </c>
      <c r="G87" s="172">
        <f t="shared" si="56"/>
        <v>10.833875550796854</v>
      </c>
      <c r="H87" s="176">
        <v>26307.9</v>
      </c>
      <c r="I87" s="158">
        <f t="shared" si="35"/>
        <v>2428.3000000000002</v>
      </c>
      <c r="J87" s="3" t="str">
        <f t="shared" si="36"/>
        <v>0</v>
      </c>
      <c r="K87" s="3">
        <f t="shared" si="37"/>
        <v>2136.904</v>
      </c>
      <c r="L87" s="3" t="str">
        <f t="shared" si="38"/>
        <v>0</v>
      </c>
      <c r="M87" s="3">
        <f t="shared" si="39"/>
        <v>27623.295000000002</v>
      </c>
      <c r="N87" s="3">
        <f t="shared" si="40"/>
        <v>0</v>
      </c>
      <c r="O87" s="3" t="str">
        <f t="shared" si="41"/>
        <v>0</v>
      </c>
      <c r="P87" s="3" t="str">
        <f t="shared" si="42"/>
        <v>0</v>
      </c>
      <c r="Q87" s="3" t="str">
        <f t="shared" si="43"/>
        <v>0</v>
      </c>
      <c r="R87" s="3" t="str">
        <f t="shared" si="44"/>
        <v>0</v>
      </c>
      <c r="S87" s="3">
        <f t="shared" si="45"/>
        <v>0</v>
      </c>
      <c r="T87" s="3" t="str">
        <f t="shared" si="46"/>
        <v>0</v>
      </c>
      <c r="U87" s="3"/>
      <c r="V87" s="3"/>
      <c r="W87" s="3"/>
      <c r="X87" s="3"/>
      <c r="Y87" s="3"/>
      <c r="Z87" s="3"/>
    </row>
    <row r="88" spans="1:26" x14ac:dyDescent="0.25">
      <c r="A88" s="175">
        <v>46184</v>
      </c>
      <c r="B88" s="3" t="s">
        <v>170</v>
      </c>
      <c r="C88" s="169" t="s">
        <v>240</v>
      </c>
      <c r="D88" s="170">
        <v>1000</v>
      </c>
      <c r="E88" s="173">
        <v>0.995</v>
      </c>
      <c r="F88" s="174">
        <f t="shared" ref="F88:F92" si="57">D88*E88</f>
        <v>995</v>
      </c>
      <c r="G88" s="6">
        <f t="shared" si="50"/>
        <v>0</v>
      </c>
      <c r="H88" s="7"/>
      <c r="I88" s="158" t="str">
        <f t="shared" si="35"/>
        <v>0</v>
      </c>
      <c r="J88" s="3" t="str">
        <f t="shared" si="36"/>
        <v>0</v>
      </c>
      <c r="K88" s="3" t="str">
        <f t="shared" si="37"/>
        <v>0</v>
      </c>
      <c r="L88" s="3" t="str">
        <f t="shared" si="38"/>
        <v>0</v>
      </c>
      <c r="M88" s="3">
        <f t="shared" si="39"/>
        <v>0</v>
      </c>
      <c r="N88" s="3">
        <f t="shared" si="40"/>
        <v>0</v>
      </c>
      <c r="O88" s="3">
        <f t="shared" si="41"/>
        <v>1000</v>
      </c>
      <c r="P88" s="3" t="str">
        <f t="shared" si="42"/>
        <v>0</v>
      </c>
      <c r="Q88" s="3">
        <f t="shared" si="43"/>
        <v>995</v>
      </c>
      <c r="R88" s="3" t="str">
        <f t="shared" si="44"/>
        <v>0</v>
      </c>
      <c r="S88" s="3">
        <f t="shared" si="45"/>
        <v>0</v>
      </c>
      <c r="T88" s="3" t="str">
        <f t="shared" si="46"/>
        <v>0</v>
      </c>
      <c r="U88" s="3"/>
      <c r="V88" s="3"/>
      <c r="W88" s="3"/>
      <c r="X88" s="3"/>
      <c r="Y88" s="3"/>
      <c r="Z88" s="3"/>
    </row>
    <row r="89" spans="1:26" x14ac:dyDescent="0.25">
      <c r="A89" s="175">
        <v>46184</v>
      </c>
      <c r="B89" s="3" t="s">
        <v>170</v>
      </c>
      <c r="C89" s="3" t="s">
        <v>235</v>
      </c>
      <c r="D89" s="170">
        <v>500</v>
      </c>
      <c r="E89" s="173">
        <v>1</v>
      </c>
      <c r="F89" s="174">
        <f t="shared" si="57"/>
        <v>500</v>
      </c>
      <c r="G89" s="6">
        <f t="shared" si="50"/>
        <v>0</v>
      </c>
      <c r="H89" s="7"/>
      <c r="I89" s="158" t="str">
        <f t="shared" si="35"/>
        <v>0</v>
      </c>
      <c r="J89" s="3" t="str">
        <f t="shared" si="36"/>
        <v>0</v>
      </c>
      <c r="K89" s="3" t="str">
        <f t="shared" si="37"/>
        <v>0</v>
      </c>
      <c r="L89" s="3" t="str">
        <f t="shared" si="38"/>
        <v>0</v>
      </c>
      <c r="M89" s="3">
        <f t="shared" si="39"/>
        <v>0</v>
      </c>
      <c r="N89" s="3">
        <f t="shared" si="40"/>
        <v>0</v>
      </c>
      <c r="O89" s="3">
        <f t="shared" si="41"/>
        <v>500</v>
      </c>
      <c r="P89" s="3" t="str">
        <f t="shared" si="42"/>
        <v>0</v>
      </c>
      <c r="Q89" s="3">
        <f t="shared" si="43"/>
        <v>500</v>
      </c>
      <c r="R89" s="3" t="str">
        <f t="shared" si="44"/>
        <v>0</v>
      </c>
      <c r="S89" s="3">
        <f t="shared" si="45"/>
        <v>0</v>
      </c>
      <c r="T89" s="3" t="str">
        <f t="shared" si="46"/>
        <v>0</v>
      </c>
      <c r="U89" s="3"/>
      <c r="V89" s="3"/>
      <c r="W89" s="3"/>
      <c r="X89" s="3"/>
      <c r="Y89" s="3"/>
      <c r="Z89" s="3"/>
    </row>
    <row r="90" spans="1:26" x14ac:dyDescent="0.25">
      <c r="A90" s="175">
        <v>46184</v>
      </c>
      <c r="B90" s="3" t="s">
        <v>170</v>
      </c>
      <c r="C90" s="169" t="s">
        <v>243</v>
      </c>
      <c r="D90" s="170">
        <v>1000</v>
      </c>
      <c r="E90" s="173">
        <v>0.995</v>
      </c>
      <c r="F90" s="174">
        <f t="shared" si="57"/>
        <v>995</v>
      </c>
      <c r="G90" s="6">
        <f t="shared" si="50"/>
        <v>0</v>
      </c>
      <c r="H90" s="7"/>
      <c r="I90" s="158" t="str">
        <f t="shared" si="35"/>
        <v>0</v>
      </c>
      <c r="J90" s="3" t="str">
        <f t="shared" si="36"/>
        <v>0</v>
      </c>
      <c r="K90" s="3" t="str">
        <f t="shared" si="37"/>
        <v>0</v>
      </c>
      <c r="L90" s="3" t="str">
        <f t="shared" si="38"/>
        <v>0</v>
      </c>
      <c r="M90" s="3">
        <f t="shared" si="39"/>
        <v>0</v>
      </c>
      <c r="N90" s="3">
        <f t="shared" si="40"/>
        <v>0</v>
      </c>
      <c r="O90" s="3">
        <f t="shared" si="41"/>
        <v>1000</v>
      </c>
      <c r="P90" s="3" t="str">
        <f t="shared" si="42"/>
        <v>0</v>
      </c>
      <c r="Q90" s="3">
        <f t="shared" si="43"/>
        <v>995</v>
      </c>
      <c r="R90" s="3" t="str">
        <f t="shared" si="44"/>
        <v>0</v>
      </c>
      <c r="S90" s="3">
        <f t="shared" si="45"/>
        <v>0</v>
      </c>
      <c r="T90" s="3" t="str">
        <f t="shared" si="46"/>
        <v>0</v>
      </c>
      <c r="U90" s="3"/>
      <c r="V90" s="3"/>
      <c r="W90" s="3"/>
      <c r="X90" s="3"/>
      <c r="Y90" s="3"/>
      <c r="Z90" s="3"/>
    </row>
    <row r="91" spans="1:26" x14ac:dyDescent="0.25">
      <c r="A91" s="175">
        <v>46184</v>
      </c>
      <c r="B91" s="3" t="s">
        <v>170</v>
      </c>
      <c r="C91" s="169" t="s">
        <v>228</v>
      </c>
      <c r="D91" s="170">
        <v>2000</v>
      </c>
      <c r="E91" s="173">
        <v>0.995</v>
      </c>
      <c r="F91" s="174">
        <f t="shared" si="57"/>
        <v>1990</v>
      </c>
      <c r="G91" s="6">
        <f t="shared" si="50"/>
        <v>0</v>
      </c>
      <c r="H91" s="7"/>
      <c r="I91" s="158" t="str">
        <f t="shared" si="35"/>
        <v>0</v>
      </c>
      <c r="J91" s="3" t="str">
        <f t="shared" si="36"/>
        <v>0</v>
      </c>
      <c r="K91" s="3" t="str">
        <f t="shared" si="37"/>
        <v>0</v>
      </c>
      <c r="L91" s="3" t="str">
        <f t="shared" si="38"/>
        <v>0</v>
      </c>
      <c r="M91" s="3">
        <f t="shared" si="39"/>
        <v>0</v>
      </c>
      <c r="N91" s="3">
        <f t="shared" si="40"/>
        <v>0</v>
      </c>
      <c r="O91" s="3">
        <f t="shared" si="41"/>
        <v>2000</v>
      </c>
      <c r="P91" s="3" t="str">
        <f t="shared" si="42"/>
        <v>0</v>
      </c>
      <c r="Q91" s="3">
        <f t="shared" si="43"/>
        <v>1990</v>
      </c>
      <c r="R91" s="3" t="str">
        <f t="shared" si="44"/>
        <v>0</v>
      </c>
      <c r="S91" s="3">
        <f t="shared" si="45"/>
        <v>0</v>
      </c>
      <c r="T91" s="3" t="str">
        <f t="shared" si="46"/>
        <v>0</v>
      </c>
      <c r="U91" s="3"/>
      <c r="V91" s="3"/>
      <c r="W91" s="3"/>
      <c r="X91" s="3"/>
      <c r="Y91" s="3"/>
      <c r="Z91" s="3"/>
    </row>
    <row r="92" spans="1:26" x14ac:dyDescent="0.25">
      <c r="A92" s="175">
        <v>46184</v>
      </c>
      <c r="B92" s="3" t="s">
        <v>170</v>
      </c>
      <c r="C92" s="169" t="s">
        <v>236</v>
      </c>
      <c r="D92" s="170">
        <v>1196.27</v>
      </c>
      <c r="E92" s="173">
        <v>0.995</v>
      </c>
      <c r="F92" s="174">
        <f t="shared" si="57"/>
        <v>1190.28865</v>
      </c>
      <c r="G92" s="6">
        <f t="shared" si="50"/>
        <v>0</v>
      </c>
      <c r="H92" s="7"/>
      <c r="I92" s="158" t="str">
        <f t="shared" si="35"/>
        <v>0</v>
      </c>
      <c r="J92" s="3" t="str">
        <f t="shared" si="36"/>
        <v>0</v>
      </c>
      <c r="K92" s="3" t="str">
        <f t="shared" si="37"/>
        <v>0</v>
      </c>
      <c r="L92" s="3" t="str">
        <f t="shared" si="38"/>
        <v>0</v>
      </c>
      <c r="M92" s="3">
        <f t="shared" si="39"/>
        <v>0</v>
      </c>
      <c r="N92" s="3">
        <f t="shared" si="40"/>
        <v>0</v>
      </c>
      <c r="O92" s="3">
        <f t="shared" si="41"/>
        <v>1196.27</v>
      </c>
      <c r="P92" s="3" t="str">
        <f t="shared" si="42"/>
        <v>0</v>
      </c>
      <c r="Q92" s="3">
        <f t="shared" si="43"/>
        <v>1190.28865</v>
      </c>
      <c r="R92" s="3" t="str">
        <f t="shared" si="44"/>
        <v>0</v>
      </c>
      <c r="S92" s="3">
        <f t="shared" si="45"/>
        <v>0</v>
      </c>
      <c r="T92" s="3" t="str">
        <f t="shared" si="46"/>
        <v>0</v>
      </c>
      <c r="U92" s="3"/>
      <c r="V92" s="3"/>
      <c r="W92" s="3"/>
      <c r="X92" s="3"/>
      <c r="Y92" s="3"/>
      <c r="Z92" s="3"/>
    </row>
    <row r="93" spans="1:26" x14ac:dyDescent="0.25">
      <c r="A93" s="175">
        <v>46184</v>
      </c>
      <c r="B93" s="3" t="s">
        <v>210</v>
      </c>
      <c r="C93" s="169" t="s">
        <v>236</v>
      </c>
      <c r="D93" s="4"/>
      <c r="E93" s="5"/>
      <c r="F93" s="6">
        <f t="shared" si="51"/>
        <v>0</v>
      </c>
      <c r="G93" s="6" t="e">
        <f t="shared" si="50"/>
        <v>#DIV/0!</v>
      </c>
      <c r="H93" s="7"/>
      <c r="I93" s="3" t="str">
        <f t="shared" si="35"/>
        <v>0</v>
      </c>
      <c r="J93" s="3" t="str">
        <f t="shared" si="36"/>
        <v>0</v>
      </c>
      <c r="K93" s="3" t="str">
        <f t="shared" si="37"/>
        <v>0</v>
      </c>
      <c r="L93" s="3" t="str">
        <f t="shared" si="38"/>
        <v>0</v>
      </c>
      <c r="M93" s="3">
        <f t="shared" si="39"/>
        <v>0</v>
      </c>
      <c r="N93" s="3">
        <f t="shared" si="40"/>
        <v>0</v>
      </c>
      <c r="O93" s="3" t="str">
        <f t="shared" si="41"/>
        <v>0</v>
      </c>
      <c r="P93" s="3" t="str">
        <f t="shared" si="42"/>
        <v>0</v>
      </c>
      <c r="Q93" s="3" t="str">
        <f t="shared" si="43"/>
        <v>0</v>
      </c>
      <c r="R93" s="3" t="str">
        <f t="shared" si="44"/>
        <v>0</v>
      </c>
      <c r="S93" s="3">
        <f t="shared" si="45"/>
        <v>0</v>
      </c>
      <c r="T93" s="3" t="str">
        <f t="shared" si="46"/>
        <v>0</v>
      </c>
      <c r="U93" s="3">
        <v>5435</v>
      </c>
      <c r="V93" s="3"/>
      <c r="W93" s="3"/>
      <c r="X93" s="3"/>
      <c r="Y93" s="3"/>
      <c r="Z93" s="3"/>
    </row>
    <row r="94" spans="1:26" x14ac:dyDescent="0.25">
      <c r="A94" s="175">
        <v>46184</v>
      </c>
      <c r="B94" s="3" t="s">
        <v>210</v>
      </c>
      <c r="C94" s="169" t="s">
        <v>243</v>
      </c>
      <c r="D94" s="4"/>
      <c r="E94" s="5"/>
      <c r="F94" s="6">
        <f t="shared" si="51"/>
        <v>0</v>
      </c>
      <c r="G94" s="6" t="e">
        <f t="shared" si="50"/>
        <v>#DIV/0!</v>
      </c>
      <c r="H94" s="7"/>
      <c r="I94" s="3" t="str">
        <f t="shared" si="35"/>
        <v>0</v>
      </c>
      <c r="J94" s="3" t="str">
        <f t="shared" si="36"/>
        <v>0</v>
      </c>
      <c r="K94" s="3" t="str">
        <f t="shared" si="37"/>
        <v>0</v>
      </c>
      <c r="L94" s="3" t="str">
        <f t="shared" si="38"/>
        <v>0</v>
      </c>
      <c r="M94" s="3">
        <f t="shared" si="39"/>
        <v>0</v>
      </c>
      <c r="N94" s="3">
        <f t="shared" si="40"/>
        <v>0</v>
      </c>
      <c r="O94" s="3" t="str">
        <f t="shared" si="41"/>
        <v>0</v>
      </c>
      <c r="P94" s="3" t="str">
        <f t="shared" si="42"/>
        <v>0</v>
      </c>
      <c r="Q94" s="3" t="str">
        <f t="shared" si="43"/>
        <v>0</v>
      </c>
      <c r="R94" s="3" t="str">
        <f t="shared" si="44"/>
        <v>0</v>
      </c>
      <c r="S94" s="3">
        <f t="shared" si="45"/>
        <v>0</v>
      </c>
      <c r="T94" s="3" t="str">
        <f t="shared" si="46"/>
        <v>0</v>
      </c>
      <c r="U94" s="3"/>
      <c r="V94" s="3">
        <v>17000</v>
      </c>
      <c r="W94" s="3"/>
      <c r="X94" s="3"/>
      <c r="Y94" s="3"/>
      <c r="Z94" s="3"/>
    </row>
    <row r="95" spans="1:26" x14ac:dyDescent="0.25">
      <c r="A95" s="175">
        <v>46185</v>
      </c>
      <c r="B95" s="3" t="s">
        <v>169</v>
      </c>
      <c r="C95" s="169" t="s">
        <v>228</v>
      </c>
      <c r="D95" s="170">
        <v>2124.5</v>
      </c>
      <c r="E95" s="171">
        <v>0.88</v>
      </c>
      <c r="F95" s="172">
        <f>+D95*E95</f>
        <v>1869.56</v>
      </c>
      <c r="G95" s="172">
        <f>+H95/D95</f>
        <v>10.99333960931984</v>
      </c>
      <c r="H95" s="176">
        <v>23355.35</v>
      </c>
      <c r="I95" s="158">
        <f t="shared" si="35"/>
        <v>2124.5</v>
      </c>
      <c r="J95" s="3" t="str">
        <f t="shared" si="36"/>
        <v>0</v>
      </c>
      <c r="K95" s="3">
        <f t="shared" si="37"/>
        <v>1869.56</v>
      </c>
      <c r="L95" s="3" t="str">
        <f t="shared" si="38"/>
        <v>0</v>
      </c>
      <c r="M95" s="3">
        <f t="shared" si="39"/>
        <v>24523.1175</v>
      </c>
      <c r="N95" s="3">
        <f t="shared" si="40"/>
        <v>0</v>
      </c>
      <c r="O95" s="3" t="str">
        <f t="shared" si="41"/>
        <v>0</v>
      </c>
      <c r="P95" s="3" t="str">
        <f t="shared" si="42"/>
        <v>0</v>
      </c>
      <c r="Q95" s="3" t="str">
        <f t="shared" si="43"/>
        <v>0</v>
      </c>
      <c r="R95" s="3" t="str">
        <f t="shared" si="44"/>
        <v>0</v>
      </c>
      <c r="S95" s="3">
        <f t="shared" si="45"/>
        <v>0</v>
      </c>
      <c r="T95" s="3" t="str">
        <f t="shared" si="46"/>
        <v>0</v>
      </c>
      <c r="U95" s="3"/>
      <c r="V95" s="3"/>
      <c r="W95" s="3"/>
      <c r="X95" s="3"/>
      <c r="Y95" s="3"/>
      <c r="Z95" s="3"/>
    </row>
    <row r="96" spans="1:26" x14ac:dyDescent="0.25">
      <c r="A96" s="175">
        <v>46185</v>
      </c>
      <c r="B96" s="3" t="s">
        <v>169</v>
      </c>
      <c r="C96" s="169" t="s">
        <v>241</v>
      </c>
      <c r="D96" s="170">
        <v>921</v>
      </c>
      <c r="E96" s="171">
        <v>0.88</v>
      </c>
      <c r="F96" s="172">
        <f t="shared" ref="F96:F99" si="58">+D96*E96</f>
        <v>810.48</v>
      </c>
      <c r="G96" s="172">
        <f t="shared" ref="G96:G99" si="59">+H96/D96</f>
        <v>8</v>
      </c>
      <c r="H96" s="176">
        <v>7368</v>
      </c>
      <c r="I96" s="158">
        <f t="shared" si="35"/>
        <v>921</v>
      </c>
      <c r="J96" s="3" t="str">
        <f t="shared" si="36"/>
        <v>0</v>
      </c>
      <c r="K96" s="3">
        <f t="shared" si="37"/>
        <v>810.48</v>
      </c>
      <c r="L96" s="3" t="str">
        <f t="shared" si="38"/>
        <v>0</v>
      </c>
      <c r="M96" s="3">
        <f t="shared" si="39"/>
        <v>7736.4</v>
      </c>
      <c r="N96" s="3">
        <f t="shared" si="40"/>
        <v>0</v>
      </c>
      <c r="O96" s="3" t="str">
        <f t="shared" si="41"/>
        <v>0</v>
      </c>
      <c r="P96" s="3" t="str">
        <f t="shared" si="42"/>
        <v>0</v>
      </c>
      <c r="Q96" s="3" t="str">
        <f t="shared" si="43"/>
        <v>0</v>
      </c>
      <c r="R96" s="3" t="str">
        <f t="shared" si="44"/>
        <v>0</v>
      </c>
      <c r="S96" s="3">
        <f t="shared" si="45"/>
        <v>0</v>
      </c>
      <c r="T96" s="3" t="str">
        <f t="shared" si="46"/>
        <v>0</v>
      </c>
      <c r="U96" s="3"/>
      <c r="V96" s="3"/>
      <c r="W96" s="3"/>
      <c r="X96" s="3"/>
      <c r="Y96" s="3"/>
      <c r="Z96" s="3"/>
    </row>
    <row r="97" spans="1:26" x14ac:dyDescent="0.25">
      <c r="A97" s="175">
        <v>46185</v>
      </c>
      <c r="B97" s="3" t="s">
        <v>169</v>
      </c>
      <c r="C97" s="3" t="s">
        <v>235</v>
      </c>
      <c r="D97" s="170">
        <v>495.43</v>
      </c>
      <c r="E97" s="171">
        <v>0.88</v>
      </c>
      <c r="F97" s="172">
        <f t="shared" si="58"/>
        <v>435.97840000000002</v>
      </c>
      <c r="G97" s="172">
        <f t="shared" si="59"/>
        <v>8.0798296429364385</v>
      </c>
      <c r="H97" s="176">
        <v>4002.99</v>
      </c>
      <c r="I97" s="158">
        <f t="shared" si="35"/>
        <v>495.43</v>
      </c>
      <c r="J97" s="3" t="str">
        <f t="shared" si="36"/>
        <v>0</v>
      </c>
      <c r="K97" s="3">
        <f t="shared" si="37"/>
        <v>435.97840000000002</v>
      </c>
      <c r="L97" s="3" t="str">
        <f t="shared" si="38"/>
        <v>0</v>
      </c>
      <c r="M97" s="3">
        <f t="shared" si="39"/>
        <v>4203.1394999999993</v>
      </c>
      <c r="N97" s="3">
        <f t="shared" si="40"/>
        <v>0</v>
      </c>
      <c r="O97" s="3" t="str">
        <f t="shared" si="41"/>
        <v>0</v>
      </c>
      <c r="P97" s="3" t="str">
        <f t="shared" si="42"/>
        <v>0</v>
      </c>
      <c r="Q97" s="3" t="str">
        <f t="shared" si="43"/>
        <v>0</v>
      </c>
      <c r="R97" s="3" t="str">
        <f t="shared" si="44"/>
        <v>0</v>
      </c>
      <c r="S97" s="3">
        <f t="shared" si="45"/>
        <v>0</v>
      </c>
      <c r="T97" s="3" t="str">
        <f t="shared" si="46"/>
        <v>0</v>
      </c>
      <c r="U97" s="3"/>
      <c r="V97" s="3"/>
      <c r="W97" s="3"/>
      <c r="X97" s="3"/>
      <c r="Y97" s="3"/>
      <c r="Z97" s="3"/>
    </row>
    <row r="98" spans="1:26" x14ac:dyDescent="0.25">
      <c r="A98" s="175">
        <v>46185</v>
      </c>
      <c r="B98" s="3" t="s">
        <v>169</v>
      </c>
      <c r="C98" s="3" t="s">
        <v>230</v>
      </c>
      <c r="D98" s="170">
        <v>361</v>
      </c>
      <c r="E98" s="171">
        <v>0.88</v>
      </c>
      <c r="F98" s="172">
        <f t="shared" si="58"/>
        <v>317.68</v>
      </c>
      <c r="G98" s="172">
        <f t="shared" si="59"/>
        <v>4.5984764542936283</v>
      </c>
      <c r="H98" s="176">
        <v>1660.05</v>
      </c>
      <c r="I98" s="158">
        <f t="shared" si="35"/>
        <v>361</v>
      </c>
      <c r="J98" s="3" t="str">
        <f t="shared" si="36"/>
        <v>0</v>
      </c>
      <c r="K98" s="3">
        <f t="shared" si="37"/>
        <v>317.68</v>
      </c>
      <c r="L98" s="3" t="str">
        <f t="shared" si="38"/>
        <v>0</v>
      </c>
      <c r="M98" s="3">
        <f t="shared" si="39"/>
        <v>1743.0525</v>
      </c>
      <c r="N98" s="3">
        <f t="shared" si="40"/>
        <v>0</v>
      </c>
      <c r="O98" s="3" t="str">
        <f t="shared" si="41"/>
        <v>0</v>
      </c>
      <c r="P98" s="3" t="str">
        <f t="shared" si="42"/>
        <v>0</v>
      </c>
      <c r="Q98" s="3" t="str">
        <f t="shared" si="43"/>
        <v>0</v>
      </c>
      <c r="R98" s="3" t="str">
        <f t="shared" si="44"/>
        <v>0</v>
      </c>
      <c r="S98" s="3">
        <f t="shared" si="45"/>
        <v>0</v>
      </c>
      <c r="T98" s="3" t="str">
        <f t="shared" si="46"/>
        <v>0</v>
      </c>
      <c r="U98" s="3"/>
      <c r="V98" s="3"/>
      <c r="W98" s="3"/>
      <c r="X98" s="3"/>
      <c r="Y98" s="3"/>
      <c r="Z98" s="3"/>
    </row>
    <row r="99" spans="1:26" x14ac:dyDescent="0.25">
      <c r="A99" s="175">
        <v>46185</v>
      </c>
      <c r="B99" s="3" t="s">
        <v>169</v>
      </c>
      <c r="C99" s="169" t="s">
        <v>236</v>
      </c>
      <c r="D99" s="170">
        <v>1283.0999999999999</v>
      </c>
      <c r="E99" s="171">
        <v>0.92</v>
      </c>
      <c r="F99" s="172">
        <f t="shared" si="58"/>
        <v>1180.452</v>
      </c>
      <c r="G99" s="172">
        <f t="shared" si="59"/>
        <v>4</v>
      </c>
      <c r="H99" s="176">
        <v>5132.3999999999996</v>
      </c>
      <c r="I99" s="158">
        <f t="shared" si="35"/>
        <v>1283.0999999999999</v>
      </c>
      <c r="J99" s="3" t="str">
        <f t="shared" si="36"/>
        <v>0</v>
      </c>
      <c r="K99" s="3">
        <f t="shared" si="37"/>
        <v>1180.452</v>
      </c>
      <c r="L99" s="3" t="str">
        <f t="shared" si="38"/>
        <v>0</v>
      </c>
      <c r="M99" s="3">
        <f t="shared" si="39"/>
        <v>5389.0199999999995</v>
      </c>
      <c r="N99" s="3">
        <f t="shared" si="40"/>
        <v>0</v>
      </c>
      <c r="O99" s="3" t="str">
        <f t="shared" si="41"/>
        <v>0</v>
      </c>
      <c r="P99" s="3" t="str">
        <f t="shared" si="42"/>
        <v>0</v>
      </c>
      <c r="Q99" s="3" t="str">
        <f t="shared" si="43"/>
        <v>0</v>
      </c>
      <c r="R99" s="3" t="str">
        <f t="shared" si="44"/>
        <v>0</v>
      </c>
      <c r="S99" s="3">
        <f t="shared" si="45"/>
        <v>0</v>
      </c>
      <c r="T99" s="3" t="str">
        <f t="shared" si="46"/>
        <v>0</v>
      </c>
      <c r="U99" s="3"/>
      <c r="V99" s="3"/>
      <c r="W99" s="3"/>
      <c r="X99" s="3"/>
      <c r="Y99" s="3"/>
      <c r="Z99" s="3"/>
    </row>
    <row r="100" spans="1:26" x14ac:dyDescent="0.25">
      <c r="A100" s="175">
        <v>46185</v>
      </c>
      <c r="B100" s="3" t="s">
        <v>170</v>
      </c>
      <c r="C100" s="169" t="s">
        <v>228</v>
      </c>
      <c r="D100" s="170">
        <v>1000</v>
      </c>
      <c r="E100" s="173">
        <v>0.995</v>
      </c>
      <c r="F100" s="174">
        <f t="shared" ref="F100:F102" si="60">D100*E100</f>
        <v>995</v>
      </c>
      <c r="G100" s="6">
        <f t="shared" si="50"/>
        <v>0</v>
      </c>
      <c r="H100" s="7"/>
      <c r="I100" s="158" t="str">
        <f t="shared" si="35"/>
        <v>0</v>
      </c>
      <c r="J100" s="3" t="str">
        <f t="shared" si="36"/>
        <v>0</v>
      </c>
      <c r="K100" s="3" t="str">
        <f t="shared" si="37"/>
        <v>0</v>
      </c>
      <c r="L100" s="3" t="str">
        <f t="shared" si="38"/>
        <v>0</v>
      </c>
      <c r="M100" s="3">
        <f t="shared" si="39"/>
        <v>0</v>
      </c>
      <c r="N100" s="3">
        <f t="shared" si="40"/>
        <v>0</v>
      </c>
      <c r="O100" s="3">
        <f t="shared" si="41"/>
        <v>1000</v>
      </c>
      <c r="P100" s="3" t="str">
        <f t="shared" si="42"/>
        <v>0</v>
      </c>
      <c r="Q100" s="3">
        <f t="shared" si="43"/>
        <v>995</v>
      </c>
      <c r="R100" s="3" t="str">
        <f t="shared" si="44"/>
        <v>0</v>
      </c>
      <c r="S100" s="3">
        <f t="shared" si="45"/>
        <v>0</v>
      </c>
      <c r="T100" s="3" t="str">
        <f t="shared" si="46"/>
        <v>0</v>
      </c>
      <c r="U100" s="3"/>
      <c r="V100" s="3"/>
      <c r="W100" s="3"/>
      <c r="X100" s="3"/>
      <c r="Y100" s="3"/>
      <c r="Z100" s="3"/>
    </row>
    <row r="101" spans="1:26" x14ac:dyDescent="0.25">
      <c r="A101" s="175">
        <v>46185</v>
      </c>
      <c r="B101" s="3" t="s">
        <v>170</v>
      </c>
      <c r="C101" s="169" t="s">
        <v>241</v>
      </c>
      <c r="D101" s="170">
        <v>301.5</v>
      </c>
      <c r="E101" s="173">
        <v>0.995</v>
      </c>
      <c r="F101" s="174">
        <f t="shared" si="60"/>
        <v>299.99250000000001</v>
      </c>
      <c r="G101" s="6">
        <f t="shared" si="50"/>
        <v>0</v>
      </c>
      <c r="H101" s="7"/>
      <c r="I101" s="158" t="str">
        <f t="shared" si="35"/>
        <v>0</v>
      </c>
      <c r="J101" s="3" t="str">
        <f t="shared" si="36"/>
        <v>0</v>
      </c>
      <c r="K101" s="3" t="str">
        <f t="shared" si="37"/>
        <v>0</v>
      </c>
      <c r="L101" s="3" t="str">
        <f t="shared" si="38"/>
        <v>0</v>
      </c>
      <c r="M101" s="3">
        <f t="shared" si="39"/>
        <v>0</v>
      </c>
      <c r="N101" s="3">
        <f t="shared" si="40"/>
        <v>0</v>
      </c>
      <c r="O101" s="3">
        <f t="shared" si="41"/>
        <v>301.5</v>
      </c>
      <c r="P101" s="3" t="str">
        <f t="shared" si="42"/>
        <v>0</v>
      </c>
      <c r="Q101" s="3">
        <f t="shared" si="43"/>
        <v>299.99250000000001</v>
      </c>
      <c r="R101" s="3" t="str">
        <f t="shared" si="44"/>
        <v>0</v>
      </c>
      <c r="S101" s="3">
        <f t="shared" si="45"/>
        <v>0</v>
      </c>
      <c r="T101" s="3" t="str">
        <f t="shared" si="46"/>
        <v>0</v>
      </c>
      <c r="U101" s="3"/>
      <c r="V101" s="3"/>
      <c r="W101" s="3"/>
      <c r="X101" s="3"/>
      <c r="Y101" s="3"/>
      <c r="Z101" s="3"/>
    </row>
    <row r="102" spans="1:26" x14ac:dyDescent="0.25">
      <c r="A102" s="175">
        <v>46185</v>
      </c>
      <c r="B102" s="3" t="s">
        <v>170</v>
      </c>
      <c r="C102" s="169" t="s">
        <v>236</v>
      </c>
      <c r="D102" s="170">
        <v>1186.3800000000001</v>
      </c>
      <c r="E102" s="173">
        <v>0.995</v>
      </c>
      <c r="F102" s="174">
        <f t="shared" si="60"/>
        <v>1180.4481000000001</v>
      </c>
      <c r="G102" s="6">
        <f t="shared" si="50"/>
        <v>0</v>
      </c>
      <c r="H102" s="7"/>
      <c r="I102" s="158" t="str">
        <f t="shared" si="35"/>
        <v>0</v>
      </c>
      <c r="J102" s="3" t="str">
        <f t="shared" si="36"/>
        <v>0</v>
      </c>
      <c r="K102" s="3" t="str">
        <f t="shared" si="37"/>
        <v>0</v>
      </c>
      <c r="L102" s="3" t="str">
        <f t="shared" si="38"/>
        <v>0</v>
      </c>
      <c r="M102" s="3">
        <f t="shared" si="39"/>
        <v>0</v>
      </c>
      <c r="N102" s="3">
        <f t="shared" si="40"/>
        <v>0</v>
      </c>
      <c r="O102" s="3">
        <f t="shared" si="41"/>
        <v>1186.3800000000001</v>
      </c>
      <c r="P102" s="3" t="str">
        <f t="shared" si="42"/>
        <v>0</v>
      </c>
      <c r="Q102" s="3">
        <f t="shared" si="43"/>
        <v>1180.4481000000001</v>
      </c>
      <c r="R102" s="3" t="str">
        <f t="shared" si="44"/>
        <v>0</v>
      </c>
      <c r="S102" s="3">
        <f t="shared" si="45"/>
        <v>0</v>
      </c>
      <c r="T102" s="3" t="str">
        <f t="shared" si="46"/>
        <v>0</v>
      </c>
      <c r="U102" s="3"/>
      <c r="V102" s="3"/>
      <c r="W102" s="3"/>
      <c r="X102" s="3"/>
      <c r="Y102" s="3"/>
      <c r="Z102" s="3"/>
    </row>
    <row r="103" spans="1:26" x14ac:dyDescent="0.25">
      <c r="A103" s="175">
        <v>46185</v>
      </c>
      <c r="B103" s="3" t="s">
        <v>212</v>
      </c>
      <c r="C103" s="169" t="s">
        <v>241</v>
      </c>
      <c r="D103" s="170">
        <v>45.2</v>
      </c>
      <c r="E103" s="173">
        <v>0.88</v>
      </c>
      <c r="F103" s="174">
        <f>+D103*E103</f>
        <v>39.776000000000003</v>
      </c>
      <c r="G103" s="184">
        <f>+H103/D103</f>
        <v>8</v>
      </c>
      <c r="H103" s="185">
        <v>361.6</v>
      </c>
      <c r="I103" s="158" t="str">
        <f t="shared" si="35"/>
        <v>0</v>
      </c>
      <c r="J103" s="3">
        <f t="shared" si="36"/>
        <v>45.2</v>
      </c>
      <c r="K103" s="3" t="str">
        <f t="shared" si="37"/>
        <v>0</v>
      </c>
      <c r="L103" s="3">
        <f t="shared" si="38"/>
        <v>39.776000000000003</v>
      </c>
      <c r="M103" s="3">
        <f t="shared" si="39"/>
        <v>0</v>
      </c>
      <c r="N103" s="3">
        <f t="shared" si="40"/>
        <v>379.68</v>
      </c>
      <c r="O103" s="3" t="str">
        <f t="shared" si="41"/>
        <v>0</v>
      </c>
      <c r="P103" s="3" t="str">
        <f t="shared" si="42"/>
        <v>0</v>
      </c>
      <c r="Q103" s="3" t="str">
        <f t="shared" si="43"/>
        <v>0</v>
      </c>
      <c r="R103" s="3" t="str">
        <f t="shared" si="44"/>
        <v>0</v>
      </c>
      <c r="S103" s="3">
        <f t="shared" si="45"/>
        <v>0</v>
      </c>
      <c r="T103" s="3" t="str">
        <f t="shared" si="46"/>
        <v>0</v>
      </c>
      <c r="U103" s="3"/>
      <c r="V103" s="3"/>
      <c r="W103" s="3"/>
      <c r="X103" s="3"/>
      <c r="Y103" s="3"/>
      <c r="Z103" s="3"/>
    </row>
    <row r="104" spans="1:26" x14ac:dyDescent="0.25">
      <c r="A104" s="175">
        <v>46185</v>
      </c>
      <c r="B104" s="3" t="s">
        <v>210</v>
      </c>
      <c r="C104" s="169" t="s">
        <v>236</v>
      </c>
      <c r="D104" s="4"/>
      <c r="E104" s="5"/>
      <c r="F104" s="6">
        <f t="shared" si="51"/>
        <v>0</v>
      </c>
      <c r="G104" s="6" t="e">
        <f t="shared" si="50"/>
        <v>#DIV/0!</v>
      </c>
      <c r="H104" s="7"/>
      <c r="I104" s="3" t="str">
        <f t="shared" si="35"/>
        <v>0</v>
      </c>
      <c r="J104" s="3" t="str">
        <f t="shared" si="36"/>
        <v>0</v>
      </c>
      <c r="K104" s="3" t="str">
        <f t="shared" si="37"/>
        <v>0</v>
      </c>
      <c r="L104" s="3" t="str">
        <f t="shared" si="38"/>
        <v>0</v>
      </c>
      <c r="M104" s="3">
        <f t="shared" si="39"/>
        <v>0</v>
      </c>
      <c r="N104" s="3">
        <f t="shared" si="40"/>
        <v>0</v>
      </c>
      <c r="O104" s="3" t="str">
        <f t="shared" si="41"/>
        <v>0</v>
      </c>
      <c r="P104" s="3" t="str">
        <f t="shared" si="42"/>
        <v>0</v>
      </c>
      <c r="Q104" s="3" t="str">
        <f t="shared" si="43"/>
        <v>0</v>
      </c>
      <c r="R104" s="3" t="str">
        <f t="shared" si="44"/>
        <v>0</v>
      </c>
      <c r="S104" s="3">
        <f t="shared" si="45"/>
        <v>0</v>
      </c>
      <c r="T104" s="3" t="str">
        <f t="shared" si="46"/>
        <v>0</v>
      </c>
      <c r="U104" s="3">
        <v>5390</v>
      </c>
      <c r="V104" s="3"/>
      <c r="W104" s="3"/>
      <c r="X104" s="3"/>
      <c r="Y104" s="3"/>
      <c r="Z104" s="3"/>
    </row>
    <row r="105" spans="1:26" x14ac:dyDescent="0.25">
      <c r="A105" s="175">
        <v>46185</v>
      </c>
      <c r="B105" s="3" t="s">
        <v>210</v>
      </c>
      <c r="C105" s="169" t="s">
        <v>232</v>
      </c>
      <c r="D105" s="4"/>
      <c r="E105" s="5"/>
      <c r="F105" s="6">
        <f t="shared" si="51"/>
        <v>0</v>
      </c>
      <c r="G105" s="6" t="e">
        <f t="shared" si="50"/>
        <v>#DIV/0!</v>
      </c>
      <c r="H105" s="7"/>
      <c r="I105" s="3" t="str">
        <f t="shared" si="35"/>
        <v>0</v>
      </c>
      <c r="J105" s="3" t="str">
        <f t="shared" si="36"/>
        <v>0</v>
      </c>
      <c r="K105" s="3" t="str">
        <f t="shared" si="37"/>
        <v>0</v>
      </c>
      <c r="L105" s="3" t="str">
        <f t="shared" si="38"/>
        <v>0</v>
      </c>
      <c r="M105" s="3">
        <f t="shared" si="39"/>
        <v>0</v>
      </c>
      <c r="N105" s="3">
        <f t="shared" si="40"/>
        <v>0</v>
      </c>
      <c r="O105" s="3" t="str">
        <f t="shared" si="41"/>
        <v>0</v>
      </c>
      <c r="P105" s="3" t="str">
        <f t="shared" si="42"/>
        <v>0</v>
      </c>
      <c r="Q105" s="3" t="str">
        <f t="shared" si="43"/>
        <v>0</v>
      </c>
      <c r="R105" s="3" t="str">
        <f t="shared" si="44"/>
        <v>0</v>
      </c>
      <c r="S105" s="3">
        <f t="shared" si="45"/>
        <v>0</v>
      </c>
      <c r="T105" s="3" t="str">
        <f t="shared" si="46"/>
        <v>0</v>
      </c>
      <c r="U105" s="3"/>
      <c r="V105" s="3">
        <v>25000</v>
      </c>
      <c r="W105" s="3"/>
      <c r="X105" s="3"/>
      <c r="Y105" s="3"/>
      <c r="Z105" s="3"/>
    </row>
    <row r="106" spans="1:26" x14ac:dyDescent="0.25">
      <c r="A106" s="175">
        <v>46186</v>
      </c>
      <c r="B106" s="3" t="s">
        <v>169</v>
      </c>
      <c r="C106" s="169" t="s">
        <v>228</v>
      </c>
      <c r="D106" s="170">
        <v>2274.1999999999998</v>
      </c>
      <c r="E106" s="171">
        <v>0.88</v>
      </c>
      <c r="F106" s="172">
        <f>+D106*E106</f>
        <v>2001.2959999999998</v>
      </c>
      <c r="G106" s="172">
        <f>+H106/D106</f>
        <v>11.075037375780495</v>
      </c>
      <c r="H106" s="176">
        <v>25186.85</v>
      </c>
      <c r="I106" s="158">
        <f t="shared" si="35"/>
        <v>2274.1999999999998</v>
      </c>
      <c r="J106" s="3" t="str">
        <f t="shared" si="36"/>
        <v>0</v>
      </c>
      <c r="K106" s="3">
        <f t="shared" si="37"/>
        <v>2001.2959999999998</v>
      </c>
      <c r="L106" s="3" t="str">
        <f t="shared" si="38"/>
        <v>0</v>
      </c>
      <c r="M106" s="3">
        <f t="shared" si="39"/>
        <v>26446.192499999997</v>
      </c>
      <c r="N106" s="3">
        <f t="shared" si="40"/>
        <v>0</v>
      </c>
      <c r="O106" s="3" t="str">
        <f t="shared" si="41"/>
        <v>0</v>
      </c>
      <c r="P106" s="3" t="str">
        <f t="shared" si="42"/>
        <v>0</v>
      </c>
      <c r="Q106" s="3" t="str">
        <f t="shared" si="43"/>
        <v>0</v>
      </c>
      <c r="R106" s="3" t="str">
        <f t="shared" si="44"/>
        <v>0</v>
      </c>
      <c r="S106" s="3">
        <f t="shared" si="45"/>
        <v>0</v>
      </c>
      <c r="T106" s="3" t="str">
        <f t="shared" si="46"/>
        <v>0</v>
      </c>
      <c r="U106" s="3"/>
      <c r="V106" s="3"/>
      <c r="W106" s="3"/>
      <c r="X106" s="3"/>
      <c r="Y106" s="3"/>
      <c r="Z106" s="3"/>
    </row>
    <row r="107" spans="1:26" x14ac:dyDescent="0.25">
      <c r="A107" s="175">
        <v>46186</v>
      </c>
      <c r="B107" s="3" t="s">
        <v>169</v>
      </c>
      <c r="C107" s="169" t="s">
        <v>234</v>
      </c>
      <c r="D107" s="170">
        <v>891.38</v>
      </c>
      <c r="E107" s="171">
        <v>0.88</v>
      </c>
      <c r="F107" s="172">
        <f t="shared" ref="F107:F109" si="61">+D107*E107</f>
        <v>784.4144</v>
      </c>
      <c r="G107" s="172">
        <f t="shared" ref="G107:G109" si="62">+H107/D107</f>
        <v>5.000112185599856</v>
      </c>
      <c r="H107" s="176">
        <v>4457</v>
      </c>
      <c r="I107" s="158">
        <f t="shared" si="35"/>
        <v>891.38</v>
      </c>
      <c r="J107" s="3" t="str">
        <f t="shared" si="36"/>
        <v>0</v>
      </c>
      <c r="K107" s="3">
        <f t="shared" si="37"/>
        <v>784.4144</v>
      </c>
      <c r="L107" s="3" t="str">
        <f t="shared" si="38"/>
        <v>0</v>
      </c>
      <c r="M107" s="3">
        <f t="shared" si="39"/>
        <v>4679.8500000000004</v>
      </c>
      <c r="N107" s="3">
        <f t="shared" si="40"/>
        <v>0</v>
      </c>
      <c r="O107" s="3" t="str">
        <f t="shared" si="41"/>
        <v>0</v>
      </c>
      <c r="P107" s="3" t="str">
        <f t="shared" si="42"/>
        <v>0</v>
      </c>
      <c r="Q107" s="3" t="str">
        <f t="shared" si="43"/>
        <v>0</v>
      </c>
      <c r="R107" s="3" t="str">
        <f t="shared" si="44"/>
        <v>0</v>
      </c>
      <c r="S107" s="3">
        <f t="shared" si="45"/>
        <v>0</v>
      </c>
      <c r="T107" s="3" t="str">
        <f t="shared" si="46"/>
        <v>0</v>
      </c>
      <c r="U107" s="3"/>
      <c r="V107" s="3"/>
      <c r="W107" s="3"/>
      <c r="X107" s="3"/>
      <c r="Y107" s="3"/>
      <c r="Z107" s="3"/>
    </row>
    <row r="108" spans="1:26" x14ac:dyDescent="0.25">
      <c r="A108" s="175">
        <v>46186</v>
      </c>
      <c r="B108" s="3" t="s">
        <v>169</v>
      </c>
      <c r="C108" s="169" t="s">
        <v>242</v>
      </c>
      <c r="D108" s="170">
        <v>897.4</v>
      </c>
      <c r="E108" s="171">
        <v>0.88</v>
      </c>
      <c r="F108" s="172">
        <f t="shared" si="61"/>
        <v>789.71199999999999</v>
      </c>
      <c r="G108" s="172">
        <f t="shared" si="62"/>
        <v>5</v>
      </c>
      <c r="H108" s="176">
        <v>4487</v>
      </c>
      <c r="I108" s="158">
        <f t="shared" si="35"/>
        <v>897.4</v>
      </c>
      <c r="J108" s="3" t="str">
        <f t="shared" si="36"/>
        <v>0</v>
      </c>
      <c r="K108" s="3">
        <f t="shared" si="37"/>
        <v>789.71199999999999</v>
      </c>
      <c r="L108" s="3" t="str">
        <f t="shared" si="38"/>
        <v>0</v>
      </c>
      <c r="M108" s="3">
        <f t="shared" si="39"/>
        <v>4711.3500000000004</v>
      </c>
      <c r="N108" s="3">
        <f t="shared" si="40"/>
        <v>0</v>
      </c>
      <c r="O108" s="3" t="str">
        <f t="shared" si="41"/>
        <v>0</v>
      </c>
      <c r="P108" s="3" t="str">
        <f t="shared" si="42"/>
        <v>0</v>
      </c>
      <c r="Q108" s="3" t="str">
        <f t="shared" si="43"/>
        <v>0</v>
      </c>
      <c r="R108" s="3" t="str">
        <f t="shared" si="44"/>
        <v>0</v>
      </c>
      <c r="S108" s="3">
        <f t="shared" si="45"/>
        <v>0</v>
      </c>
      <c r="T108" s="3" t="str">
        <f t="shared" si="46"/>
        <v>0</v>
      </c>
      <c r="U108" s="3"/>
      <c r="V108" s="3"/>
      <c r="W108" s="3"/>
      <c r="X108" s="3"/>
      <c r="Y108" s="3"/>
      <c r="Z108" s="3"/>
    </row>
    <row r="109" spans="1:26" x14ac:dyDescent="0.25">
      <c r="A109" s="175">
        <v>46186</v>
      </c>
      <c r="B109" s="3" t="s">
        <v>169</v>
      </c>
      <c r="C109" s="3" t="s">
        <v>230</v>
      </c>
      <c r="D109" s="170">
        <v>717.3</v>
      </c>
      <c r="E109" s="171">
        <v>0.88</v>
      </c>
      <c r="F109" s="172">
        <f t="shared" si="61"/>
        <v>631.22399999999993</v>
      </c>
      <c r="G109" s="172">
        <f t="shared" si="62"/>
        <v>8.5</v>
      </c>
      <c r="H109" s="176">
        <v>6097.05</v>
      </c>
      <c r="I109" s="158">
        <f t="shared" si="35"/>
        <v>717.3</v>
      </c>
      <c r="J109" s="3" t="str">
        <f t="shared" si="36"/>
        <v>0</v>
      </c>
      <c r="K109" s="3">
        <f t="shared" si="37"/>
        <v>631.22399999999993</v>
      </c>
      <c r="L109" s="3" t="str">
        <f t="shared" si="38"/>
        <v>0</v>
      </c>
      <c r="M109" s="3">
        <f t="shared" si="39"/>
        <v>6401.9025000000001</v>
      </c>
      <c r="N109" s="3">
        <f t="shared" si="40"/>
        <v>0</v>
      </c>
      <c r="O109" s="3" t="str">
        <f t="shared" si="41"/>
        <v>0</v>
      </c>
      <c r="P109" s="3" t="str">
        <f t="shared" si="42"/>
        <v>0</v>
      </c>
      <c r="Q109" s="3" t="str">
        <f t="shared" si="43"/>
        <v>0</v>
      </c>
      <c r="R109" s="3" t="str">
        <f t="shared" si="44"/>
        <v>0</v>
      </c>
      <c r="S109" s="3">
        <f t="shared" si="45"/>
        <v>0</v>
      </c>
      <c r="T109" s="3" t="str">
        <f t="shared" si="46"/>
        <v>0</v>
      </c>
      <c r="U109" s="3"/>
      <c r="V109" s="3"/>
      <c r="W109" s="3"/>
      <c r="X109" s="3"/>
      <c r="Y109" s="3"/>
      <c r="Z109" s="3"/>
    </row>
    <row r="110" spans="1:26" x14ac:dyDescent="0.25">
      <c r="A110" s="175">
        <v>46186</v>
      </c>
      <c r="B110" s="3" t="s">
        <v>170</v>
      </c>
      <c r="C110" s="169" t="s">
        <v>228</v>
      </c>
      <c r="D110" s="170">
        <v>3000</v>
      </c>
      <c r="E110" s="173">
        <v>0.995</v>
      </c>
      <c r="F110" s="174">
        <f t="shared" ref="F110:F114" si="63">D110*E110</f>
        <v>2985</v>
      </c>
      <c r="G110" s="6">
        <f t="shared" si="50"/>
        <v>0</v>
      </c>
      <c r="H110" s="7"/>
      <c r="I110" s="158" t="str">
        <f t="shared" si="35"/>
        <v>0</v>
      </c>
      <c r="J110" s="3" t="str">
        <f t="shared" si="36"/>
        <v>0</v>
      </c>
      <c r="K110" s="3" t="str">
        <f t="shared" si="37"/>
        <v>0</v>
      </c>
      <c r="L110" s="3" t="str">
        <f t="shared" si="38"/>
        <v>0</v>
      </c>
      <c r="M110" s="3">
        <f t="shared" si="39"/>
        <v>0</v>
      </c>
      <c r="N110" s="3">
        <f t="shared" si="40"/>
        <v>0</v>
      </c>
      <c r="O110" s="3">
        <f t="shared" si="41"/>
        <v>3000</v>
      </c>
      <c r="P110" s="3" t="str">
        <f t="shared" si="42"/>
        <v>0</v>
      </c>
      <c r="Q110" s="3">
        <f t="shared" si="43"/>
        <v>2985</v>
      </c>
      <c r="R110" s="3" t="str">
        <f t="shared" si="44"/>
        <v>0</v>
      </c>
      <c r="S110" s="3">
        <f t="shared" si="45"/>
        <v>0</v>
      </c>
      <c r="T110" s="3" t="str">
        <f t="shared" si="46"/>
        <v>0</v>
      </c>
      <c r="U110" s="3"/>
      <c r="V110" s="3"/>
      <c r="W110" s="3"/>
      <c r="X110" s="3"/>
      <c r="Y110" s="3"/>
      <c r="Z110" s="3"/>
    </row>
    <row r="111" spans="1:26" x14ac:dyDescent="0.25">
      <c r="A111" s="175">
        <v>46186</v>
      </c>
      <c r="B111" s="3" t="s">
        <v>170</v>
      </c>
      <c r="C111" s="169" t="s">
        <v>233</v>
      </c>
      <c r="D111" s="170">
        <v>438.5</v>
      </c>
      <c r="E111" s="173">
        <v>0.995</v>
      </c>
      <c r="F111" s="174">
        <f t="shared" si="63"/>
        <v>436.3075</v>
      </c>
      <c r="G111" s="6">
        <f t="shared" si="50"/>
        <v>0</v>
      </c>
      <c r="H111" s="7"/>
      <c r="I111" s="158" t="str">
        <f t="shared" si="35"/>
        <v>0</v>
      </c>
      <c r="J111" s="3" t="str">
        <f t="shared" si="36"/>
        <v>0</v>
      </c>
      <c r="K111" s="3" t="str">
        <f t="shared" si="37"/>
        <v>0</v>
      </c>
      <c r="L111" s="3" t="str">
        <f t="shared" si="38"/>
        <v>0</v>
      </c>
      <c r="M111" s="3">
        <f t="shared" si="39"/>
        <v>0</v>
      </c>
      <c r="N111" s="3">
        <f t="shared" si="40"/>
        <v>0</v>
      </c>
      <c r="O111" s="3">
        <f t="shared" si="41"/>
        <v>438.5</v>
      </c>
      <c r="P111" s="3" t="str">
        <f t="shared" si="42"/>
        <v>0</v>
      </c>
      <c r="Q111" s="3">
        <f t="shared" si="43"/>
        <v>436.3075</v>
      </c>
      <c r="R111" s="3" t="str">
        <f t="shared" si="44"/>
        <v>0</v>
      </c>
      <c r="S111" s="3">
        <f t="shared" si="45"/>
        <v>0</v>
      </c>
      <c r="T111" s="3" t="str">
        <f t="shared" si="46"/>
        <v>0</v>
      </c>
      <c r="U111" s="3"/>
      <c r="V111" s="3"/>
      <c r="W111" s="3"/>
      <c r="X111" s="3"/>
      <c r="Y111" s="3"/>
      <c r="Z111" s="3"/>
    </row>
    <row r="112" spans="1:26" x14ac:dyDescent="0.25">
      <c r="A112" s="175">
        <v>46186</v>
      </c>
      <c r="B112" s="3" t="s">
        <v>170</v>
      </c>
      <c r="C112" s="3" t="s">
        <v>230</v>
      </c>
      <c r="D112" s="170">
        <v>382.9</v>
      </c>
      <c r="E112" s="173">
        <v>0.995</v>
      </c>
      <c r="F112" s="174">
        <f t="shared" si="63"/>
        <v>380.9855</v>
      </c>
      <c r="G112" s="6">
        <f t="shared" si="50"/>
        <v>0</v>
      </c>
      <c r="H112" s="7"/>
      <c r="I112" s="158" t="str">
        <f t="shared" si="35"/>
        <v>0</v>
      </c>
      <c r="J112" s="3" t="str">
        <f t="shared" si="36"/>
        <v>0</v>
      </c>
      <c r="K112" s="3" t="str">
        <f t="shared" si="37"/>
        <v>0</v>
      </c>
      <c r="L112" s="3" t="str">
        <f t="shared" si="38"/>
        <v>0</v>
      </c>
      <c r="M112" s="3">
        <f t="shared" si="39"/>
        <v>0</v>
      </c>
      <c r="N112" s="3">
        <f t="shared" si="40"/>
        <v>0</v>
      </c>
      <c r="O112" s="3">
        <f t="shared" si="41"/>
        <v>382.9</v>
      </c>
      <c r="P112" s="3" t="str">
        <f t="shared" si="42"/>
        <v>0</v>
      </c>
      <c r="Q112" s="3">
        <f t="shared" si="43"/>
        <v>380.9855</v>
      </c>
      <c r="R112" s="3" t="str">
        <f t="shared" si="44"/>
        <v>0</v>
      </c>
      <c r="S112" s="3">
        <f t="shared" si="45"/>
        <v>0</v>
      </c>
      <c r="T112" s="3" t="str">
        <f t="shared" si="46"/>
        <v>0</v>
      </c>
      <c r="U112" s="3"/>
      <c r="V112" s="3"/>
      <c r="W112" s="3"/>
      <c r="X112" s="3"/>
      <c r="Y112" s="3"/>
      <c r="Z112" s="3"/>
    </row>
    <row r="113" spans="1:26" x14ac:dyDescent="0.25">
      <c r="A113" s="175">
        <v>46186</v>
      </c>
      <c r="B113" s="3" t="s">
        <v>170</v>
      </c>
      <c r="C113" s="169" t="s">
        <v>234</v>
      </c>
      <c r="D113" s="170">
        <v>1000</v>
      </c>
      <c r="E113" s="173">
        <v>0.995</v>
      </c>
      <c r="F113" s="174">
        <f t="shared" si="63"/>
        <v>995</v>
      </c>
      <c r="G113" s="6">
        <f t="shared" si="50"/>
        <v>0</v>
      </c>
      <c r="H113" s="7"/>
      <c r="I113" s="158" t="str">
        <f t="shared" si="35"/>
        <v>0</v>
      </c>
      <c r="J113" s="3" t="str">
        <f t="shared" si="36"/>
        <v>0</v>
      </c>
      <c r="K113" s="3" t="str">
        <f t="shared" si="37"/>
        <v>0</v>
      </c>
      <c r="L113" s="3" t="str">
        <f t="shared" si="38"/>
        <v>0</v>
      </c>
      <c r="M113" s="3">
        <f t="shared" si="39"/>
        <v>0</v>
      </c>
      <c r="N113" s="3">
        <f t="shared" si="40"/>
        <v>0</v>
      </c>
      <c r="O113" s="3">
        <f t="shared" si="41"/>
        <v>1000</v>
      </c>
      <c r="P113" s="3" t="str">
        <f t="shared" si="42"/>
        <v>0</v>
      </c>
      <c r="Q113" s="3">
        <f t="shared" si="43"/>
        <v>995</v>
      </c>
      <c r="R113" s="3" t="str">
        <f t="shared" si="44"/>
        <v>0</v>
      </c>
      <c r="S113" s="3">
        <f t="shared" si="45"/>
        <v>0</v>
      </c>
      <c r="T113" s="3" t="str">
        <f t="shared" si="46"/>
        <v>0</v>
      </c>
      <c r="U113" s="3"/>
      <c r="V113" s="3"/>
      <c r="W113" s="3"/>
      <c r="X113" s="3"/>
      <c r="Y113" s="3"/>
      <c r="Z113" s="3"/>
    </row>
    <row r="114" spans="1:26" x14ac:dyDescent="0.25">
      <c r="A114" s="175">
        <v>46186</v>
      </c>
      <c r="B114" s="3" t="s">
        <v>170</v>
      </c>
      <c r="C114" s="169" t="s">
        <v>242</v>
      </c>
      <c r="D114" s="170">
        <v>596</v>
      </c>
      <c r="E114" s="173">
        <v>0.995</v>
      </c>
      <c r="F114" s="174">
        <f t="shared" si="63"/>
        <v>593.02</v>
      </c>
      <c r="G114" s="6">
        <f t="shared" si="50"/>
        <v>0</v>
      </c>
      <c r="H114" s="7"/>
      <c r="I114" s="158" t="str">
        <f t="shared" si="35"/>
        <v>0</v>
      </c>
      <c r="J114" s="3" t="str">
        <f t="shared" si="36"/>
        <v>0</v>
      </c>
      <c r="K114" s="3" t="str">
        <f t="shared" si="37"/>
        <v>0</v>
      </c>
      <c r="L114" s="3" t="str">
        <f t="shared" si="38"/>
        <v>0</v>
      </c>
      <c r="M114" s="3">
        <f t="shared" si="39"/>
        <v>0</v>
      </c>
      <c r="N114" s="3">
        <f t="shared" si="40"/>
        <v>0</v>
      </c>
      <c r="O114" s="3">
        <f t="shared" si="41"/>
        <v>596</v>
      </c>
      <c r="P114" s="3" t="str">
        <f t="shared" si="42"/>
        <v>0</v>
      </c>
      <c r="Q114" s="3">
        <f t="shared" si="43"/>
        <v>593.02</v>
      </c>
      <c r="R114" s="3" t="str">
        <f t="shared" si="44"/>
        <v>0</v>
      </c>
      <c r="S114" s="3">
        <f t="shared" si="45"/>
        <v>0</v>
      </c>
      <c r="T114" s="3" t="str">
        <f t="shared" si="46"/>
        <v>0</v>
      </c>
      <c r="U114" s="3"/>
      <c r="V114" s="3"/>
      <c r="W114" s="3"/>
      <c r="X114" s="3"/>
      <c r="Y114" s="3"/>
      <c r="Z114" s="3"/>
    </row>
    <row r="115" spans="1:26" x14ac:dyDescent="0.25">
      <c r="A115" s="175">
        <v>46188</v>
      </c>
      <c r="B115" s="3" t="s">
        <v>169</v>
      </c>
      <c r="C115" s="3" t="s">
        <v>235</v>
      </c>
      <c r="D115" s="170">
        <v>456.8</v>
      </c>
      <c r="E115" s="171">
        <v>0.88</v>
      </c>
      <c r="F115" s="172">
        <f>+D115*E115</f>
        <v>401.98400000000004</v>
      </c>
      <c r="G115" s="172">
        <f>+H115/D115</f>
        <v>5</v>
      </c>
      <c r="H115" s="176">
        <v>2284</v>
      </c>
      <c r="I115" s="158">
        <f t="shared" si="35"/>
        <v>456.8</v>
      </c>
      <c r="J115" s="3" t="str">
        <f t="shared" si="36"/>
        <v>0</v>
      </c>
      <c r="K115" s="3">
        <f t="shared" si="37"/>
        <v>401.98400000000004</v>
      </c>
      <c r="L115" s="3" t="str">
        <f t="shared" si="38"/>
        <v>0</v>
      </c>
      <c r="M115" s="3">
        <f t="shared" si="39"/>
        <v>2398.1999999999998</v>
      </c>
      <c r="N115" s="3">
        <f t="shared" si="40"/>
        <v>0</v>
      </c>
      <c r="O115" s="3" t="str">
        <f t="shared" si="41"/>
        <v>0</v>
      </c>
      <c r="P115" s="3" t="str">
        <f t="shared" si="42"/>
        <v>0</v>
      </c>
      <c r="Q115" s="3" t="str">
        <f t="shared" si="43"/>
        <v>0</v>
      </c>
      <c r="R115" s="3" t="str">
        <f t="shared" si="44"/>
        <v>0</v>
      </c>
      <c r="S115" s="3">
        <f t="shared" si="45"/>
        <v>0</v>
      </c>
      <c r="T115" s="3" t="str">
        <f t="shared" si="46"/>
        <v>0</v>
      </c>
      <c r="U115" s="3"/>
      <c r="V115" s="3"/>
      <c r="W115" s="3"/>
      <c r="X115" s="3"/>
      <c r="Y115" s="3"/>
      <c r="Z115" s="3"/>
    </row>
    <row r="116" spans="1:26" x14ac:dyDescent="0.25">
      <c r="A116" s="175">
        <v>46188</v>
      </c>
      <c r="B116" s="3" t="s">
        <v>169</v>
      </c>
      <c r="C116" s="169" t="s">
        <v>243</v>
      </c>
      <c r="D116" s="170">
        <v>956.9</v>
      </c>
      <c r="E116" s="171">
        <v>0.88</v>
      </c>
      <c r="F116" s="172">
        <f t="shared" ref="F116:F117" si="64">+D116*E116</f>
        <v>842.072</v>
      </c>
      <c r="G116" s="172">
        <f t="shared" ref="G116:G117" si="65">+H116/D116</f>
        <v>5</v>
      </c>
      <c r="H116" s="176">
        <v>4784.5</v>
      </c>
      <c r="I116" s="158">
        <f t="shared" si="35"/>
        <v>956.9</v>
      </c>
      <c r="J116" s="3" t="str">
        <f t="shared" si="36"/>
        <v>0</v>
      </c>
      <c r="K116" s="3">
        <f t="shared" si="37"/>
        <v>842.072</v>
      </c>
      <c r="L116" s="3" t="str">
        <f t="shared" si="38"/>
        <v>0</v>
      </c>
      <c r="M116" s="3">
        <f t="shared" si="39"/>
        <v>5023.7250000000004</v>
      </c>
      <c r="N116" s="3">
        <f t="shared" si="40"/>
        <v>0</v>
      </c>
      <c r="O116" s="3" t="str">
        <f t="shared" si="41"/>
        <v>0</v>
      </c>
      <c r="P116" s="3" t="str">
        <f t="shared" si="42"/>
        <v>0</v>
      </c>
      <c r="Q116" s="3" t="str">
        <f t="shared" si="43"/>
        <v>0</v>
      </c>
      <c r="R116" s="3" t="str">
        <f t="shared" si="44"/>
        <v>0</v>
      </c>
      <c r="S116" s="3">
        <f t="shared" si="45"/>
        <v>0</v>
      </c>
      <c r="T116" s="3" t="str">
        <f t="shared" si="46"/>
        <v>0</v>
      </c>
      <c r="U116" s="3"/>
      <c r="V116" s="3"/>
      <c r="W116" s="3"/>
      <c r="X116" s="3"/>
      <c r="Y116" s="3"/>
      <c r="Z116" s="3"/>
    </row>
    <row r="117" spans="1:26" x14ac:dyDescent="0.25">
      <c r="A117" s="175">
        <v>46188</v>
      </c>
      <c r="B117" s="3" t="s">
        <v>169</v>
      </c>
      <c r="C117" s="169" t="s">
        <v>234</v>
      </c>
      <c r="D117" s="170">
        <v>1741.3</v>
      </c>
      <c r="E117" s="171">
        <v>0.88</v>
      </c>
      <c r="F117" s="172">
        <f t="shared" si="64"/>
        <v>1532.3440000000001</v>
      </c>
      <c r="G117" s="172">
        <f t="shared" si="65"/>
        <v>5.0002871417906167</v>
      </c>
      <c r="H117" s="176">
        <v>8707</v>
      </c>
      <c r="I117" s="158">
        <f t="shared" si="35"/>
        <v>1741.3</v>
      </c>
      <c r="J117" s="3" t="str">
        <f t="shared" si="36"/>
        <v>0</v>
      </c>
      <c r="K117" s="3">
        <f t="shared" si="37"/>
        <v>1532.3440000000001</v>
      </c>
      <c r="L117" s="3" t="str">
        <f t="shared" si="38"/>
        <v>0</v>
      </c>
      <c r="M117" s="3">
        <f t="shared" si="39"/>
        <v>9142.35</v>
      </c>
      <c r="N117" s="3">
        <f t="shared" si="40"/>
        <v>0</v>
      </c>
      <c r="O117" s="3" t="str">
        <f t="shared" si="41"/>
        <v>0</v>
      </c>
      <c r="P117" s="3" t="str">
        <f t="shared" si="42"/>
        <v>0</v>
      </c>
      <c r="Q117" s="3" t="str">
        <f t="shared" si="43"/>
        <v>0</v>
      </c>
      <c r="R117" s="3" t="str">
        <f t="shared" si="44"/>
        <v>0</v>
      </c>
      <c r="S117" s="3">
        <f t="shared" si="45"/>
        <v>0</v>
      </c>
      <c r="T117" s="3" t="str">
        <f t="shared" si="46"/>
        <v>0</v>
      </c>
      <c r="U117" s="3"/>
      <c r="V117" s="3"/>
      <c r="W117" s="3"/>
      <c r="X117" s="3"/>
      <c r="Y117" s="3"/>
      <c r="Z117" s="3"/>
    </row>
    <row r="118" spans="1:26" x14ac:dyDescent="0.25">
      <c r="A118" s="175">
        <v>46188</v>
      </c>
      <c r="B118" s="3" t="s">
        <v>170</v>
      </c>
      <c r="C118" s="169" t="s">
        <v>234</v>
      </c>
      <c r="D118" s="170">
        <v>1473.78</v>
      </c>
      <c r="E118" s="173">
        <v>0.995</v>
      </c>
      <c r="F118" s="174">
        <f t="shared" ref="F118:F120" si="66">D118*E118</f>
        <v>1466.4111</v>
      </c>
      <c r="G118" s="6"/>
      <c r="H118" s="176"/>
      <c r="I118" s="158" t="str">
        <f t="shared" si="35"/>
        <v>0</v>
      </c>
      <c r="J118" s="3" t="str">
        <f t="shared" si="36"/>
        <v>0</v>
      </c>
      <c r="K118" s="3" t="str">
        <f t="shared" si="37"/>
        <v>0</v>
      </c>
      <c r="L118" s="3" t="str">
        <f t="shared" si="38"/>
        <v>0</v>
      </c>
      <c r="M118" s="3">
        <f t="shared" si="39"/>
        <v>0</v>
      </c>
      <c r="N118" s="3">
        <f t="shared" si="40"/>
        <v>0</v>
      </c>
      <c r="O118" s="3">
        <f t="shared" si="41"/>
        <v>1473.78</v>
      </c>
      <c r="P118" s="3" t="str">
        <f t="shared" si="42"/>
        <v>0</v>
      </c>
      <c r="Q118" s="3">
        <f t="shared" si="43"/>
        <v>1466.4111</v>
      </c>
      <c r="R118" s="3" t="str">
        <f t="shared" si="44"/>
        <v>0</v>
      </c>
      <c r="S118" s="3">
        <f t="shared" si="45"/>
        <v>0</v>
      </c>
      <c r="T118" s="3" t="str">
        <f t="shared" si="46"/>
        <v>0</v>
      </c>
      <c r="U118" s="3"/>
      <c r="V118" s="3"/>
      <c r="W118" s="3"/>
      <c r="X118" s="3"/>
      <c r="Y118" s="3"/>
      <c r="Z118" s="3"/>
    </row>
    <row r="119" spans="1:26" x14ac:dyDescent="0.25">
      <c r="A119" s="175">
        <v>46188</v>
      </c>
      <c r="B119" s="3" t="s">
        <v>170</v>
      </c>
      <c r="C119" s="3" t="s">
        <v>235</v>
      </c>
      <c r="D119" s="170">
        <v>411</v>
      </c>
      <c r="E119" s="173">
        <v>1</v>
      </c>
      <c r="F119" s="174">
        <f t="shared" si="66"/>
        <v>411</v>
      </c>
      <c r="G119" s="6"/>
      <c r="H119" s="176"/>
      <c r="I119" s="158" t="str">
        <f t="shared" si="35"/>
        <v>0</v>
      </c>
      <c r="J119" s="3" t="str">
        <f t="shared" si="36"/>
        <v>0</v>
      </c>
      <c r="K119" s="3" t="str">
        <f t="shared" si="37"/>
        <v>0</v>
      </c>
      <c r="L119" s="3" t="str">
        <f t="shared" si="38"/>
        <v>0</v>
      </c>
      <c r="M119" s="3">
        <f t="shared" si="39"/>
        <v>0</v>
      </c>
      <c r="N119" s="3">
        <f t="shared" si="40"/>
        <v>0</v>
      </c>
      <c r="O119" s="3">
        <f t="shared" si="41"/>
        <v>411</v>
      </c>
      <c r="P119" s="3" t="str">
        <f t="shared" si="42"/>
        <v>0</v>
      </c>
      <c r="Q119" s="3">
        <f t="shared" si="43"/>
        <v>411</v>
      </c>
      <c r="R119" s="3" t="str">
        <f t="shared" si="44"/>
        <v>0</v>
      </c>
      <c r="S119" s="3">
        <f t="shared" si="45"/>
        <v>0</v>
      </c>
      <c r="T119" s="3" t="str">
        <f t="shared" si="46"/>
        <v>0</v>
      </c>
      <c r="U119" s="3"/>
      <c r="V119" s="3"/>
      <c r="W119" s="3"/>
      <c r="X119" s="3"/>
      <c r="Y119" s="3"/>
      <c r="Z119" s="3"/>
    </row>
    <row r="120" spans="1:26" x14ac:dyDescent="0.25">
      <c r="A120" s="175">
        <v>46188</v>
      </c>
      <c r="B120" s="3" t="s">
        <v>170</v>
      </c>
      <c r="C120" s="3" t="s">
        <v>230</v>
      </c>
      <c r="D120" s="170">
        <v>600</v>
      </c>
      <c r="E120" s="173">
        <v>0.88</v>
      </c>
      <c r="F120" s="174">
        <f t="shared" si="66"/>
        <v>528</v>
      </c>
      <c r="G120" s="6">
        <f>H120/D120</f>
        <v>5</v>
      </c>
      <c r="H120" s="176">
        <v>3000</v>
      </c>
      <c r="I120" s="158" t="str">
        <f t="shared" si="35"/>
        <v>0</v>
      </c>
      <c r="J120" s="3" t="str">
        <f t="shared" si="36"/>
        <v>0</v>
      </c>
      <c r="K120" s="3" t="str">
        <f t="shared" si="37"/>
        <v>0</v>
      </c>
      <c r="L120" s="3" t="str">
        <f t="shared" si="38"/>
        <v>0</v>
      </c>
      <c r="M120" s="3">
        <f t="shared" si="39"/>
        <v>0</v>
      </c>
      <c r="N120" s="3">
        <f t="shared" si="40"/>
        <v>0</v>
      </c>
      <c r="O120" s="3">
        <f t="shared" si="41"/>
        <v>600</v>
      </c>
      <c r="P120" s="3" t="str">
        <f t="shared" si="42"/>
        <v>0</v>
      </c>
      <c r="Q120" s="3">
        <f t="shared" si="43"/>
        <v>528</v>
      </c>
      <c r="R120" s="3" t="str">
        <f t="shared" si="44"/>
        <v>0</v>
      </c>
      <c r="S120" s="3">
        <f t="shared" si="45"/>
        <v>3150</v>
      </c>
      <c r="T120" s="3" t="str">
        <f t="shared" si="46"/>
        <v>0</v>
      </c>
      <c r="U120" s="3"/>
      <c r="V120" s="3"/>
      <c r="W120" s="3"/>
      <c r="X120" s="3"/>
      <c r="Y120" s="3"/>
      <c r="Z120" s="3"/>
    </row>
    <row r="121" spans="1:26" x14ac:dyDescent="0.25">
      <c r="A121" s="175">
        <v>46189</v>
      </c>
      <c r="B121" s="3" t="s">
        <v>169</v>
      </c>
      <c r="C121" s="169" t="s">
        <v>228</v>
      </c>
      <c r="D121" s="170">
        <v>2874.8</v>
      </c>
      <c r="E121" s="171">
        <v>0.88</v>
      </c>
      <c r="F121" s="172">
        <f>+D121*E121</f>
        <v>2529.8240000000001</v>
      </c>
      <c r="G121" s="172">
        <f>+H121/D121</f>
        <v>10.176829692500347</v>
      </c>
      <c r="H121" s="176">
        <v>29256.35</v>
      </c>
      <c r="I121" s="158">
        <f t="shared" si="35"/>
        <v>2874.8</v>
      </c>
      <c r="J121" s="3" t="str">
        <f t="shared" si="36"/>
        <v>0</v>
      </c>
      <c r="K121" s="3">
        <f t="shared" si="37"/>
        <v>2529.8240000000001</v>
      </c>
      <c r="L121" s="3" t="str">
        <f t="shared" si="38"/>
        <v>0</v>
      </c>
      <c r="M121" s="3">
        <f t="shared" si="39"/>
        <v>30719.1675</v>
      </c>
      <c r="N121" s="3">
        <f t="shared" si="40"/>
        <v>0</v>
      </c>
      <c r="O121" s="3" t="str">
        <f t="shared" si="41"/>
        <v>0</v>
      </c>
      <c r="P121" s="3" t="str">
        <f t="shared" si="42"/>
        <v>0</v>
      </c>
      <c r="Q121" s="3" t="str">
        <f t="shared" si="43"/>
        <v>0</v>
      </c>
      <c r="R121" s="3" t="str">
        <f t="shared" si="44"/>
        <v>0</v>
      </c>
      <c r="S121" s="3">
        <f t="shared" si="45"/>
        <v>0</v>
      </c>
      <c r="T121" s="3" t="str">
        <f t="shared" si="46"/>
        <v>0</v>
      </c>
      <c r="U121" s="3"/>
      <c r="V121" s="3"/>
      <c r="W121" s="3"/>
      <c r="X121" s="3"/>
      <c r="Y121" s="3"/>
      <c r="Z121" s="3"/>
    </row>
    <row r="122" spans="1:26" x14ac:dyDescent="0.25">
      <c r="A122" s="175">
        <v>46189</v>
      </c>
      <c r="B122" s="3" t="s">
        <v>169</v>
      </c>
      <c r="C122" s="169" t="s">
        <v>227</v>
      </c>
      <c r="D122" s="170">
        <v>1143.25</v>
      </c>
      <c r="E122" s="171">
        <v>0.88</v>
      </c>
      <c r="F122" s="172">
        <f t="shared" ref="F122:F124" si="67">+D122*E122</f>
        <v>1006.0600000000001</v>
      </c>
      <c r="G122" s="172">
        <f t="shared" ref="G122:G124" si="68">+H122/D122</f>
        <v>4</v>
      </c>
      <c r="H122" s="176">
        <v>4573</v>
      </c>
      <c r="I122" s="158">
        <f t="shared" si="35"/>
        <v>1143.25</v>
      </c>
      <c r="J122" s="3" t="str">
        <f t="shared" si="36"/>
        <v>0</v>
      </c>
      <c r="K122" s="3">
        <f t="shared" si="37"/>
        <v>1006.0600000000001</v>
      </c>
      <c r="L122" s="3" t="str">
        <f t="shared" si="38"/>
        <v>0</v>
      </c>
      <c r="M122" s="3">
        <f t="shared" si="39"/>
        <v>4801.6499999999996</v>
      </c>
      <c r="N122" s="3">
        <f t="shared" si="40"/>
        <v>0</v>
      </c>
      <c r="O122" s="3" t="str">
        <f t="shared" si="41"/>
        <v>0</v>
      </c>
      <c r="P122" s="3" t="str">
        <f t="shared" si="42"/>
        <v>0</v>
      </c>
      <c r="Q122" s="3" t="str">
        <f t="shared" si="43"/>
        <v>0</v>
      </c>
      <c r="R122" s="3" t="str">
        <f t="shared" si="44"/>
        <v>0</v>
      </c>
      <c r="S122" s="3">
        <f t="shared" si="45"/>
        <v>0</v>
      </c>
      <c r="T122" s="3" t="str">
        <f t="shared" si="46"/>
        <v>0</v>
      </c>
      <c r="U122" s="3"/>
      <c r="V122" s="3"/>
      <c r="W122" s="3"/>
      <c r="X122" s="3"/>
      <c r="Y122" s="3"/>
      <c r="Z122" s="3"/>
    </row>
    <row r="123" spans="1:26" x14ac:dyDescent="0.25">
      <c r="A123" s="175">
        <v>46189</v>
      </c>
      <c r="B123" s="3" t="s">
        <v>169</v>
      </c>
      <c r="C123" s="169" t="s">
        <v>245</v>
      </c>
      <c r="D123" s="170">
        <v>1109</v>
      </c>
      <c r="E123" s="171">
        <v>0.88</v>
      </c>
      <c r="F123" s="172">
        <f t="shared" si="67"/>
        <v>975.92</v>
      </c>
      <c r="G123" s="172">
        <f t="shared" si="68"/>
        <v>5.5</v>
      </c>
      <c r="H123" s="176">
        <f>1109*5.5</f>
        <v>6099.5</v>
      </c>
      <c r="I123" s="158">
        <f t="shared" si="35"/>
        <v>1109</v>
      </c>
      <c r="J123" s="3" t="str">
        <f t="shared" si="36"/>
        <v>0</v>
      </c>
      <c r="K123" s="3">
        <f t="shared" si="37"/>
        <v>975.92</v>
      </c>
      <c r="L123" s="3" t="str">
        <f t="shared" si="38"/>
        <v>0</v>
      </c>
      <c r="M123" s="3">
        <f t="shared" si="39"/>
        <v>6404.4750000000004</v>
      </c>
      <c r="N123" s="3">
        <f t="shared" si="40"/>
        <v>0</v>
      </c>
      <c r="O123" s="3" t="str">
        <f t="shared" si="41"/>
        <v>0</v>
      </c>
      <c r="P123" s="3" t="str">
        <f t="shared" si="42"/>
        <v>0</v>
      </c>
      <c r="Q123" s="3" t="str">
        <f t="shared" si="43"/>
        <v>0</v>
      </c>
      <c r="R123" s="3" t="str">
        <f t="shared" si="44"/>
        <v>0</v>
      </c>
      <c r="S123" s="3">
        <f t="shared" si="45"/>
        <v>0</v>
      </c>
      <c r="T123" s="3" t="str">
        <f t="shared" si="46"/>
        <v>0</v>
      </c>
      <c r="U123" s="3"/>
      <c r="V123" s="3"/>
      <c r="W123" s="3"/>
      <c r="X123" s="3"/>
      <c r="Y123" s="3"/>
      <c r="Z123" s="3"/>
    </row>
    <row r="124" spans="1:26" x14ac:dyDescent="0.25">
      <c r="A124" s="175">
        <v>46189</v>
      </c>
      <c r="B124" s="3" t="s">
        <v>169</v>
      </c>
      <c r="C124" s="169" t="s">
        <v>229</v>
      </c>
      <c r="D124" s="170">
        <v>871</v>
      </c>
      <c r="E124" s="171">
        <v>0.88</v>
      </c>
      <c r="F124" s="172">
        <f t="shared" si="67"/>
        <v>766.48</v>
      </c>
      <c r="G124" s="172">
        <f t="shared" si="68"/>
        <v>7.2816877152698041</v>
      </c>
      <c r="H124" s="176">
        <f>906.05*7</f>
        <v>6342.3499999999995</v>
      </c>
      <c r="I124" s="158">
        <f t="shared" si="35"/>
        <v>871</v>
      </c>
      <c r="J124" s="3" t="str">
        <f t="shared" si="36"/>
        <v>0</v>
      </c>
      <c r="K124" s="3">
        <f t="shared" si="37"/>
        <v>766.48</v>
      </c>
      <c r="L124" s="3" t="str">
        <f t="shared" si="38"/>
        <v>0</v>
      </c>
      <c r="M124" s="3">
        <f t="shared" si="39"/>
        <v>6659.4674999999997</v>
      </c>
      <c r="N124" s="3">
        <f t="shared" si="40"/>
        <v>0</v>
      </c>
      <c r="O124" s="3" t="str">
        <f t="shared" si="41"/>
        <v>0</v>
      </c>
      <c r="P124" s="3" t="str">
        <f t="shared" si="42"/>
        <v>0</v>
      </c>
      <c r="Q124" s="3" t="str">
        <f t="shared" si="43"/>
        <v>0</v>
      </c>
      <c r="R124" s="3" t="str">
        <f t="shared" si="44"/>
        <v>0</v>
      </c>
      <c r="S124" s="3">
        <f t="shared" si="45"/>
        <v>0</v>
      </c>
      <c r="T124" s="3" t="str">
        <f t="shared" si="46"/>
        <v>0</v>
      </c>
      <c r="U124" s="3"/>
      <c r="V124" s="3"/>
      <c r="W124" s="3"/>
      <c r="X124" s="3"/>
      <c r="Y124" s="3"/>
      <c r="Z124" s="3"/>
    </row>
    <row r="125" spans="1:26" x14ac:dyDescent="0.25">
      <c r="A125" s="175">
        <v>46189</v>
      </c>
      <c r="B125" s="3" t="s">
        <v>170</v>
      </c>
      <c r="C125" s="169" t="s">
        <v>229</v>
      </c>
      <c r="D125" s="170">
        <v>1000</v>
      </c>
      <c r="E125" s="173">
        <v>0.995</v>
      </c>
      <c r="F125" s="174">
        <f t="shared" ref="F125:F129" si="69">D125*E125</f>
        <v>995</v>
      </c>
      <c r="G125" s="6">
        <f t="shared" si="50"/>
        <v>0</v>
      </c>
      <c r="H125" s="7"/>
      <c r="I125" s="158" t="str">
        <f t="shared" si="35"/>
        <v>0</v>
      </c>
      <c r="J125" s="3" t="str">
        <f t="shared" si="36"/>
        <v>0</v>
      </c>
      <c r="K125" s="3" t="str">
        <f t="shared" si="37"/>
        <v>0</v>
      </c>
      <c r="L125" s="3" t="str">
        <f t="shared" si="38"/>
        <v>0</v>
      </c>
      <c r="M125" s="3">
        <f t="shared" si="39"/>
        <v>0</v>
      </c>
      <c r="N125" s="3">
        <f t="shared" si="40"/>
        <v>0</v>
      </c>
      <c r="O125" s="3">
        <f t="shared" si="41"/>
        <v>1000</v>
      </c>
      <c r="P125" s="3" t="str">
        <f t="shared" si="42"/>
        <v>0</v>
      </c>
      <c r="Q125" s="3">
        <f t="shared" si="43"/>
        <v>995</v>
      </c>
      <c r="R125" s="3" t="str">
        <f t="shared" si="44"/>
        <v>0</v>
      </c>
      <c r="S125" s="3">
        <f t="shared" si="45"/>
        <v>0</v>
      </c>
      <c r="T125" s="3" t="str">
        <f t="shared" si="46"/>
        <v>0</v>
      </c>
      <c r="U125" s="3"/>
      <c r="V125" s="3"/>
      <c r="W125" s="3"/>
      <c r="X125" s="3"/>
      <c r="Y125" s="3"/>
      <c r="Z125" s="3"/>
    </row>
    <row r="126" spans="1:26" x14ac:dyDescent="0.25">
      <c r="A126" s="175">
        <v>46189</v>
      </c>
      <c r="B126" s="3" t="s">
        <v>170</v>
      </c>
      <c r="C126" s="169" t="s">
        <v>234</v>
      </c>
      <c r="D126" s="170">
        <v>497.89</v>
      </c>
      <c r="E126" s="173">
        <v>0.995</v>
      </c>
      <c r="F126" s="174">
        <f t="shared" si="69"/>
        <v>495.40055000000001</v>
      </c>
      <c r="G126" s="6">
        <f t="shared" si="50"/>
        <v>0</v>
      </c>
      <c r="H126" s="7"/>
      <c r="I126" s="158" t="str">
        <f t="shared" si="35"/>
        <v>0</v>
      </c>
      <c r="J126" s="3" t="str">
        <f t="shared" si="36"/>
        <v>0</v>
      </c>
      <c r="K126" s="3" t="str">
        <f t="shared" si="37"/>
        <v>0</v>
      </c>
      <c r="L126" s="3" t="str">
        <f t="shared" si="38"/>
        <v>0</v>
      </c>
      <c r="M126" s="3">
        <f t="shared" si="39"/>
        <v>0</v>
      </c>
      <c r="N126" s="3">
        <f t="shared" si="40"/>
        <v>0</v>
      </c>
      <c r="O126" s="3">
        <f t="shared" si="41"/>
        <v>497.89</v>
      </c>
      <c r="P126" s="3" t="str">
        <f t="shared" si="42"/>
        <v>0</v>
      </c>
      <c r="Q126" s="3">
        <f t="shared" si="43"/>
        <v>495.40055000000001</v>
      </c>
      <c r="R126" s="3" t="str">
        <f t="shared" si="44"/>
        <v>0</v>
      </c>
      <c r="S126" s="3">
        <f t="shared" si="45"/>
        <v>0</v>
      </c>
      <c r="T126" s="3" t="str">
        <f t="shared" si="46"/>
        <v>0</v>
      </c>
      <c r="U126" s="3"/>
      <c r="V126" s="3"/>
      <c r="W126" s="3"/>
      <c r="X126" s="3"/>
      <c r="Y126" s="3"/>
      <c r="Z126" s="3"/>
    </row>
    <row r="127" spans="1:26" x14ac:dyDescent="0.25">
      <c r="A127" s="175">
        <v>46189</v>
      </c>
      <c r="B127" s="3" t="s">
        <v>170</v>
      </c>
      <c r="C127" s="3" t="s">
        <v>230</v>
      </c>
      <c r="D127" s="170">
        <v>406.8</v>
      </c>
      <c r="E127" s="173">
        <v>0.995</v>
      </c>
      <c r="F127" s="174">
        <f t="shared" si="69"/>
        <v>404.76600000000002</v>
      </c>
      <c r="G127" s="6">
        <f t="shared" si="50"/>
        <v>0</v>
      </c>
      <c r="H127" s="7"/>
      <c r="I127" s="158" t="str">
        <f t="shared" si="35"/>
        <v>0</v>
      </c>
      <c r="J127" s="3" t="str">
        <f t="shared" si="36"/>
        <v>0</v>
      </c>
      <c r="K127" s="3" t="str">
        <f t="shared" si="37"/>
        <v>0</v>
      </c>
      <c r="L127" s="3" t="str">
        <f t="shared" si="38"/>
        <v>0</v>
      </c>
      <c r="M127" s="3">
        <f t="shared" si="39"/>
        <v>0</v>
      </c>
      <c r="N127" s="3">
        <f t="shared" si="40"/>
        <v>0</v>
      </c>
      <c r="O127" s="3">
        <f t="shared" si="41"/>
        <v>406.8</v>
      </c>
      <c r="P127" s="3" t="str">
        <f t="shared" si="42"/>
        <v>0</v>
      </c>
      <c r="Q127" s="3">
        <f t="shared" si="43"/>
        <v>404.76600000000002</v>
      </c>
      <c r="R127" s="3" t="str">
        <f t="shared" si="44"/>
        <v>0</v>
      </c>
      <c r="S127" s="3">
        <f t="shared" si="45"/>
        <v>0</v>
      </c>
      <c r="T127" s="3" t="str">
        <f t="shared" si="46"/>
        <v>0</v>
      </c>
      <c r="U127" s="3"/>
      <c r="V127" s="3"/>
      <c r="W127" s="3"/>
      <c r="X127" s="3"/>
      <c r="Y127" s="3"/>
      <c r="Z127" s="3"/>
    </row>
    <row r="128" spans="1:26" x14ac:dyDescent="0.25">
      <c r="A128" s="175">
        <v>46189</v>
      </c>
      <c r="B128" s="3" t="s">
        <v>170</v>
      </c>
      <c r="C128" s="169" t="s">
        <v>227</v>
      </c>
      <c r="D128" s="170">
        <v>975.28</v>
      </c>
      <c r="E128" s="173">
        <v>0.995</v>
      </c>
      <c r="F128" s="174">
        <f t="shared" si="69"/>
        <v>970.40359999999998</v>
      </c>
      <c r="G128" s="6">
        <f t="shared" si="50"/>
        <v>0</v>
      </c>
      <c r="H128" s="7"/>
      <c r="I128" s="158" t="str">
        <f t="shared" si="35"/>
        <v>0</v>
      </c>
      <c r="J128" s="3" t="str">
        <f t="shared" si="36"/>
        <v>0</v>
      </c>
      <c r="K128" s="3" t="str">
        <f t="shared" si="37"/>
        <v>0</v>
      </c>
      <c r="L128" s="3" t="str">
        <f t="shared" si="38"/>
        <v>0</v>
      </c>
      <c r="M128" s="3">
        <f t="shared" si="39"/>
        <v>0</v>
      </c>
      <c r="N128" s="3">
        <f t="shared" si="40"/>
        <v>0</v>
      </c>
      <c r="O128" s="3">
        <f t="shared" si="41"/>
        <v>975.28</v>
      </c>
      <c r="P128" s="3" t="str">
        <f t="shared" si="42"/>
        <v>0</v>
      </c>
      <c r="Q128" s="3">
        <f t="shared" si="43"/>
        <v>970.40359999999998</v>
      </c>
      <c r="R128" s="3" t="str">
        <f t="shared" si="44"/>
        <v>0</v>
      </c>
      <c r="S128" s="3">
        <f t="shared" si="45"/>
        <v>0</v>
      </c>
      <c r="T128" s="3" t="str">
        <f t="shared" si="46"/>
        <v>0</v>
      </c>
      <c r="U128" s="3"/>
      <c r="V128" s="3"/>
      <c r="W128" s="3"/>
      <c r="X128" s="3"/>
      <c r="Y128" s="3"/>
      <c r="Z128" s="3"/>
    </row>
    <row r="129" spans="1:26" x14ac:dyDescent="0.25">
      <c r="A129" s="175">
        <v>46189</v>
      </c>
      <c r="B129" s="3" t="s">
        <v>170</v>
      </c>
      <c r="C129" s="169" t="s">
        <v>245</v>
      </c>
      <c r="D129" s="170">
        <v>980.3</v>
      </c>
      <c r="E129" s="173">
        <v>0.995</v>
      </c>
      <c r="F129" s="174">
        <f t="shared" si="69"/>
        <v>975.3984999999999</v>
      </c>
      <c r="G129" s="6">
        <f t="shared" si="50"/>
        <v>0</v>
      </c>
      <c r="H129" s="7"/>
      <c r="I129" s="158" t="str">
        <f t="shared" si="35"/>
        <v>0</v>
      </c>
      <c r="J129" s="3" t="str">
        <f t="shared" si="36"/>
        <v>0</v>
      </c>
      <c r="K129" s="3" t="str">
        <f t="shared" si="37"/>
        <v>0</v>
      </c>
      <c r="L129" s="3" t="str">
        <f t="shared" si="38"/>
        <v>0</v>
      </c>
      <c r="M129" s="3">
        <f t="shared" si="39"/>
        <v>0</v>
      </c>
      <c r="N129" s="3">
        <f t="shared" si="40"/>
        <v>0</v>
      </c>
      <c r="O129" s="3">
        <f t="shared" si="41"/>
        <v>980.3</v>
      </c>
      <c r="P129" s="3" t="str">
        <f t="shared" si="42"/>
        <v>0</v>
      </c>
      <c r="Q129" s="3">
        <f t="shared" si="43"/>
        <v>975.3984999999999</v>
      </c>
      <c r="R129" s="3" t="str">
        <f t="shared" si="44"/>
        <v>0</v>
      </c>
      <c r="S129" s="3">
        <f t="shared" si="45"/>
        <v>0</v>
      </c>
      <c r="T129" s="3" t="str">
        <f t="shared" si="46"/>
        <v>0</v>
      </c>
      <c r="U129" s="3"/>
      <c r="V129" s="3"/>
      <c r="W129" s="3"/>
      <c r="X129" s="3"/>
      <c r="Y129" s="3"/>
      <c r="Z129" s="3"/>
    </row>
    <row r="130" spans="1:26" x14ac:dyDescent="0.25">
      <c r="A130" s="175">
        <v>46189</v>
      </c>
      <c r="B130" s="3" t="s">
        <v>210</v>
      </c>
      <c r="C130" s="169" t="s">
        <v>234</v>
      </c>
      <c r="D130" s="4"/>
      <c r="E130" s="5"/>
      <c r="F130" s="6">
        <f t="shared" ref="F130:F184" si="70">+D130*E130</f>
        <v>0</v>
      </c>
      <c r="G130" s="6" t="e">
        <f t="shared" ref="G130:G193" si="71">+H130/D130</f>
        <v>#DIV/0!</v>
      </c>
      <c r="H130" s="7"/>
      <c r="I130" s="3" t="str">
        <f t="shared" ref="I130:I193" si="72">IF(B130="SALES",D130,"0")</f>
        <v>0</v>
      </c>
      <c r="J130" s="3" t="str">
        <f t="shared" ref="J130:J193" si="73">IF(B130="SALES RETURN",D130,"0")</f>
        <v>0</v>
      </c>
      <c r="K130" s="3" t="str">
        <f t="shared" ref="K130:K193" si="74">IF(B130="SALES",F130,"0")</f>
        <v>0</v>
      </c>
      <c r="L130" s="3" t="str">
        <f t="shared" ref="L130:L193" si="75">IF(B130="SALES RETURN",F130,"0")</f>
        <v>0</v>
      </c>
      <c r="M130" s="3">
        <f t="shared" ref="M130:M193" si="76">IF(B130="SALES",H130,"0")+IF(B130="SALES",H130,"0")*5%</f>
        <v>0</v>
      </c>
      <c r="N130" s="3">
        <f t="shared" ref="N130:N193" si="77">IF(B130="SALES RETURN",H130,"0")+IF(B130="SALES RETURN",H130,"0")*5%</f>
        <v>0</v>
      </c>
      <c r="O130" s="3" t="str">
        <f t="shared" ref="O130:O193" si="78">IF(B130="PURCHASE",D130,"0")</f>
        <v>0</v>
      </c>
      <c r="P130" s="3" t="str">
        <f t="shared" ref="P130:P193" si="79">IF(B130="METAL PAYMENT",D130,"0")</f>
        <v>0</v>
      </c>
      <c r="Q130" s="3" t="str">
        <f t="shared" ref="Q130:Q193" si="80">IF(B130="PURCHASE",F130,"0")</f>
        <v>0</v>
      </c>
      <c r="R130" s="3" t="str">
        <f t="shared" ref="R130:R193" si="81">IF(B130="METAL PAYMENT",F130,"0")</f>
        <v>0</v>
      </c>
      <c r="S130" s="3">
        <f t="shared" ref="S130:S193" si="82">IF(B130="PURCHASE",H130,"0")+IF(B130="PURCHASE",H130,"0")*5%</f>
        <v>0</v>
      </c>
      <c r="T130" s="3" t="str">
        <f t="shared" ref="T130:T193" si="83">IF(B130="METAL PAYMENT",H130,"0")</f>
        <v>0</v>
      </c>
      <c r="U130" s="3"/>
      <c r="V130" s="3">
        <v>67700</v>
      </c>
      <c r="W130" s="3"/>
      <c r="X130" s="3"/>
      <c r="Y130" s="3"/>
      <c r="Z130" s="3"/>
    </row>
    <row r="131" spans="1:26" x14ac:dyDescent="0.25">
      <c r="A131" s="175">
        <v>46189</v>
      </c>
      <c r="B131" s="3" t="s">
        <v>210</v>
      </c>
      <c r="C131" s="169" t="s">
        <v>229</v>
      </c>
      <c r="D131" s="4"/>
      <c r="E131" s="5"/>
      <c r="F131" s="6">
        <f t="shared" si="70"/>
        <v>0</v>
      </c>
      <c r="G131" s="6" t="e">
        <f t="shared" si="71"/>
        <v>#DIV/0!</v>
      </c>
      <c r="H131" s="7"/>
      <c r="I131" s="3" t="str">
        <f t="shared" si="72"/>
        <v>0</v>
      </c>
      <c r="J131" s="3" t="str">
        <f t="shared" si="73"/>
        <v>0</v>
      </c>
      <c r="K131" s="3" t="str">
        <f t="shared" si="74"/>
        <v>0</v>
      </c>
      <c r="L131" s="3" t="str">
        <f t="shared" si="75"/>
        <v>0</v>
      </c>
      <c r="M131" s="3">
        <f t="shared" si="76"/>
        <v>0</v>
      </c>
      <c r="N131" s="3">
        <f t="shared" si="77"/>
        <v>0</v>
      </c>
      <c r="O131" s="3" t="str">
        <f t="shared" si="78"/>
        <v>0</v>
      </c>
      <c r="P131" s="3" t="str">
        <f t="shared" si="79"/>
        <v>0</v>
      </c>
      <c r="Q131" s="3" t="str">
        <f t="shared" si="80"/>
        <v>0</v>
      </c>
      <c r="R131" s="3" t="str">
        <f t="shared" si="81"/>
        <v>0</v>
      </c>
      <c r="S131" s="3">
        <f t="shared" si="82"/>
        <v>0</v>
      </c>
      <c r="T131" s="3" t="str">
        <f t="shared" si="83"/>
        <v>0</v>
      </c>
      <c r="U131" s="3"/>
      <c r="V131" s="3">
        <v>75000</v>
      </c>
      <c r="W131" s="3"/>
      <c r="X131" s="3"/>
      <c r="Y131" s="3"/>
      <c r="Z131" s="3"/>
    </row>
    <row r="132" spans="1:26" x14ac:dyDescent="0.25">
      <c r="A132" s="175">
        <v>46190</v>
      </c>
      <c r="B132" s="3" t="s">
        <v>169</v>
      </c>
      <c r="C132" s="169" t="s">
        <v>246</v>
      </c>
      <c r="D132" s="170">
        <v>320.99</v>
      </c>
      <c r="E132" s="171">
        <v>0.88</v>
      </c>
      <c r="F132" s="172">
        <f>+D132*E132</f>
        <v>282.47120000000001</v>
      </c>
      <c r="G132" s="172">
        <f>+H132/D132</f>
        <v>7.3323468020810623</v>
      </c>
      <c r="H132" s="176">
        <v>2353.61</v>
      </c>
      <c r="I132" s="158">
        <f t="shared" si="72"/>
        <v>320.99</v>
      </c>
      <c r="J132" s="3" t="str">
        <f t="shared" si="73"/>
        <v>0</v>
      </c>
      <c r="K132" s="3">
        <f t="shared" si="74"/>
        <v>282.47120000000001</v>
      </c>
      <c r="L132" s="3" t="str">
        <f t="shared" si="75"/>
        <v>0</v>
      </c>
      <c r="M132" s="3">
        <f t="shared" si="76"/>
        <v>2471.2905000000001</v>
      </c>
      <c r="N132" s="3">
        <f t="shared" si="77"/>
        <v>0</v>
      </c>
      <c r="O132" s="3" t="str">
        <f t="shared" si="78"/>
        <v>0</v>
      </c>
      <c r="P132" s="3" t="str">
        <f t="shared" si="79"/>
        <v>0</v>
      </c>
      <c r="Q132" s="3" t="str">
        <f t="shared" si="80"/>
        <v>0</v>
      </c>
      <c r="R132" s="3" t="str">
        <f t="shared" si="81"/>
        <v>0</v>
      </c>
      <c r="S132" s="3">
        <f t="shared" si="82"/>
        <v>0</v>
      </c>
      <c r="T132" s="3" t="str">
        <f t="shared" si="83"/>
        <v>0</v>
      </c>
      <c r="U132" s="3"/>
      <c r="V132" s="3"/>
      <c r="W132" s="3"/>
      <c r="X132" s="3"/>
      <c r="Y132" s="3"/>
      <c r="Z132" s="3"/>
    </row>
    <row r="133" spans="1:26" x14ac:dyDescent="0.25">
      <c r="A133" s="175">
        <v>46190</v>
      </c>
      <c r="B133" s="3" t="s">
        <v>169</v>
      </c>
      <c r="C133" s="169" t="s">
        <v>242</v>
      </c>
      <c r="D133" s="170">
        <v>1171.9000000000001</v>
      </c>
      <c r="E133" s="171">
        <v>0.88</v>
      </c>
      <c r="F133" s="172">
        <f t="shared" ref="F133:F136" si="84">+D133*E133</f>
        <v>1031.2720000000002</v>
      </c>
      <c r="G133" s="172">
        <f t="shared" ref="G133:G136" si="85">+H133/D133</f>
        <v>5</v>
      </c>
      <c r="H133" s="176">
        <v>5859.5</v>
      </c>
      <c r="I133" s="158">
        <f t="shared" si="72"/>
        <v>1171.9000000000001</v>
      </c>
      <c r="J133" s="3" t="str">
        <f t="shared" si="73"/>
        <v>0</v>
      </c>
      <c r="K133" s="3">
        <f t="shared" si="74"/>
        <v>1031.2720000000002</v>
      </c>
      <c r="L133" s="3" t="str">
        <f t="shared" si="75"/>
        <v>0</v>
      </c>
      <c r="M133" s="3">
        <f t="shared" si="76"/>
        <v>6152.4750000000004</v>
      </c>
      <c r="N133" s="3">
        <f t="shared" si="77"/>
        <v>0</v>
      </c>
      <c r="O133" s="3" t="str">
        <f t="shared" si="78"/>
        <v>0</v>
      </c>
      <c r="P133" s="3" t="str">
        <f t="shared" si="79"/>
        <v>0</v>
      </c>
      <c r="Q133" s="3" t="str">
        <f t="shared" si="80"/>
        <v>0</v>
      </c>
      <c r="R133" s="3" t="str">
        <f t="shared" si="81"/>
        <v>0</v>
      </c>
      <c r="S133" s="3">
        <f t="shared" si="82"/>
        <v>0</v>
      </c>
      <c r="T133" s="3" t="str">
        <f t="shared" si="83"/>
        <v>0</v>
      </c>
      <c r="U133" s="3"/>
      <c r="V133" s="3"/>
      <c r="W133" s="3"/>
      <c r="X133" s="3"/>
      <c r="Y133" s="3"/>
      <c r="Z133" s="3"/>
    </row>
    <row r="134" spans="1:26" x14ac:dyDescent="0.25">
      <c r="A134" s="175">
        <v>46190</v>
      </c>
      <c r="B134" s="3" t="s">
        <v>169</v>
      </c>
      <c r="C134" s="169" t="s">
        <v>228</v>
      </c>
      <c r="D134" s="170">
        <v>745.1</v>
      </c>
      <c r="E134" s="171">
        <v>0.88</v>
      </c>
      <c r="F134" s="172">
        <f t="shared" si="84"/>
        <v>655.68799999999999</v>
      </c>
      <c r="G134" s="172">
        <f t="shared" si="85"/>
        <v>12.581465575090592</v>
      </c>
      <c r="H134" s="176">
        <v>9374.4500000000007</v>
      </c>
      <c r="I134" s="158">
        <f t="shared" si="72"/>
        <v>745.1</v>
      </c>
      <c r="J134" s="3" t="str">
        <f t="shared" si="73"/>
        <v>0</v>
      </c>
      <c r="K134" s="3">
        <f t="shared" si="74"/>
        <v>655.68799999999999</v>
      </c>
      <c r="L134" s="3" t="str">
        <f t="shared" si="75"/>
        <v>0</v>
      </c>
      <c r="M134" s="3">
        <f t="shared" si="76"/>
        <v>9843.1725000000006</v>
      </c>
      <c r="N134" s="3">
        <f t="shared" si="77"/>
        <v>0</v>
      </c>
      <c r="O134" s="3" t="str">
        <f t="shared" si="78"/>
        <v>0</v>
      </c>
      <c r="P134" s="3" t="str">
        <f t="shared" si="79"/>
        <v>0</v>
      </c>
      <c r="Q134" s="3" t="str">
        <f t="shared" si="80"/>
        <v>0</v>
      </c>
      <c r="R134" s="3" t="str">
        <f t="shared" si="81"/>
        <v>0</v>
      </c>
      <c r="S134" s="3">
        <f t="shared" si="82"/>
        <v>0</v>
      </c>
      <c r="T134" s="3" t="str">
        <f t="shared" si="83"/>
        <v>0</v>
      </c>
      <c r="U134" s="3"/>
      <c r="V134" s="3"/>
      <c r="W134" s="3"/>
      <c r="X134" s="3"/>
      <c r="Y134" s="3"/>
      <c r="Z134" s="3"/>
    </row>
    <row r="135" spans="1:26" x14ac:dyDescent="0.25">
      <c r="A135" s="175">
        <v>46190</v>
      </c>
      <c r="B135" s="3" t="s">
        <v>169</v>
      </c>
      <c r="C135" s="169" t="s">
        <v>234</v>
      </c>
      <c r="D135" s="170">
        <v>2007.7</v>
      </c>
      <c r="E135" s="171">
        <v>0.88</v>
      </c>
      <c r="F135" s="172">
        <f t="shared" si="84"/>
        <v>1766.7760000000001</v>
      </c>
      <c r="G135" s="172">
        <f t="shared" si="85"/>
        <v>5.0002490411914131</v>
      </c>
      <c r="H135" s="176">
        <v>10039</v>
      </c>
      <c r="I135" s="158">
        <f t="shared" si="72"/>
        <v>2007.7</v>
      </c>
      <c r="J135" s="3" t="str">
        <f t="shared" si="73"/>
        <v>0</v>
      </c>
      <c r="K135" s="3">
        <f t="shared" si="74"/>
        <v>1766.7760000000001</v>
      </c>
      <c r="L135" s="3" t="str">
        <f t="shared" si="75"/>
        <v>0</v>
      </c>
      <c r="M135" s="3">
        <f t="shared" si="76"/>
        <v>10540.95</v>
      </c>
      <c r="N135" s="3">
        <f t="shared" si="77"/>
        <v>0</v>
      </c>
      <c r="O135" s="3" t="str">
        <f t="shared" si="78"/>
        <v>0</v>
      </c>
      <c r="P135" s="3" t="str">
        <f t="shared" si="79"/>
        <v>0</v>
      </c>
      <c r="Q135" s="3" t="str">
        <f t="shared" si="80"/>
        <v>0</v>
      </c>
      <c r="R135" s="3" t="str">
        <f t="shared" si="81"/>
        <v>0</v>
      </c>
      <c r="S135" s="3">
        <f t="shared" si="82"/>
        <v>0</v>
      </c>
      <c r="T135" s="3" t="str">
        <f t="shared" si="83"/>
        <v>0</v>
      </c>
      <c r="U135" s="3"/>
      <c r="V135" s="3"/>
      <c r="W135" s="3"/>
      <c r="X135" s="3"/>
      <c r="Y135" s="3"/>
      <c r="Z135" s="3"/>
    </row>
    <row r="136" spans="1:26" x14ac:dyDescent="0.25">
      <c r="A136" s="175">
        <v>46190</v>
      </c>
      <c r="B136" s="3" t="s">
        <v>169</v>
      </c>
      <c r="C136" s="3" t="s">
        <v>230</v>
      </c>
      <c r="D136" s="170">
        <v>964</v>
      </c>
      <c r="E136" s="171">
        <v>0.88</v>
      </c>
      <c r="F136" s="172">
        <f t="shared" si="84"/>
        <v>848.32</v>
      </c>
      <c r="G136" s="172">
        <f t="shared" si="85"/>
        <v>6.6121887966804973</v>
      </c>
      <c r="H136" s="176">
        <v>6374.15</v>
      </c>
      <c r="I136" s="158">
        <f t="shared" si="72"/>
        <v>964</v>
      </c>
      <c r="J136" s="3" t="str">
        <f t="shared" si="73"/>
        <v>0</v>
      </c>
      <c r="K136" s="3">
        <f t="shared" si="74"/>
        <v>848.32</v>
      </c>
      <c r="L136" s="3" t="str">
        <f t="shared" si="75"/>
        <v>0</v>
      </c>
      <c r="M136" s="3">
        <f t="shared" si="76"/>
        <v>6692.8575000000001</v>
      </c>
      <c r="N136" s="3">
        <f t="shared" si="77"/>
        <v>0</v>
      </c>
      <c r="O136" s="3" t="str">
        <f t="shared" si="78"/>
        <v>0</v>
      </c>
      <c r="P136" s="3" t="str">
        <f t="shared" si="79"/>
        <v>0</v>
      </c>
      <c r="Q136" s="3" t="str">
        <f t="shared" si="80"/>
        <v>0</v>
      </c>
      <c r="R136" s="3" t="str">
        <f t="shared" si="81"/>
        <v>0</v>
      </c>
      <c r="S136" s="3">
        <f t="shared" si="82"/>
        <v>0</v>
      </c>
      <c r="T136" s="3" t="str">
        <f t="shared" si="83"/>
        <v>0</v>
      </c>
      <c r="U136" s="3"/>
      <c r="V136" s="3"/>
      <c r="W136" s="3"/>
      <c r="X136" s="3"/>
      <c r="Y136" s="3"/>
      <c r="Z136" s="3"/>
    </row>
    <row r="137" spans="1:26" x14ac:dyDescent="0.25">
      <c r="A137" s="175">
        <v>46190</v>
      </c>
      <c r="B137" s="3" t="s">
        <v>170</v>
      </c>
      <c r="C137" s="169" t="s">
        <v>246</v>
      </c>
      <c r="D137" s="170">
        <v>283.89</v>
      </c>
      <c r="E137" s="173">
        <v>0.995</v>
      </c>
      <c r="F137" s="174">
        <f t="shared" ref="F137:F142" si="86">D137*E137</f>
        <v>282.47055</v>
      </c>
      <c r="G137" s="6">
        <f t="shared" si="71"/>
        <v>0</v>
      </c>
      <c r="H137" s="7"/>
      <c r="I137" s="158" t="str">
        <f t="shared" si="72"/>
        <v>0</v>
      </c>
      <c r="J137" s="3" t="str">
        <f t="shared" si="73"/>
        <v>0</v>
      </c>
      <c r="K137" s="3" t="str">
        <f t="shared" si="74"/>
        <v>0</v>
      </c>
      <c r="L137" s="3" t="str">
        <f t="shared" si="75"/>
        <v>0</v>
      </c>
      <c r="M137" s="3">
        <f t="shared" si="76"/>
        <v>0</v>
      </c>
      <c r="N137" s="3">
        <f t="shared" si="77"/>
        <v>0</v>
      </c>
      <c r="O137" s="3">
        <f t="shared" si="78"/>
        <v>283.89</v>
      </c>
      <c r="P137" s="3" t="str">
        <f t="shared" si="79"/>
        <v>0</v>
      </c>
      <c r="Q137" s="3">
        <f t="shared" si="80"/>
        <v>282.47055</v>
      </c>
      <c r="R137" s="3" t="str">
        <f t="shared" si="81"/>
        <v>0</v>
      </c>
      <c r="S137" s="3">
        <f t="shared" si="82"/>
        <v>0</v>
      </c>
      <c r="T137" s="3" t="str">
        <f t="shared" si="83"/>
        <v>0</v>
      </c>
      <c r="U137" s="3"/>
      <c r="V137" s="3"/>
      <c r="W137" s="3"/>
      <c r="X137" s="3"/>
      <c r="Y137" s="3"/>
      <c r="Z137" s="3"/>
    </row>
    <row r="138" spans="1:26" x14ac:dyDescent="0.25">
      <c r="A138" s="175">
        <v>46190</v>
      </c>
      <c r="B138" s="3" t="s">
        <v>170</v>
      </c>
      <c r="C138" s="3" t="s">
        <v>231</v>
      </c>
      <c r="D138" s="170">
        <v>800</v>
      </c>
      <c r="E138" s="173">
        <v>0.995</v>
      </c>
      <c r="F138" s="174">
        <f t="shared" si="86"/>
        <v>796</v>
      </c>
      <c r="G138" s="6">
        <f t="shared" si="71"/>
        <v>0</v>
      </c>
      <c r="H138" s="7"/>
      <c r="I138" s="158" t="str">
        <f t="shared" si="72"/>
        <v>0</v>
      </c>
      <c r="J138" s="3" t="str">
        <f t="shared" si="73"/>
        <v>0</v>
      </c>
      <c r="K138" s="3" t="str">
        <f t="shared" si="74"/>
        <v>0</v>
      </c>
      <c r="L138" s="3" t="str">
        <f t="shared" si="75"/>
        <v>0</v>
      </c>
      <c r="M138" s="3">
        <f t="shared" si="76"/>
        <v>0</v>
      </c>
      <c r="N138" s="3">
        <f t="shared" si="77"/>
        <v>0</v>
      </c>
      <c r="O138" s="3">
        <f t="shared" si="78"/>
        <v>800</v>
      </c>
      <c r="P138" s="3" t="str">
        <f t="shared" si="79"/>
        <v>0</v>
      </c>
      <c r="Q138" s="3">
        <f t="shared" si="80"/>
        <v>796</v>
      </c>
      <c r="R138" s="3" t="str">
        <f t="shared" si="81"/>
        <v>0</v>
      </c>
      <c r="S138" s="3">
        <f t="shared" si="82"/>
        <v>0</v>
      </c>
      <c r="T138" s="3" t="str">
        <f t="shared" si="83"/>
        <v>0</v>
      </c>
      <c r="U138" s="3"/>
      <c r="V138" s="3"/>
      <c r="W138" s="3"/>
      <c r="X138" s="3"/>
      <c r="Y138" s="3"/>
      <c r="Z138" s="3"/>
    </row>
    <row r="139" spans="1:26" x14ac:dyDescent="0.25">
      <c r="A139" s="175">
        <v>46190</v>
      </c>
      <c r="B139" s="3" t="s">
        <v>170</v>
      </c>
      <c r="C139" s="169" t="s">
        <v>242</v>
      </c>
      <c r="D139" s="170">
        <v>974.4</v>
      </c>
      <c r="E139" s="173">
        <v>0.995</v>
      </c>
      <c r="F139" s="174">
        <f t="shared" si="86"/>
        <v>969.52800000000002</v>
      </c>
      <c r="G139" s="6">
        <f t="shared" si="71"/>
        <v>0</v>
      </c>
      <c r="H139" s="7"/>
      <c r="I139" s="158" t="str">
        <f t="shared" si="72"/>
        <v>0</v>
      </c>
      <c r="J139" s="3" t="str">
        <f t="shared" si="73"/>
        <v>0</v>
      </c>
      <c r="K139" s="3" t="str">
        <f t="shared" si="74"/>
        <v>0</v>
      </c>
      <c r="L139" s="3" t="str">
        <f t="shared" si="75"/>
        <v>0</v>
      </c>
      <c r="M139" s="3">
        <f t="shared" si="76"/>
        <v>0</v>
      </c>
      <c r="N139" s="3">
        <f t="shared" si="77"/>
        <v>0</v>
      </c>
      <c r="O139" s="3">
        <f t="shared" si="78"/>
        <v>974.4</v>
      </c>
      <c r="P139" s="3" t="str">
        <f t="shared" si="79"/>
        <v>0</v>
      </c>
      <c r="Q139" s="3">
        <f t="shared" si="80"/>
        <v>969.52800000000002</v>
      </c>
      <c r="R139" s="3" t="str">
        <f t="shared" si="81"/>
        <v>0</v>
      </c>
      <c r="S139" s="3">
        <f t="shared" si="82"/>
        <v>0</v>
      </c>
      <c r="T139" s="3" t="str">
        <f t="shared" si="83"/>
        <v>0</v>
      </c>
      <c r="U139" s="3"/>
      <c r="V139" s="3"/>
      <c r="W139" s="3"/>
      <c r="X139" s="3"/>
      <c r="Y139" s="3"/>
      <c r="Z139" s="3"/>
    </row>
    <row r="140" spans="1:26" x14ac:dyDescent="0.25">
      <c r="A140" s="175">
        <v>46190</v>
      </c>
      <c r="B140" s="3" t="s">
        <v>170</v>
      </c>
      <c r="C140" s="169" t="s">
        <v>228</v>
      </c>
      <c r="D140" s="170">
        <v>3000</v>
      </c>
      <c r="E140" s="173">
        <v>0.995</v>
      </c>
      <c r="F140" s="174">
        <f t="shared" si="86"/>
        <v>2985</v>
      </c>
      <c r="G140" s="6">
        <f t="shared" si="71"/>
        <v>0</v>
      </c>
      <c r="H140" s="7"/>
      <c r="I140" s="158" t="str">
        <f t="shared" si="72"/>
        <v>0</v>
      </c>
      <c r="J140" s="3" t="str">
        <f t="shared" si="73"/>
        <v>0</v>
      </c>
      <c r="K140" s="3" t="str">
        <f t="shared" si="74"/>
        <v>0</v>
      </c>
      <c r="L140" s="3" t="str">
        <f t="shared" si="75"/>
        <v>0</v>
      </c>
      <c r="M140" s="3">
        <f t="shared" si="76"/>
        <v>0</v>
      </c>
      <c r="N140" s="3">
        <f t="shared" si="77"/>
        <v>0</v>
      </c>
      <c r="O140" s="3">
        <f t="shared" si="78"/>
        <v>3000</v>
      </c>
      <c r="P140" s="3" t="str">
        <f t="shared" si="79"/>
        <v>0</v>
      </c>
      <c r="Q140" s="3">
        <f t="shared" si="80"/>
        <v>2985</v>
      </c>
      <c r="R140" s="3" t="str">
        <f t="shared" si="81"/>
        <v>0</v>
      </c>
      <c r="S140" s="3">
        <f t="shared" si="82"/>
        <v>0</v>
      </c>
      <c r="T140" s="3" t="str">
        <f t="shared" si="83"/>
        <v>0</v>
      </c>
      <c r="U140" s="3"/>
      <c r="V140" s="3"/>
      <c r="W140" s="3"/>
      <c r="X140" s="3"/>
      <c r="Y140" s="3"/>
      <c r="Z140" s="3"/>
    </row>
    <row r="141" spans="1:26" x14ac:dyDescent="0.25">
      <c r="A141" s="175">
        <v>46190</v>
      </c>
      <c r="B141" s="3" t="s">
        <v>170</v>
      </c>
      <c r="C141" s="169" t="s">
        <v>234</v>
      </c>
      <c r="D141" s="170">
        <v>1000</v>
      </c>
      <c r="E141" s="173">
        <v>0.995</v>
      </c>
      <c r="F141" s="174">
        <f t="shared" si="86"/>
        <v>995</v>
      </c>
      <c r="G141" s="6">
        <f t="shared" si="71"/>
        <v>0</v>
      </c>
      <c r="H141" s="7"/>
      <c r="I141" s="158" t="str">
        <f t="shared" si="72"/>
        <v>0</v>
      </c>
      <c r="J141" s="3" t="str">
        <f t="shared" si="73"/>
        <v>0</v>
      </c>
      <c r="K141" s="3" t="str">
        <f t="shared" si="74"/>
        <v>0</v>
      </c>
      <c r="L141" s="3" t="str">
        <f t="shared" si="75"/>
        <v>0</v>
      </c>
      <c r="M141" s="3">
        <f t="shared" si="76"/>
        <v>0</v>
      </c>
      <c r="N141" s="3">
        <f t="shared" si="77"/>
        <v>0</v>
      </c>
      <c r="O141" s="3">
        <f t="shared" si="78"/>
        <v>1000</v>
      </c>
      <c r="P141" s="3" t="str">
        <f t="shared" si="79"/>
        <v>0</v>
      </c>
      <c r="Q141" s="3">
        <f t="shared" si="80"/>
        <v>995</v>
      </c>
      <c r="R141" s="3" t="str">
        <f t="shared" si="81"/>
        <v>0</v>
      </c>
      <c r="S141" s="3">
        <f t="shared" si="82"/>
        <v>0</v>
      </c>
      <c r="T141" s="3" t="str">
        <f t="shared" si="83"/>
        <v>0</v>
      </c>
      <c r="U141" s="3"/>
      <c r="V141" s="3"/>
      <c r="W141" s="3"/>
      <c r="X141" s="3"/>
      <c r="Y141" s="3"/>
      <c r="Z141" s="3"/>
    </row>
    <row r="142" spans="1:26" x14ac:dyDescent="0.25">
      <c r="A142" s="175">
        <v>46190</v>
      </c>
      <c r="B142" s="3" t="s">
        <v>170</v>
      </c>
      <c r="C142" s="169" t="s">
        <v>241</v>
      </c>
      <c r="D142" s="170">
        <v>500.2</v>
      </c>
      <c r="E142" s="173">
        <v>0.995</v>
      </c>
      <c r="F142" s="174">
        <f t="shared" si="86"/>
        <v>497.69900000000001</v>
      </c>
      <c r="G142" s="6">
        <f t="shared" si="71"/>
        <v>0</v>
      </c>
      <c r="H142" s="7"/>
      <c r="I142" s="158" t="str">
        <f t="shared" si="72"/>
        <v>0</v>
      </c>
      <c r="J142" s="3" t="str">
        <f t="shared" si="73"/>
        <v>0</v>
      </c>
      <c r="K142" s="3" t="str">
        <f t="shared" si="74"/>
        <v>0</v>
      </c>
      <c r="L142" s="3" t="str">
        <f t="shared" si="75"/>
        <v>0</v>
      </c>
      <c r="M142" s="3">
        <f t="shared" si="76"/>
        <v>0</v>
      </c>
      <c r="N142" s="3">
        <f t="shared" si="77"/>
        <v>0</v>
      </c>
      <c r="O142" s="3">
        <f t="shared" si="78"/>
        <v>500.2</v>
      </c>
      <c r="P142" s="3" t="str">
        <f t="shared" si="79"/>
        <v>0</v>
      </c>
      <c r="Q142" s="3">
        <f t="shared" si="80"/>
        <v>497.69900000000001</v>
      </c>
      <c r="R142" s="3" t="str">
        <f t="shared" si="81"/>
        <v>0</v>
      </c>
      <c r="S142" s="3">
        <f t="shared" si="82"/>
        <v>0</v>
      </c>
      <c r="T142" s="3" t="str">
        <f t="shared" si="83"/>
        <v>0</v>
      </c>
      <c r="U142" s="3"/>
      <c r="V142" s="3"/>
      <c r="W142" s="3"/>
      <c r="X142" s="3"/>
      <c r="Y142" s="3"/>
      <c r="Z142" s="3"/>
    </row>
    <row r="143" spans="1:26" x14ac:dyDescent="0.25">
      <c r="A143" s="175">
        <v>46191</v>
      </c>
      <c r="B143" s="3" t="s">
        <v>169</v>
      </c>
      <c r="C143" s="169" t="s">
        <v>228</v>
      </c>
      <c r="D143" s="170">
        <v>1474.7</v>
      </c>
      <c r="E143" s="171">
        <v>0.88</v>
      </c>
      <c r="F143" s="172">
        <f>+D143*E143</f>
        <v>1297.7360000000001</v>
      </c>
      <c r="G143" s="172">
        <f>+H143/D143</f>
        <v>9.9446667118736016</v>
      </c>
      <c r="H143" s="176">
        <v>14665.4</v>
      </c>
      <c r="I143" s="158">
        <f t="shared" si="72"/>
        <v>1474.7</v>
      </c>
      <c r="J143" s="3" t="str">
        <f t="shared" si="73"/>
        <v>0</v>
      </c>
      <c r="K143" s="3">
        <f t="shared" si="74"/>
        <v>1297.7360000000001</v>
      </c>
      <c r="L143" s="3" t="str">
        <f t="shared" si="75"/>
        <v>0</v>
      </c>
      <c r="M143" s="3">
        <f t="shared" si="76"/>
        <v>15398.67</v>
      </c>
      <c r="N143" s="3">
        <f t="shared" si="77"/>
        <v>0</v>
      </c>
      <c r="O143" s="3" t="str">
        <f t="shared" si="78"/>
        <v>0</v>
      </c>
      <c r="P143" s="3" t="str">
        <f t="shared" si="79"/>
        <v>0</v>
      </c>
      <c r="Q143" s="3" t="str">
        <f t="shared" si="80"/>
        <v>0</v>
      </c>
      <c r="R143" s="3" t="str">
        <f t="shared" si="81"/>
        <v>0</v>
      </c>
      <c r="S143" s="3">
        <f t="shared" si="82"/>
        <v>0</v>
      </c>
      <c r="T143" s="3" t="str">
        <f t="shared" si="83"/>
        <v>0</v>
      </c>
      <c r="U143" s="3"/>
      <c r="V143" s="3"/>
      <c r="W143" s="3"/>
      <c r="X143" s="3"/>
      <c r="Y143" s="3"/>
      <c r="Z143" s="3"/>
    </row>
    <row r="144" spans="1:26" x14ac:dyDescent="0.25">
      <c r="A144" s="175">
        <v>46191</v>
      </c>
      <c r="B144" s="3" t="s">
        <v>169</v>
      </c>
      <c r="C144" s="169" t="s">
        <v>236</v>
      </c>
      <c r="D144" s="170">
        <v>1641.37</v>
      </c>
      <c r="E144" s="171">
        <v>0.92</v>
      </c>
      <c r="F144" s="172">
        <f t="shared" ref="F144:F145" si="87">+D144*E144</f>
        <v>1510.0604000000001</v>
      </c>
      <c r="G144" s="172">
        <f t="shared" ref="G144:G145" si="88">+H144/D144</f>
        <v>4</v>
      </c>
      <c r="H144" s="176">
        <v>6565.48</v>
      </c>
      <c r="I144" s="158">
        <f t="shared" si="72"/>
        <v>1641.37</v>
      </c>
      <c r="J144" s="3" t="str">
        <f t="shared" si="73"/>
        <v>0</v>
      </c>
      <c r="K144" s="3">
        <f t="shared" si="74"/>
        <v>1510.0604000000001</v>
      </c>
      <c r="L144" s="3" t="str">
        <f t="shared" si="75"/>
        <v>0</v>
      </c>
      <c r="M144" s="3">
        <f t="shared" si="76"/>
        <v>6893.7539999999999</v>
      </c>
      <c r="N144" s="3">
        <f t="shared" si="77"/>
        <v>0</v>
      </c>
      <c r="O144" s="3" t="str">
        <f t="shared" si="78"/>
        <v>0</v>
      </c>
      <c r="P144" s="3" t="str">
        <f t="shared" si="79"/>
        <v>0</v>
      </c>
      <c r="Q144" s="3" t="str">
        <f t="shared" si="80"/>
        <v>0</v>
      </c>
      <c r="R144" s="3" t="str">
        <f t="shared" si="81"/>
        <v>0</v>
      </c>
      <c r="S144" s="3">
        <f t="shared" si="82"/>
        <v>0</v>
      </c>
      <c r="T144" s="3" t="str">
        <f t="shared" si="83"/>
        <v>0</v>
      </c>
      <c r="U144" s="3"/>
      <c r="V144" s="3"/>
      <c r="W144" s="3"/>
      <c r="X144" s="3"/>
      <c r="Y144" s="3"/>
      <c r="Z144" s="3"/>
    </row>
    <row r="145" spans="1:26" x14ac:dyDescent="0.25">
      <c r="A145" s="175">
        <v>46191</v>
      </c>
      <c r="B145" s="3" t="s">
        <v>169</v>
      </c>
      <c r="C145" s="169" t="s">
        <v>232</v>
      </c>
      <c r="D145" s="170">
        <v>1568.5</v>
      </c>
      <c r="E145" s="171">
        <v>0.88</v>
      </c>
      <c r="F145" s="172">
        <f t="shared" si="87"/>
        <v>1380.28</v>
      </c>
      <c r="G145" s="172">
        <f t="shared" si="88"/>
        <v>9</v>
      </c>
      <c r="H145" s="176">
        <v>14116.5</v>
      </c>
      <c r="I145" s="158">
        <f t="shared" si="72"/>
        <v>1568.5</v>
      </c>
      <c r="J145" s="3" t="str">
        <f t="shared" si="73"/>
        <v>0</v>
      </c>
      <c r="K145" s="3">
        <f t="shared" si="74"/>
        <v>1380.28</v>
      </c>
      <c r="L145" s="3" t="str">
        <f t="shared" si="75"/>
        <v>0</v>
      </c>
      <c r="M145" s="3">
        <f t="shared" si="76"/>
        <v>14822.325000000001</v>
      </c>
      <c r="N145" s="3">
        <f t="shared" si="77"/>
        <v>0</v>
      </c>
      <c r="O145" s="3" t="str">
        <f t="shared" si="78"/>
        <v>0</v>
      </c>
      <c r="P145" s="3" t="str">
        <f t="shared" si="79"/>
        <v>0</v>
      </c>
      <c r="Q145" s="3" t="str">
        <f t="shared" si="80"/>
        <v>0</v>
      </c>
      <c r="R145" s="3" t="str">
        <f t="shared" si="81"/>
        <v>0</v>
      </c>
      <c r="S145" s="3">
        <f t="shared" si="82"/>
        <v>0</v>
      </c>
      <c r="T145" s="3" t="str">
        <f t="shared" si="83"/>
        <v>0</v>
      </c>
      <c r="U145" s="3"/>
      <c r="V145" s="3"/>
      <c r="W145" s="3"/>
      <c r="X145" s="3"/>
      <c r="Y145" s="3"/>
      <c r="Z145" s="3"/>
    </row>
    <row r="146" spans="1:26" x14ac:dyDescent="0.25">
      <c r="A146" s="175">
        <v>46191</v>
      </c>
      <c r="B146" s="3" t="s">
        <v>170</v>
      </c>
      <c r="C146" s="169" t="s">
        <v>228</v>
      </c>
      <c r="D146" s="170">
        <v>586</v>
      </c>
      <c r="E146" s="173">
        <v>0.995</v>
      </c>
      <c r="F146" s="174">
        <f t="shared" ref="F146:F150" si="89">D146*E146</f>
        <v>583.07000000000005</v>
      </c>
      <c r="G146" s="6">
        <f t="shared" si="71"/>
        <v>0</v>
      </c>
      <c r="H146" s="7"/>
      <c r="I146" s="158" t="str">
        <f t="shared" si="72"/>
        <v>0</v>
      </c>
      <c r="J146" s="3" t="str">
        <f t="shared" si="73"/>
        <v>0</v>
      </c>
      <c r="K146" s="3" t="str">
        <f t="shared" si="74"/>
        <v>0</v>
      </c>
      <c r="L146" s="3" t="str">
        <f t="shared" si="75"/>
        <v>0</v>
      </c>
      <c r="M146" s="3">
        <f t="shared" si="76"/>
        <v>0</v>
      </c>
      <c r="N146" s="3">
        <f t="shared" si="77"/>
        <v>0</v>
      </c>
      <c r="O146" s="3">
        <f t="shared" si="78"/>
        <v>586</v>
      </c>
      <c r="P146" s="3" t="str">
        <f t="shared" si="79"/>
        <v>0</v>
      </c>
      <c r="Q146" s="3">
        <f t="shared" si="80"/>
        <v>583.07000000000005</v>
      </c>
      <c r="R146" s="3" t="str">
        <f t="shared" si="81"/>
        <v>0</v>
      </c>
      <c r="S146" s="3">
        <f t="shared" si="82"/>
        <v>0</v>
      </c>
      <c r="T146" s="3" t="str">
        <f t="shared" si="83"/>
        <v>0</v>
      </c>
      <c r="U146" s="3"/>
      <c r="V146" s="3"/>
      <c r="W146" s="3"/>
      <c r="X146" s="3"/>
      <c r="Y146" s="3"/>
      <c r="Z146" s="3"/>
    </row>
    <row r="147" spans="1:26" x14ac:dyDescent="0.25">
      <c r="A147" s="175">
        <v>46191</v>
      </c>
      <c r="B147" s="3" t="s">
        <v>170</v>
      </c>
      <c r="C147" s="169" t="s">
        <v>236</v>
      </c>
      <c r="D147" s="170">
        <v>1517.64</v>
      </c>
      <c r="E147" s="173">
        <v>0.995</v>
      </c>
      <c r="F147" s="174">
        <f t="shared" si="89"/>
        <v>1510.0518000000002</v>
      </c>
      <c r="G147" s="6">
        <f t="shared" si="71"/>
        <v>0</v>
      </c>
      <c r="H147" s="7"/>
      <c r="I147" s="158" t="str">
        <f t="shared" si="72"/>
        <v>0</v>
      </c>
      <c r="J147" s="3" t="str">
        <f t="shared" si="73"/>
        <v>0</v>
      </c>
      <c r="K147" s="3" t="str">
        <f t="shared" si="74"/>
        <v>0</v>
      </c>
      <c r="L147" s="3" t="str">
        <f t="shared" si="75"/>
        <v>0</v>
      </c>
      <c r="M147" s="3">
        <f t="shared" si="76"/>
        <v>0</v>
      </c>
      <c r="N147" s="3">
        <f t="shared" si="77"/>
        <v>0</v>
      </c>
      <c r="O147" s="3">
        <f t="shared" si="78"/>
        <v>1517.64</v>
      </c>
      <c r="P147" s="3" t="str">
        <f t="shared" si="79"/>
        <v>0</v>
      </c>
      <c r="Q147" s="3">
        <f t="shared" si="80"/>
        <v>1510.0518000000002</v>
      </c>
      <c r="R147" s="3" t="str">
        <f t="shared" si="81"/>
        <v>0</v>
      </c>
      <c r="S147" s="3">
        <f t="shared" si="82"/>
        <v>0</v>
      </c>
      <c r="T147" s="3" t="str">
        <f t="shared" si="83"/>
        <v>0</v>
      </c>
      <c r="U147" s="3"/>
      <c r="V147" s="3"/>
      <c r="W147" s="3"/>
      <c r="X147" s="3"/>
      <c r="Y147" s="3"/>
      <c r="Z147" s="3"/>
    </row>
    <row r="148" spans="1:26" x14ac:dyDescent="0.25">
      <c r="A148" s="175">
        <v>46191</v>
      </c>
      <c r="B148" s="3" t="s">
        <v>170</v>
      </c>
      <c r="C148" s="169" t="s">
        <v>234</v>
      </c>
      <c r="D148" s="170">
        <v>698.08</v>
      </c>
      <c r="E148" s="173">
        <v>0.995</v>
      </c>
      <c r="F148" s="174">
        <f t="shared" si="89"/>
        <v>694.58960000000002</v>
      </c>
      <c r="G148" s="6">
        <f t="shared" si="71"/>
        <v>0</v>
      </c>
      <c r="H148" s="7"/>
      <c r="I148" s="158" t="str">
        <f t="shared" si="72"/>
        <v>0</v>
      </c>
      <c r="J148" s="3" t="str">
        <f t="shared" si="73"/>
        <v>0</v>
      </c>
      <c r="K148" s="3" t="str">
        <f t="shared" si="74"/>
        <v>0</v>
      </c>
      <c r="L148" s="3" t="str">
        <f t="shared" si="75"/>
        <v>0</v>
      </c>
      <c r="M148" s="3">
        <f t="shared" si="76"/>
        <v>0</v>
      </c>
      <c r="N148" s="3">
        <f t="shared" si="77"/>
        <v>0</v>
      </c>
      <c r="O148" s="3">
        <f t="shared" si="78"/>
        <v>698.08</v>
      </c>
      <c r="P148" s="3" t="str">
        <f t="shared" si="79"/>
        <v>0</v>
      </c>
      <c r="Q148" s="3">
        <f t="shared" si="80"/>
        <v>694.58960000000002</v>
      </c>
      <c r="R148" s="3" t="str">
        <f t="shared" si="81"/>
        <v>0</v>
      </c>
      <c r="S148" s="3">
        <f t="shared" si="82"/>
        <v>0</v>
      </c>
      <c r="T148" s="3" t="str">
        <f t="shared" si="83"/>
        <v>0</v>
      </c>
      <c r="U148" s="3"/>
      <c r="V148" s="3"/>
      <c r="W148" s="3"/>
      <c r="X148" s="3"/>
      <c r="Y148" s="3"/>
      <c r="Z148" s="3"/>
    </row>
    <row r="149" spans="1:26" x14ac:dyDescent="0.25">
      <c r="A149" s="175">
        <v>46191</v>
      </c>
      <c r="B149" s="3" t="s">
        <v>170</v>
      </c>
      <c r="C149" s="169" t="s">
        <v>232</v>
      </c>
      <c r="D149" s="170">
        <v>1000</v>
      </c>
      <c r="E149" s="173">
        <v>0.995</v>
      </c>
      <c r="F149" s="174">
        <f t="shared" si="89"/>
        <v>995</v>
      </c>
      <c r="G149" s="6">
        <f t="shared" si="71"/>
        <v>0</v>
      </c>
      <c r="H149" s="7"/>
      <c r="I149" s="158" t="str">
        <f t="shared" si="72"/>
        <v>0</v>
      </c>
      <c r="J149" s="3" t="str">
        <f t="shared" si="73"/>
        <v>0</v>
      </c>
      <c r="K149" s="3" t="str">
        <f t="shared" si="74"/>
        <v>0</v>
      </c>
      <c r="L149" s="3" t="str">
        <f t="shared" si="75"/>
        <v>0</v>
      </c>
      <c r="M149" s="3">
        <f t="shared" si="76"/>
        <v>0</v>
      </c>
      <c r="N149" s="3">
        <f t="shared" si="77"/>
        <v>0</v>
      </c>
      <c r="O149" s="3">
        <f t="shared" si="78"/>
        <v>1000</v>
      </c>
      <c r="P149" s="3" t="str">
        <f t="shared" si="79"/>
        <v>0</v>
      </c>
      <c r="Q149" s="3">
        <f t="shared" si="80"/>
        <v>995</v>
      </c>
      <c r="R149" s="3" t="str">
        <f t="shared" si="81"/>
        <v>0</v>
      </c>
      <c r="S149" s="3">
        <f t="shared" si="82"/>
        <v>0</v>
      </c>
      <c r="T149" s="3" t="str">
        <f t="shared" si="83"/>
        <v>0</v>
      </c>
      <c r="U149" s="3"/>
      <c r="V149" s="3"/>
      <c r="W149" s="3"/>
      <c r="X149" s="3"/>
      <c r="Y149" s="3"/>
      <c r="Z149" s="3"/>
    </row>
    <row r="150" spans="1:26" x14ac:dyDescent="0.25">
      <c r="A150" s="175">
        <v>46191</v>
      </c>
      <c r="B150" s="3" t="s">
        <v>170</v>
      </c>
      <c r="C150" s="3" t="s">
        <v>235</v>
      </c>
      <c r="D150" s="170">
        <v>400.71</v>
      </c>
      <c r="E150" s="173">
        <v>0.995</v>
      </c>
      <c r="F150" s="174">
        <f t="shared" si="89"/>
        <v>398.70644999999996</v>
      </c>
      <c r="G150" s="6">
        <f t="shared" si="71"/>
        <v>0</v>
      </c>
      <c r="H150" s="7"/>
      <c r="I150" s="158" t="str">
        <f t="shared" si="72"/>
        <v>0</v>
      </c>
      <c r="J150" s="3" t="str">
        <f t="shared" si="73"/>
        <v>0</v>
      </c>
      <c r="K150" s="3" t="str">
        <f t="shared" si="74"/>
        <v>0</v>
      </c>
      <c r="L150" s="3" t="str">
        <f t="shared" si="75"/>
        <v>0</v>
      </c>
      <c r="M150" s="3">
        <f t="shared" si="76"/>
        <v>0</v>
      </c>
      <c r="N150" s="3">
        <f t="shared" si="77"/>
        <v>0</v>
      </c>
      <c r="O150" s="3">
        <f t="shared" si="78"/>
        <v>400.71</v>
      </c>
      <c r="P150" s="3" t="str">
        <f t="shared" si="79"/>
        <v>0</v>
      </c>
      <c r="Q150" s="3">
        <f t="shared" si="80"/>
        <v>398.70644999999996</v>
      </c>
      <c r="R150" s="3" t="str">
        <f t="shared" si="81"/>
        <v>0</v>
      </c>
      <c r="S150" s="3">
        <f t="shared" si="82"/>
        <v>0</v>
      </c>
      <c r="T150" s="3" t="str">
        <f t="shared" si="83"/>
        <v>0</v>
      </c>
      <c r="U150" s="3"/>
      <c r="V150" s="3"/>
      <c r="W150" s="3"/>
      <c r="X150" s="3"/>
      <c r="Y150" s="3"/>
      <c r="Z150" s="3"/>
    </row>
    <row r="151" spans="1:26" x14ac:dyDescent="0.25">
      <c r="A151" s="175">
        <v>46191</v>
      </c>
      <c r="B151" s="3" t="s">
        <v>210</v>
      </c>
      <c r="C151" s="169" t="s">
        <v>236</v>
      </c>
      <c r="D151" s="4"/>
      <c r="E151" s="5"/>
      <c r="F151" s="6">
        <f t="shared" si="70"/>
        <v>0</v>
      </c>
      <c r="G151" s="6" t="e">
        <f t="shared" si="71"/>
        <v>#DIV/0!</v>
      </c>
      <c r="H151" s="7"/>
      <c r="I151" s="3" t="str">
        <f t="shared" si="72"/>
        <v>0</v>
      </c>
      <c r="J151" s="3" t="str">
        <f t="shared" si="73"/>
        <v>0</v>
      </c>
      <c r="K151" s="3" t="str">
        <f t="shared" si="74"/>
        <v>0</v>
      </c>
      <c r="L151" s="3" t="str">
        <f t="shared" si="75"/>
        <v>0</v>
      </c>
      <c r="M151" s="3">
        <f t="shared" si="76"/>
        <v>0</v>
      </c>
      <c r="N151" s="3">
        <f t="shared" si="77"/>
        <v>0</v>
      </c>
      <c r="O151" s="3" t="str">
        <f t="shared" si="78"/>
        <v>0</v>
      </c>
      <c r="P151" s="3" t="str">
        <f t="shared" si="79"/>
        <v>0</v>
      </c>
      <c r="Q151" s="3" t="str">
        <f t="shared" si="80"/>
        <v>0</v>
      </c>
      <c r="R151" s="3" t="str">
        <f t="shared" si="81"/>
        <v>0</v>
      </c>
      <c r="S151" s="3">
        <f t="shared" si="82"/>
        <v>0</v>
      </c>
      <c r="T151" s="3" t="str">
        <f t="shared" si="83"/>
        <v>0</v>
      </c>
      <c r="U151" s="3">
        <v>6894</v>
      </c>
      <c r="V151" s="3"/>
      <c r="W151" s="3"/>
      <c r="X151" s="3"/>
      <c r="Y151" s="3"/>
      <c r="Z151" s="3"/>
    </row>
    <row r="152" spans="1:26" x14ac:dyDescent="0.25">
      <c r="A152" s="175">
        <v>46192</v>
      </c>
      <c r="B152" s="3" t="s">
        <v>169</v>
      </c>
      <c r="C152" s="169" t="s">
        <v>228</v>
      </c>
      <c r="D152" s="170">
        <v>1946</v>
      </c>
      <c r="E152" s="171">
        <v>0.88</v>
      </c>
      <c r="F152" s="172">
        <f>+D152*E152</f>
        <v>1712.48</v>
      </c>
      <c r="G152" s="172">
        <f>+H152/D152</f>
        <v>10.100462487153134</v>
      </c>
      <c r="H152" s="176">
        <v>19655.5</v>
      </c>
      <c r="I152" s="158">
        <f t="shared" si="72"/>
        <v>1946</v>
      </c>
      <c r="J152" s="3" t="str">
        <f t="shared" si="73"/>
        <v>0</v>
      </c>
      <c r="K152" s="3">
        <f t="shared" si="74"/>
        <v>1712.48</v>
      </c>
      <c r="L152" s="3" t="str">
        <f t="shared" si="75"/>
        <v>0</v>
      </c>
      <c r="M152" s="3">
        <f t="shared" si="76"/>
        <v>20638.275000000001</v>
      </c>
      <c r="N152" s="3">
        <f t="shared" si="77"/>
        <v>0</v>
      </c>
      <c r="O152" s="3" t="str">
        <f t="shared" si="78"/>
        <v>0</v>
      </c>
      <c r="P152" s="3" t="str">
        <f t="shared" si="79"/>
        <v>0</v>
      </c>
      <c r="Q152" s="3" t="str">
        <f t="shared" si="80"/>
        <v>0</v>
      </c>
      <c r="R152" s="3" t="str">
        <f t="shared" si="81"/>
        <v>0</v>
      </c>
      <c r="S152" s="3">
        <f t="shared" si="82"/>
        <v>0</v>
      </c>
      <c r="T152" s="3" t="str">
        <f t="shared" si="83"/>
        <v>0</v>
      </c>
      <c r="U152" s="3"/>
      <c r="V152" s="3"/>
      <c r="W152" s="3"/>
      <c r="X152" s="3"/>
      <c r="Y152" s="3"/>
      <c r="Z152" s="3"/>
    </row>
    <row r="153" spans="1:26" x14ac:dyDescent="0.25">
      <c r="A153" s="175">
        <v>46192</v>
      </c>
      <c r="B153" s="3" t="s">
        <v>169</v>
      </c>
      <c r="C153" s="169" t="s">
        <v>234</v>
      </c>
      <c r="D153" s="170">
        <v>36.24</v>
      </c>
      <c r="E153" s="171">
        <v>0.88</v>
      </c>
      <c r="F153" s="172">
        <f t="shared" ref="F153:F158" si="90">+D153*E153</f>
        <v>31.891200000000001</v>
      </c>
      <c r="G153" s="172">
        <f t="shared" ref="G153:G158" si="91">+H153/D153</f>
        <v>4.0011037527593816</v>
      </c>
      <c r="H153" s="176">
        <v>145</v>
      </c>
      <c r="I153" s="158">
        <f t="shared" si="72"/>
        <v>36.24</v>
      </c>
      <c r="J153" s="3" t="str">
        <f t="shared" si="73"/>
        <v>0</v>
      </c>
      <c r="K153" s="3">
        <f t="shared" si="74"/>
        <v>31.891200000000001</v>
      </c>
      <c r="L153" s="3" t="str">
        <f t="shared" si="75"/>
        <v>0</v>
      </c>
      <c r="M153" s="3">
        <f t="shared" si="76"/>
        <v>152.25</v>
      </c>
      <c r="N153" s="3">
        <f t="shared" si="77"/>
        <v>0</v>
      </c>
      <c r="O153" s="3" t="str">
        <f t="shared" si="78"/>
        <v>0</v>
      </c>
      <c r="P153" s="3" t="str">
        <f t="shared" si="79"/>
        <v>0</v>
      </c>
      <c r="Q153" s="3" t="str">
        <f t="shared" si="80"/>
        <v>0</v>
      </c>
      <c r="R153" s="3" t="str">
        <f t="shared" si="81"/>
        <v>0</v>
      </c>
      <c r="S153" s="3">
        <f t="shared" si="82"/>
        <v>0</v>
      </c>
      <c r="T153" s="3" t="str">
        <f t="shared" si="83"/>
        <v>0</v>
      </c>
      <c r="U153" s="3"/>
      <c r="V153" s="3"/>
      <c r="W153" s="3"/>
      <c r="X153" s="3"/>
      <c r="Y153" s="3"/>
      <c r="Z153" s="3"/>
    </row>
    <row r="154" spans="1:26" x14ac:dyDescent="0.25">
      <c r="A154" s="175">
        <v>46192</v>
      </c>
      <c r="B154" s="3" t="s">
        <v>169</v>
      </c>
      <c r="C154" s="169" t="s">
        <v>236</v>
      </c>
      <c r="D154" s="170">
        <v>2304.5</v>
      </c>
      <c r="E154" s="171">
        <v>0.92</v>
      </c>
      <c r="F154" s="172">
        <f t="shared" si="90"/>
        <v>2120.14</v>
      </c>
      <c r="G154" s="172">
        <f t="shared" si="91"/>
        <v>4</v>
      </c>
      <c r="H154" s="176">
        <v>9218</v>
      </c>
      <c r="I154" s="158">
        <f t="shared" si="72"/>
        <v>2304.5</v>
      </c>
      <c r="J154" s="3" t="str">
        <f t="shared" si="73"/>
        <v>0</v>
      </c>
      <c r="K154" s="3">
        <f t="shared" si="74"/>
        <v>2120.14</v>
      </c>
      <c r="L154" s="3" t="str">
        <f t="shared" si="75"/>
        <v>0</v>
      </c>
      <c r="M154" s="3">
        <f t="shared" si="76"/>
        <v>9678.9</v>
      </c>
      <c r="N154" s="3">
        <f t="shared" si="77"/>
        <v>0</v>
      </c>
      <c r="O154" s="3" t="str">
        <f t="shared" si="78"/>
        <v>0</v>
      </c>
      <c r="P154" s="3" t="str">
        <f t="shared" si="79"/>
        <v>0</v>
      </c>
      <c r="Q154" s="3" t="str">
        <f t="shared" si="80"/>
        <v>0</v>
      </c>
      <c r="R154" s="3" t="str">
        <f t="shared" si="81"/>
        <v>0</v>
      </c>
      <c r="S154" s="3">
        <f t="shared" si="82"/>
        <v>0</v>
      </c>
      <c r="T154" s="3" t="str">
        <f t="shared" si="83"/>
        <v>0</v>
      </c>
      <c r="U154" s="3"/>
      <c r="V154" s="3"/>
      <c r="W154" s="3"/>
      <c r="X154" s="3"/>
      <c r="Y154" s="3"/>
      <c r="Z154" s="3"/>
    </row>
    <row r="155" spans="1:26" x14ac:dyDescent="0.25">
      <c r="A155" s="175">
        <v>46192</v>
      </c>
      <c r="B155" s="3" t="s">
        <v>169</v>
      </c>
      <c r="C155" s="169" t="s">
        <v>229</v>
      </c>
      <c r="D155" s="170">
        <v>706.7</v>
      </c>
      <c r="E155" s="171">
        <v>0.88</v>
      </c>
      <c r="F155" s="172">
        <f t="shared" si="90"/>
        <v>621.89600000000007</v>
      </c>
      <c r="G155" s="172">
        <f t="shared" si="91"/>
        <v>11.999999999999998</v>
      </c>
      <c r="H155" s="176">
        <v>8480.4</v>
      </c>
      <c r="I155" s="158">
        <f t="shared" si="72"/>
        <v>706.7</v>
      </c>
      <c r="J155" s="3" t="str">
        <f t="shared" si="73"/>
        <v>0</v>
      </c>
      <c r="K155" s="3">
        <f t="shared" si="74"/>
        <v>621.89600000000007</v>
      </c>
      <c r="L155" s="3" t="str">
        <f t="shared" si="75"/>
        <v>0</v>
      </c>
      <c r="M155" s="3">
        <f t="shared" si="76"/>
        <v>8904.42</v>
      </c>
      <c r="N155" s="3">
        <f t="shared" si="77"/>
        <v>0</v>
      </c>
      <c r="O155" s="3" t="str">
        <f t="shared" si="78"/>
        <v>0</v>
      </c>
      <c r="P155" s="3" t="str">
        <f t="shared" si="79"/>
        <v>0</v>
      </c>
      <c r="Q155" s="3" t="str">
        <f t="shared" si="80"/>
        <v>0</v>
      </c>
      <c r="R155" s="3" t="str">
        <f t="shared" si="81"/>
        <v>0</v>
      </c>
      <c r="S155" s="3">
        <f t="shared" si="82"/>
        <v>0</v>
      </c>
      <c r="T155" s="3" t="str">
        <f t="shared" si="83"/>
        <v>0</v>
      </c>
      <c r="U155" s="3"/>
      <c r="V155" s="3"/>
      <c r="W155" s="3"/>
      <c r="X155" s="3"/>
      <c r="Y155" s="3"/>
      <c r="Z155" s="3"/>
    </row>
    <row r="156" spans="1:26" x14ac:dyDescent="0.25">
      <c r="A156" s="175">
        <v>46192</v>
      </c>
      <c r="B156" s="3" t="s">
        <v>169</v>
      </c>
      <c r="C156" s="3" t="s">
        <v>230</v>
      </c>
      <c r="D156" s="170">
        <v>571.1</v>
      </c>
      <c r="E156" s="171">
        <v>0.88</v>
      </c>
      <c r="F156" s="172">
        <f t="shared" si="90"/>
        <v>502.56800000000004</v>
      </c>
      <c r="G156" s="172">
        <f t="shared" si="91"/>
        <v>6.9999999999999991</v>
      </c>
      <c r="H156" s="176">
        <v>3997.7</v>
      </c>
      <c r="I156" s="158">
        <f t="shared" si="72"/>
        <v>571.1</v>
      </c>
      <c r="J156" s="3" t="str">
        <f t="shared" si="73"/>
        <v>0</v>
      </c>
      <c r="K156" s="3">
        <f t="shared" si="74"/>
        <v>502.56800000000004</v>
      </c>
      <c r="L156" s="3" t="str">
        <f t="shared" si="75"/>
        <v>0</v>
      </c>
      <c r="M156" s="3">
        <f t="shared" si="76"/>
        <v>4197.585</v>
      </c>
      <c r="N156" s="3">
        <f t="shared" si="77"/>
        <v>0</v>
      </c>
      <c r="O156" s="3" t="str">
        <f t="shared" si="78"/>
        <v>0</v>
      </c>
      <c r="P156" s="3" t="str">
        <f t="shared" si="79"/>
        <v>0</v>
      </c>
      <c r="Q156" s="3" t="str">
        <f t="shared" si="80"/>
        <v>0</v>
      </c>
      <c r="R156" s="3" t="str">
        <f t="shared" si="81"/>
        <v>0</v>
      </c>
      <c r="S156" s="3">
        <f t="shared" si="82"/>
        <v>0</v>
      </c>
      <c r="T156" s="3" t="str">
        <f t="shared" si="83"/>
        <v>0</v>
      </c>
      <c r="U156" s="3"/>
      <c r="V156" s="3"/>
      <c r="W156" s="3"/>
      <c r="X156" s="3"/>
      <c r="Y156" s="3"/>
      <c r="Z156" s="3"/>
    </row>
    <row r="157" spans="1:26" x14ac:dyDescent="0.25">
      <c r="A157" s="175">
        <v>46192</v>
      </c>
      <c r="B157" s="3" t="s">
        <v>169</v>
      </c>
      <c r="C157" s="3" t="s">
        <v>235</v>
      </c>
      <c r="D157" s="170">
        <v>397.4</v>
      </c>
      <c r="E157" s="171">
        <v>0.88</v>
      </c>
      <c r="F157" s="172">
        <f t="shared" si="90"/>
        <v>349.71199999999999</v>
      </c>
      <c r="G157" s="172">
        <f t="shared" si="91"/>
        <v>5</v>
      </c>
      <c r="H157" s="176">
        <v>1987</v>
      </c>
      <c r="I157" s="158">
        <f t="shared" si="72"/>
        <v>397.4</v>
      </c>
      <c r="J157" s="3" t="str">
        <f t="shared" si="73"/>
        <v>0</v>
      </c>
      <c r="K157" s="3">
        <f t="shared" si="74"/>
        <v>349.71199999999999</v>
      </c>
      <c r="L157" s="3" t="str">
        <f t="shared" si="75"/>
        <v>0</v>
      </c>
      <c r="M157" s="3">
        <f t="shared" si="76"/>
        <v>2086.35</v>
      </c>
      <c r="N157" s="3">
        <f t="shared" si="77"/>
        <v>0</v>
      </c>
      <c r="O157" s="3" t="str">
        <f t="shared" si="78"/>
        <v>0</v>
      </c>
      <c r="P157" s="3" t="str">
        <f t="shared" si="79"/>
        <v>0</v>
      </c>
      <c r="Q157" s="3" t="str">
        <f t="shared" si="80"/>
        <v>0</v>
      </c>
      <c r="R157" s="3" t="str">
        <f t="shared" si="81"/>
        <v>0</v>
      </c>
      <c r="S157" s="3">
        <f t="shared" si="82"/>
        <v>0</v>
      </c>
      <c r="T157" s="3" t="str">
        <f t="shared" si="83"/>
        <v>0</v>
      </c>
      <c r="U157" s="3"/>
      <c r="V157" s="3"/>
      <c r="W157" s="3"/>
      <c r="X157" s="3"/>
      <c r="Y157" s="3"/>
      <c r="Z157" s="3"/>
    </row>
    <row r="158" spans="1:26" x14ac:dyDescent="0.25">
      <c r="A158" s="175">
        <v>46192</v>
      </c>
      <c r="B158" s="3" t="s">
        <v>169</v>
      </c>
      <c r="C158" s="169" t="s">
        <v>247</v>
      </c>
      <c r="D158" s="170">
        <v>108</v>
      </c>
      <c r="E158" s="171">
        <v>0.88</v>
      </c>
      <c r="F158" s="172">
        <f t="shared" si="90"/>
        <v>95.04</v>
      </c>
      <c r="G158" s="172">
        <f t="shared" si="91"/>
        <v>7</v>
      </c>
      <c r="H158" s="176">
        <v>756</v>
      </c>
      <c r="I158" s="158">
        <f t="shared" si="72"/>
        <v>108</v>
      </c>
      <c r="J158" s="3" t="str">
        <f t="shared" si="73"/>
        <v>0</v>
      </c>
      <c r="K158" s="3">
        <f t="shared" si="74"/>
        <v>95.04</v>
      </c>
      <c r="L158" s="3" t="str">
        <f t="shared" si="75"/>
        <v>0</v>
      </c>
      <c r="M158" s="3">
        <f t="shared" si="76"/>
        <v>793.8</v>
      </c>
      <c r="N158" s="3">
        <f t="shared" si="77"/>
        <v>0</v>
      </c>
      <c r="O158" s="3" t="str">
        <f t="shared" si="78"/>
        <v>0</v>
      </c>
      <c r="P158" s="3" t="str">
        <f t="shared" si="79"/>
        <v>0</v>
      </c>
      <c r="Q158" s="3" t="str">
        <f t="shared" si="80"/>
        <v>0</v>
      </c>
      <c r="R158" s="3" t="str">
        <f t="shared" si="81"/>
        <v>0</v>
      </c>
      <c r="S158" s="3">
        <f t="shared" si="82"/>
        <v>0</v>
      </c>
      <c r="T158" s="3" t="str">
        <f t="shared" si="83"/>
        <v>0</v>
      </c>
      <c r="U158" s="3"/>
      <c r="V158" s="3"/>
      <c r="W158" s="3"/>
      <c r="X158" s="3"/>
      <c r="Y158" s="3"/>
      <c r="Z158" s="3"/>
    </row>
    <row r="159" spans="1:26" x14ac:dyDescent="0.25">
      <c r="A159" s="175">
        <v>46192</v>
      </c>
      <c r="B159" s="3" t="s">
        <v>170</v>
      </c>
      <c r="C159" s="169" t="s">
        <v>236</v>
      </c>
      <c r="D159" s="170">
        <v>2130.79</v>
      </c>
      <c r="E159" s="173">
        <v>0.995</v>
      </c>
      <c r="F159" s="174">
        <f t="shared" ref="F159:F160" si="92">D159*E159</f>
        <v>2120.1360500000001</v>
      </c>
      <c r="G159" s="6">
        <f t="shared" si="71"/>
        <v>0</v>
      </c>
      <c r="H159" s="7"/>
      <c r="I159" s="158" t="str">
        <f t="shared" si="72"/>
        <v>0</v>
      </c>
      <c r="J159" s="3" t="str">
        <f t="shared" si="73"/>
        <v>0</v>
      </c>
      <c r="K159" s="3" t="str">
        <f t="shared" si="74"/>
        <v>0</v>
      </c>
      <c r="L159" s="3" t="str">
        <f t="shared" si="75"/>
        <v>0</v>
      </c>
      <c r="M159" s="3">
        <f t="shared" si="76"/>
        <v>0</v>
      </c>
      <c r="N159" s="3">
        <f t="shared" si="77"/>
        <v>0</v>
      </c>
      <c r="O159" s="3">
        <f t="shared" si="78"/>
        <v>2130.79</v>
      </c>
      <c r="P159" s="3" t="str">
        <f t="shared" si="79"/>
        <v>0</v>
      </c>
      <c r="Q159" s="3">
        <f t="shared" si="80"/>
        <v>2120.1360500000001</v>
      </c>
      <c r="R159" s="3" t="str">
        <f t="shared" si="81"/>
        <v>0</v>
      </c>
      <c r="S159" s="3">
        <f t="shared" si="82"/>
        <v>0</v>
      </c>
      <c r="T159" s="3" t="str">
        <f t="shared" si="83"/>
        <v>0</v>
      </c>
      <c r="U159" s="3"/>
      <c r="V159" s="3"/>
      <c r="W159" s="3"/>
      <c r="X159" s="3"/>
      <c r="Y159" s="3"/>
      <c r="Z159" s="3"/>
    </row>
    <row r="160" spans="1:26" x14ac:dyDescent="0.25">
      <c r="A160" s="175">
        <v>46192</v>
      </c>
      <c r="B160" s="3" t="s">
        <v>170</v>
      </c>
      <c r="C160" s="3" t="s">
        <v>230</v>
      </c>
      <c r="D160" s="170">
        <v>57</v>
      </c>
      <c r="E160" s="173">
        <v>0.995</v>
      </c>
      <c r="F160" s="174">
        <f t="shared" si="92"/>
        <v>56.714999999999996</v>
      </c>
      <c r="G160" s="6">
        <f t="shared" si="71"/>
        <v>0</v>
      </c>
      <c r="H160" s="7"/>
      <c r="I160" s="158" t="str">
        <f t="shared" si="72"/>
        <v>0</v>
      </c>
      <c r="J160" s="3" t="str">
        <f t="shared" si="73"/>
        <v>0</v>
      </c>
      <c r="K160" s="3" t="str">
        <f t="shared" si="74"/>
        <v>0</v>
      </c>
      <c r="L160" s="3" t="str">
        <f t="shared" si="75"/>
        <v>0</v>
      </c>
      <c r="M160" s="3">
        <f t="shared" si="76"/>
        <v>0</v>
      </c>
      <c r="N160" s="3">
        <f t="shared" si="77"/>
        <v>0</v>
      </c>
      <c r="O160" s="3">
        <f t="shared" si="78"/>
        <v>57</v>
      </c>
      <c r="P160" s="3" t="str">
        <f t="shared" si="79"/>
        <v>0</v>
      </c>
      <c r="Q160" s="3">
        <f t="shared" si="80"/>
        <v>56.714999999999996</v>
      </c>
      <c r="R160" s="3" t="str">
        <f t="shared" si="81"/>
        <v>0</v>
      </c>
      <c r="S160" s="3">
        <f t="shared" si="82"/>
        <v>0</v>
      </c>
      <c r="T160" s="3" t="str">
        <f t="shared" si="83"/>
        <v>0</v>
      </c>
      <c r="U160" s="3"/>
      <c r="V160" s="3"/>
      <c r="W160" s="3"/>
      <c r="X160" s="3"/>
      <c r="Y160" s="3"/>
      <c r="Z160" s="3"/>
    </row>
    <row r="161" spans="1:26" x14ac:dyDescent="0.25">
      <c r="A161" s="175">
        <v>46192</v>
      </c>
      <c r="B161" s="3" t="s">
        <v>210</v>
      </c>
      <c r="C161" s="169" t="s">
        <v>236</v>
      </c>
      <c r="D161" s="4"/>
      <c r="E161" s="5"/>
      <c r="F161" s="6">
        <f t="shared" si="70"/>
        <v>0</v>
      </c>
      <c r="G161" s="6" t="e">
        <f t="shared" si="71"/>
        <v>#DIV/0!</v>
      </c>
      <c r="H161" s="7"/>
      <c r="I161" s="3" t="str">
        <f t="shared" si="72"/>
        <v>0</v>
      </c>
      <c r="J161" s="3" t="str">
        <f t="shared" si="73"/>
        <v>0</v>
      </c>
      <c r="K161" s="3" t="str">
        <f t="shared" si="74"/>
        <v>0</v>
      </c>
      <c r="L161" s="3" t="str">
        <f t="shared" si="75"/>
        <v>0</v>
      </c>
      <c r="M161" s="3">
        <f t="shared" si="76"/>
        <v>0</v>
      </c>
      <c r="N161" s="3">
        <f t="shared" si="77"/>
        <v>0</v>
      </c>
      <c r="O161" s="3" t="str">
        <f t="shared" si="78"/>
        <v>0</v>
      </c>
      <c r="P161" s="3" t="str">
        <f t="shared" si="79"/>
        <v>0</v>
      </c>
      <c r="Q161" s="3" t="str">
        <f t="shared" si="80"/>
        <v>0</v>
      </c>
      <c r="R161" s="3" t="str">
        <f t="shared" si="81"/>
        <v>0</v>
      </c>
      <c r="S161" s="3">
        <f t="shared" si="82"/>
        <v>0</v>
      </c>
      <c r="T161" s="3" t="str">
        <f t="shared" si="83"/>
        <v>0</v>
      </c>
      <c r="U161" s="3">
        <v>9679</v>
      </c>
      <c r="V161" s="3"/>
      <c r="W161" s="3"/>
      <c r="X161" s="3"/>
      <c r="Y161" s="3"/>
      <c r="Z161" s="3"/>
    </row>
    <row r="162" spans="1:26" x14ac:dyDescent="0.25">
      <c r="A162" s="175">
        <v>46193</v>
      </c>
      <c r="B162" s="3" t="s">
        <v>169</v>
      </c>
      <c r="C162" s="169" t="s">
        <v>236</v>
      </c>
      <c r="D162" s="170">
        <v>1851.98</v>
      </c>
      <c r="E162" s="171">
        <v>0.92</v>
      </c>
      <c r="F162" s="172">
        <f>+D162*E162</f>
        <v>1703.8216</v>
      </c>
      <c r="G162" s="172">
        <f>+H162/D162</f>
        <v>4</v>
      </c>
      <c r="H162" s="176">
        <v>7407.92</v>
      </c>
      <c r="I162" s="158">
        <f t="shared" si="72"/>
        <v>1851.98</v>
      </c>
      <c r="J162" s="3" t="str">
        <f t="shared" si="73"/>
        <v>0</v>
      </c>
      <c r="K162" s="3">
        <f t="shared" si="74"/>
        <v>1703.8216</v>
      </c>
      <c r="L162" s="3" t="str">
        <f t="shared" si="75"/>
        <v>0</v>
      </c>
      <c r="M162" s="3">
        <f t="shared" si="76"/>
        <v>7778.3159999999998</v>
      </c>
      <c r="N162" s="3">
        <f t="shared" si="77"/>
        <v>0</v>
      </c>
      <c r="O162" s="3" t="str">
        <f t="shared" si="78"/>
        <v>0</v>
      </c>
      <c r="P162" s="3" t="str">
        <f t="shared" si="79"/>
        <v>0</v>
      </c>
      <c r="Q162" s="3" t="str">
        <f t="shared" si="80"/>
        <v>0</v>
      </c>
      <c r="R162" s="3" t="str">
        <f t="shared" si="81"/>
        <v>0</v>
      </c>
      <c r="S162" s="3">
        <f t="shared" si="82"/>
        <v>0</v>
      </c>
      <c r="T162" s="3" t="str">
        <f t="shared" si="83"/>
        <v>0</v>
      </c>
      <c r="U162" s="3"/>
      <c r="V162" s="3"/>
      <c r="W162" s="3"/>
      <c r="X162" s="3"/>
      <c r="Y162" s="3"/>
      <c r="Z162" s="3"/>
    </row>
    <row r="163" spans="1:26" x14ac:dyDescent="0.25">
      <c r="A163" s="175">
        <v>46193</v>
      </c>
      <c r="B163" s="3" t="s">
        <v>169</v>
      </c>
      <c r="C163" s="169" t="s">
        <v>228</v>
      </c>
      <c r="D163" s="170">
        <v>1125.3</v>
      </c>
      <c r="E163" s="171">
        <v>0.88</v>
      </c>
      <c r="F163" s="172">
        <f t="shared" ref="F163:F164" si="93">+D163*E163</f>
        <v>990.26400000000001</v>
      </c>
      <c r="G163" s="172">
        <f t="shared" ref="G163:G164" si="94">+H163/D163</f>
        <v>10.968408424420154</v>
      </c>
      <c r="H163" s="176">
        <v>12342.75</v>
      </c>
      <c r="I163" s="158">
        <f t="shared" si="72"/>
        <v>1125.3</v>
      </c>
      <c r="J163" s="3" t="str">
        <f t="shared" si="73"/>
        <v>0</v>
      </c>
      <c r="K163" s="3">
        <f t="shared" si="74"/>
        <v>990.26400000000001</v>
      </c>
      <c r="L163" s="3" t="str">
        <f t="shared" si="75"/>
        <v>0</v>
      </c>
      <c r="M163" s="3">
        <f t="shared" si="76"/>
        <v>12959.887500000001</v>
      </c>
      <c r="N163" s="3">
        <f t="shared" si="77"/>
        <v>0</v>
      </c>
      <c r="O163" s="3" t="str">
        <f t="shared" si="78"/>
        <v>0</v>
      </c>
      <c r="P163" s="3" t="str">
        <f t="shared" si="79"/>
        <v>0</v>
      </c>
      <c r="Q163" s="3" t="str">
        <f t="shared" si="80"/>
        <v>0</v>
      </c>
      <c r="R163" s="3" t="str">
        <f t="shared" si="81"/>
        <v>0</v>
      </c>
      <c r="S163" s="3">
        <f t="shared" si="82"/>
        <v>0</v>
      </c>
      <c r="T163" s="3" t="str">
        <f t="shared" si="83"/>
        <v>0</v>
      </c>
      <c r="U163" s="3"/>
      <c r="V163" s="3"/>
      <c r="W163" s="3"/>
      <c r="X163" s="3"/>
      <c r="Y163" s="3"/>
      <c r="Z163" s="3"/>
    </row>
    <row r="164" spans="1:26" x14ac:dyDescent="0.25">
      <c r="A164" s="175">
        <v>46193</v>
      </c>
      <c r="B164" s="3" t="s">
        <v>169</v>
      </c>
      <c r="C164" s="3" t="s">
        <v>230</v>
      </c>
      <c r="D164" s="170">
        <v>1024.2</v>
      </c>
      <c r="E164" s="171">
        <v>0.88</v>
      </c>
      <c r="F164" s="172">
        <f t="shared" si="93"/>
        <v>901.29600000000005</v>
      </c>
      <c r="G164" s="172">
        <f t="shared" si="94"/>
        <v>8.9999999999999982</v>
      </c>
      <c r="H164" s="176">
        <v>9217.7999999999993</v>
      </c>
      <c r="I164" s="158">
        <f t="shared" si="72"/>
        <v>1024.2</v>
      </c>
      <c r="J164" s="3" t="str">
        <f t="shared" si="73"/>
        <v>0</v>
      </c>
      <c r="K164" s="3">
        <f t="shared" si="74"/>
        <v>901.29600000000005</v>
      </c>
      <c r="L164" s="3" t="str">
        <f t="shared" si="75"/>
        <v>0</v>
      </c>
      <c r="M164" s="3">
        <f t="shared" si="76"/>
        <v>9678.6899999999987</v>
      </c>
      <c r="N164" s="3">
        <f t="shared" si="77"/>
        <v>0</v>
      </c>
      <c r="O164" s="3" t="str">
        <f t="shared" si="78"/>
        <v>0</v>
      </c>
      <c r="P164" s="3" t="str">
        <f t="shared" si="79"/>
        <v>0</v>
      </c>
      <c r="Q164" s="3" t="str">
        <f t="shared" si="80"/>
        <v>0</v>
      </c>
      <c r="R164" s="3" t="str">
        <f t="shared" si="81"/>
        <v>0</v>
      </c>
      <c r="S164" s="3">
        <f t="shared" si="82"/>
        <v>0</v>
      </c>
      <c r="T164" s="3" t="str">
        <f t="shared" si="83"/>
        <v>0</v>
      </c>
      <c r="U164" s="3"/>
      <c r="V164" s="3"/>
      <c r="W164" s="3"/>
      <c r="X164" s="3"/>
      <c r="Y164" s="3"/>
      <c r="Z164" s="3"/>
    </row>
    <row r="165" spans="1:26" x14ac:dyDescent="0.25">
      <c r="A165" s="175">
        <v>46193</v>
      </c>
      <c r="B165" s="3" t="s">
        <v>170</v>
      </c>
      <c r="C165" s="169" t="s">
        <v>228</v>
      </c>
      <c r="D165" s="170">
        <v>2000</v>
      </c>
      <c r="E165" s="173">
        <v>0.995</v>
      </c>
      <c r="F165" s="174">
        <f t="shared" ref="F165:F167" si="95">D165*E165</f>
        <v>1990</v>
      </c>
      <c r="G165" s="6">
        <f t="shared" si="71"/>
        <v>0</v>
      </c>
      <c r="H165" s="7"/>
      <c r="I165" s="158" t="str">
        <f t="shared" si="72"/>
        <v>0</v>
      </c>
      <c r="J165" s="3" t="str">
        <f t="shared" si="73"/>
        <v>0</v>
      </c>
      <c r="K165" s="3" t="str">
        <f t="shared" si="74"/>
        <v>0</v>
      </c>
      <c r="L165" s="3" t="str">
        <f t="shared" si="75"/>
        <v>0</v>
      </c>
      <c r="M165" s="3">
        <f t="shared" si="76"/>
        <v>0</v>
      </c>
      <c r="N165" s="3">
        <f t="shared" si="77"/>
        <v>0</v>
      </c>
      <c r="O165" s="3">
        <f t="shared" si="78"/>
        <v>2000</v>
      </c>
      <c r="P165" s="3" t="str">
        <f t="shared" si="79"/>
        <v>0</v>
      </c>
      <c r="Q165" s="3">
        <f t="shared" si="80"/>
        <v>1990</v>
      </c>
      <c r="R165" s="3" t="str">
        <f t="shared" si="81"/>
        <v>0</v>
      </c>
      <c r="S165" s="3">
        <f t="shared" si="82"/>
        <v>0</v>
      </c>
      <c r="T165" s="3" t="str">
        <f t="shared" si="83"/>
        <v>0</v>
      </c>
      <c r="U165" s="3"/>
      <c r="V165" s="3"/>
      <c r="W165" s="3"/>
      <c r="X165" s="3"/>
      <c r="Y165" s="3"/>
      <c r="Z165" s="3"/>
    </row>
    <row r="166" spans="1:26" x14ac:dyDescent="0.25">
      <c r="A166" s="175">
        <v>46193</v>
      </c>
      <c r="B166" s="3" t="s">
        <v>170</v>
      </c>
      <c r="C166" s="169" t="s">
        <v>228</v>
      </c>
      <c r="D166" s="170">
        <v>1000</v>
      </c>
      <c r="E166" s="173">
        <v>1</v>
      </c>
      <c r="F166" s="174">
        <f t="shared" si="95"/>
        <v>1000</v>
      </c>
      <c r="G166" s="6">
        <f t="shared" si="71"/>
        <v>0</v>
      </c>
      <c r="H166" s="7"/>
      <c r="I166" s="158" t="str">
        <f t="shared" si="72"/>
        <v>0</v>
      </c>
      <c r="J166" s="3" t="str">
        <f t="shared" si="73"/>
        <v>0</v>
      </c>
      <c r="K166" s="3" t="str">
        <f t="shared" si="74"/>
        <v>0</v>
      </c>
      <c r="L166" s="3" t="str">
        <f t="shared" si="75"/>
        <v>0</v>
      </c>
      <c r="M166" s="3">
        <f t="shared" si="76"/>
        <v>0</v>
      </c>
      <c r="N166" s="3">
        <f t="shared" si="77"/>
        <v>0</v>
      </c>
      <c r="O166" s="3">
        <f t="shared" si="78"/>
        <v>1000</v>
      </c>
      <c r="P166" s="3" t="str">
        <f t="shared" si="79"/>
        <v>0</v>
      </c>
      <c r="Q166" s="3">
        <f t="shared" si="80"/>
        <v>1000</v>
      </c>
      <c r="R166" s="3" t="str">
        <f t="shared" si="81"/>
        <v>0</v>
      </c>
      <c r="S166" s="3">
        <f t="shared" si="82"/>
        <v>0</v>
      </c>
      <c r="T166" s="3" t="str">
        <f t="shared" si="83"/>
        <v>0</v>
      </c>
      <c r="U166" s="3"/>
      <c r="V166" s="3"/>
      <c r="W166" s="3"/>
      <c r="X166" s="3"/>
      <c r="Y166" s="3"/>
      <c r="Z166" s="3"/>
    </row>
    <row r="167" spans="1:26" x14ac:dyDescent="0.25">
      <c r="A167" s="175">
        <v>46193</v>
      </c>
      <c r="B167" s="3" t="s">
        <v>170</v>
      </c>
      <c r="C167" s="169" t="s">
        <v>236</v>
      </c>
      <c r="D167" s="170">
        <v>1712.38</v>
      </c>
      <c r="E167" s="173">
        <v>0.995</v>
      </c>
      <c r="F167" s="174">
        <f t="shared" si="95"/>
        <v>1703.8181000000002</v>
      </c>
      <c r="G167" s="6">
        <f t="shared" si="71"/>
        <v>0</v>
      </c>
      <c r="H167" s="7"/>
      <c r="I167" s="158" t="str">
        <f t="shared" si="72"/>
        <v>0</v>
      </c>
      <c r="J167" s="3" t="str">
        <f t="shared" si="73"/>
        <v>0</v>
      </c>
      <c r="K167" s="3" t="str">
        <f t="shared" si="74"/>
        <v>0</v>
      </c>
      <c r="L167" s="3" t="str">
        <f t="shared" si="75"/>
        <v>0</v>
      </c>
      <c r="M167" s="3">
        <f t="shared" si="76"/>
        <v>0</v>
      </c>
      <c r="N167" s="3">
        <f t="shared" si="77"/>
        <v>0</v>
      </c>
      <c r="O167" s="3">
        <f t="shared" si="78"/>
        <v>1712.38</v>
      </c>
      <c r="P167" s="3" t="str">
        <f t="shared" si="79"/>
        <v>0</v>
      </c>
      <c r="Q167" s="3">
        <f t="shared" si="80"/>
        <v>1703.8181000000002</v>
      </c>
      <c r="R167" s="3" t="str">
        <f t="shared" si="81"/>
        <v>0</v>
      </c>
      <c r="S167" s="3">
        <f t="shared" si="82"/>
        <v>0</v>
      </c>
      <c r="T167" s="3" t="str">
        <f t="shared" si="83"/>
        <v>0</v>
      </c>
      <c r="U167" s="3"/>
      <c r="V167" s="3"/>
      <c r="W167" s="3"/>
      <c r="X167" s="3"/>
      <c r="Y167" s="3"/>
      <c r="Z167" s="3"/>
    </row>
    <row r="168" spans="1:26" x14ac:dyDescent="0.25">
      <c r="A168" s="175">
        <v>46193</v>
      </c>
      <c r="B168" s="3" t="s">
        <v>210</v>
      </c>
      <c r="C168" s="169" t="s">
        <v>236</v>
      </c>
      <c r="D168" s="4"/>
      <c r="E168" s="5"/>
      <c r="F168" s="6">
        <f t="shared" si="70"/>
        <v>0</v>
      </c>
      <c r="G168" s="6" t="e">
        <f t="shared" si="71"/>
        <v>#DIV/0!</v>
      </c>
      <c r="H168" s="7"/>
      <c r="I168" s="3" t="str">
        <f t="shared" si="72"/>
        <v>0</v>
      </c>
      <c r="J168" s="3" t="str">
        <f t="shared" si="73"/>
        <v>0</v>
      </c>
      <c r="K168" s="3" t="str">
        <f t="shared" si="74"/>
        <v>0</v>
      </c>
      <c r="L168" s="3" t="str">
        <f t="shared" si="75"/>
        <v>0</v>
      </c>
      <c r="M168" s="3">
        <f t="shared" si="76"/>
        <v>0</v>
      </c>
      <c r="N168" s="3">
        <f t="shared" si="77"/>
        <v>0</v>
      </c>
      <c r="O168" s="3" t="str">
        <f t="shared" si="78"/>
        <v>0</v>
      </c>
      <c r="P168" s="3" t="str">
        <f t="shared" si="79"/>
        <v>0</v>
      </c>
      <c r="Q168" s="3" t="str">
        <f t="shared" si="80"/>
        <v>0</v>
      </c>
      <c r="R168" s="3" t="str">
        <f t="shared" si="81"/>
        <v>0</v>
      </c>
      <c r="S168" s="3">
        <f t="shared" si="82"/>
        <v>0</v>
      </c>
      <c r="T168" s="3" t="str">
        <f t="shared" si="83"/>
        <v>0</v>
      </c>
      <c r="U168" s="3">
        <v>7778</v>
      </c>
      <c r="V168" s="3"/>
      <c r="W168" s="3"/>
      <c r="X168" s="3"/>
      <c r="Y168" s="3"/>
      <c r="Z168" s="3"/>
    </row>
    <row r="169" spans="1:26" x14ac:dyDescent="0.25">
      <c r="A169" s="175">
        <v>46195</v>
      </c>
      <c r="B169" s="3" t="s">
        <v>169</v>
      </c>
      <c r="C169" s="169" t="s">
        <v>247</v>
      </c>
      <c r="D169" s="170">
        <v>75.7</v>
      </c>
      <c r="E169" s="171">
        <v>0.88</v>
      </c>
      <c r="F169" s="172">
        <f>+D169*E169</f>
        <v>66.616</v>
      </c>
      <c r="G169" s="172">
        <f>+H169/D169</f>
        <v>8</v>
      </c>
      <c r="H169" s="176">
        <v>605.6</v>
      </c>
      <c r="I169" s="158">
        <f t="shared" si="72"/>
        <v>75.7</v>
      </c>
      <c r="J169" s="3" t="str">
        <f t="shared" si="73"/>
        <v>0</v>
      </c>
      <c r="K169" s="3">
        <f t="shared" si="74"/>
        <v>66.616</v>
      </c>
      <c r="L169" s="3" t="str">
        <f t="shared" si="75"/>
        <v>0</v>
      </c>
      <c r="M169" s="3">
        <f t="shared" si="76"/>
        <v>635.88</v>
      </c>
      <c r="N169" s="3">
        <f t="shared" si="77"/>
        <v>0</v>
      </c>
      <c r="O169" s="3" t="str">
        <f t="shared" si="78"/>
        <v>0</v>
      </c>
      <c r="P169" s="3" t="str">
        <f t="shared" si="79"/>
        <v>0</v>
      </c>
      <c r="Q169" s="3" t="str">
        <f t="shared" si="80"/>
        <v>0</v>
      </c>
      <c r="R169" s="3" t="str">
        <f t="shared" si="81"/>
        <v>0</v>
      </c>
      <c r="S169" s="3">
        <f t="shared" si="82"/>
        <v>0</v>
      </c>
      <c r="T169" s="3" t="str">
        <f t="shared" si="83"/>
        <v>0</v>
      </c>
      <c r="U169" s="3"/>
      <c r="V169" s="3"/>
      <c r="W169" s="3"/>
      <c r="X169" s="3"/>
      <c r="Y169" s="3"/>
      <c r="Z169" s="3"/>
    </row>
    <row r="170" spans="1:26" x14ac:dyDescent="0.25">
      <c r="A170" s="175">
        <v>46195</v>
      </c>
      <c r="B170" s="3" t="s">
        <v>169</v>
      </c>
      <c r="C170" s="169" t="s">
        <v>236</v>
      </c>
      <c r="D170" s="170">
        <v>2131.1999999999998</v>
      </c>
      <c r="E170" s="171">
        <v>0.92</v>
      </c>
      <c r="F170" s="172">
        <f t="shared" ref="F170:F173" si="96">+D170*E170</f>
        <v>1960.704</v>
      </c>
      <c r="G170" s="172">
        <f t="shared" ref="G170:G173" si="97">+H170/D170</f>
        <v>4</v>
      </c>
      <c r="H170" s="176">
        <v>8524.7999999999993</v>
      </c>
      <c r="I170" s="158">
        <f t="shared" si="72"/>
        <v>2131.1999999999998</v>
      </c>
      <c r="J170" s="3" t="str">
        <f t="shared" si="73"/>
        <v>0</v>
      </c>
      <c r="K170" s="3">
        <f t="shared" si="74"/>
        <v>1960.704</v>
      </c>
      <c r="L170" s="3" t="str">
        <f t="shared" si="75"/>
        <v>0</v>
      </c>
      <c r="M170" s="3">
        <f t="shared" si="76"/>
        <v>8951.0399999999991</v>
      </c>
      <c r="N170" s="3">
        <f t="shared" si="77"/>
        <v>0</v>
      </c>
      <c r="O170" s="3" t="str">
        <f t="shared" si="78"/>
        <v>0</v>
      </c>
      <c r="P170" s="3" t="str">
        <f t="shared" si="79"/>
        <v>0</v>
      </c>
      <c r="Q170" s="3" t="str">
        <f t="shared" si="80"/>
        <v>0</v>
      </c>
      <c r="R170" s="3" t="str">
        <f t="shared" si="81"/>
        <v>0</v>
      </c>
      <c r="S170" s="3">
        <f t="shared" si="82"/>
        <v>0</v>
      </c>
      <c r="T170" s="3" t="str">
        <f t="shared" si="83"/>
        <v>0</v>
      </c>
      <c r="U170" s="3"/>
      <c r="V170" s="3"/>
      <c r="W170" s="3"/>
      <c r="X170" s="3"/>
      <c r="Y170" s="3"/>
      <c r="Z170" s="3"/>
    </row>
    <row r="171" spans="1:26" x14ac:dyDescent="0.25">
      <c r="A171" s="175">
        <v>46195</v>
      </c>
      <c r="B171" s="3" t="s">
        <v>169</v>
      </c>
      <c r="C171" s="169" t="s">
        <v>228</v>
      </c>
      <c r="D171" s="170">
        <v>1644.9</v>
      </c>
      <c r="E171" s="171">
        <v>0.88</v>
      </c>
      <c r="F171" s="172">
        <f t="shared" si="96"/>
        <v>1447.5120000000002</v>
      </c>
      <c r="G171" s="172">
        <f t="shared" si="97"/>
        <v>10.792115022189799</v>
      </c>
      <c r="H171" s="176">
        <v>17751.95</v>
      </c>
      <c r="I171" s="158">
        <f t="shared" si="72"/>
        <v>1644.9</v>
      </c>
      <c r="J171" s="3" t="str">
        <f t="shared" si="73"/>
        <v>0</v>
      </c>
      <c r="K171" s="3">
        <f t="shared" si="74"/>
        <v>1447.5120000000002</v>
      </c>
      <c r="L171" s="3" t="str">
        <f t="shared" si="75"/>
        <v>0</v>
      </c>
      <c r="M171" s="3">
        <f t="shared" si="76"/>
        <v>18639.547500000001</v>
      </c>
      <c r="N171" s="3">
        <f t="shared" si="77"/>
        <v>0</v>
      </c>
      <c r="O171" s="3" t="str">
        <f t="shared" si="78"/>
        <v>0</v>
      </c>
      <c r="P171" s="3" t="str">
        <f t="shared" si="79"/>
        <v>0</v>
      </c>
      <c r="Q171" s="3" t="str">
        <f t="shared" si="80"/>
        <v>0</v>
      </c>
      <c r="R171" s="3" t="str">
        <f t="shared" si="81"/>
        <v>0</v>
      </c>
      <c r="S171" s="3">
        <f t="shared" si="82"/>
        <v>0</v>
      </c>
      <c r="T171" s="3" t="str">
        <f t="shared" si="83"/>
        <v>0</v>
      </c>
      <c r="U171" s="3"/>
      <c r="V171" s="3"/>
      <c r="W171" s="3"/>
      <c r="X171" s="3"/>
      <c r="Y171" s="3"/>
      <c r="Z171" s="3"/>
    </row>
    <row r="172" spans="1:26" x14ac:dyDescent="0.25">
      <c r="A172" s="175">
        <v>46195</v>
      </c>
      <c r="B172" s="3" t="s">
        <v>169</v>
      </c>
      <c r="C172" s="169" t="s">
        <v>247</v>
      </c>
      <c r="D172" s="170">
        <v>50.3</v>
      </c>
      <c r="E172" s="171">
        <v>0.88</v>
      </c>
      <c r="F172" s="172">
        <f t="shared" si="96"/>
        <v>44.263999999999996</v>
      </c>
      <c r="G172" s="172">
        <f t="shared" si="97"/>
        <v>6.0000000000000009</v>
      </c>
      <c r="H172" s="176">
        <v>301.8</v>
      </c>
      <c r="I172" s="158">
        <f t="shared" si="72"/>
        <v>50.3</v>
      </c>
      <c r="J172" s="3" t="str">
        <f t="shared" si="73"/>
        <v>0</v>
      </c>
      <c r="K172" s="3">
        <f t="shared" si="74"/>
        <v>44.263999999999996</v>
      </c>
      <c r="L172" s="3" t="str">
        <f t="shared" si="75"/>
        <v>0</v>
      </c>
      <c r="M172" s="3">
        <f t="shared" si="76"/>
        <v>316.89</v>
      </c>
      <c r="N172" s="3">
        <f t="shared" si="77"/>
        <v>0</v>
      </c>
      <c r="O172" s="3" t="str">
        <f t="shared" si="78"/>
        <v>0</v>
      </c>
      <c r="P172" s="3" t="str">
        <f t="shared" si="79"/>
        <v>0</v>
      </c>
      <c r="Q172" s="3" t="str">
        <f t="shared" si="80"/>
        <v>0</v>
      </c>
      <c r="R172" s="3" t="str">
        <f t="shared" si="81"/>
        <v>0</v>
      </c>
      <c r="S172" s="3">
        <f t="shared" si="82"/>
        <v>0</v>
      </c>
      <c r="T172" s="3" t="str">
        <f t="shared" si="83"/>
        <v>0</v>
      </c>
      <c r="U172" s="3"/>
      <c r="V172" s="3"/>
      <c r="W172" s="3"/>
      <c r="X172" s="3"/>
      <c r="Y172" s="3"/>
      <c r="Z172" s="3"/>
    </row>
    <row r="173" spans="1:26" x14ac:dyDescent="0.25">
      <c r="A173" s="175">
        <v>46195</v>
      </c>
      <c r="B173" s="3" t="s">
        <v>169</v>
      </c>
      <c r="C173" s="169" t="s">
        <v>229</v>
      </c>
      <c r="D173" s="170">
        <v>812</v>
      </c>
      <c r="E173" s="171">
        <v>0.88</v>
      </c>
      <c r="F173" s="172">
        <f t="shared" si="96"/>
        <v>714.56000000000006</v>
      </c>
      <c r="G173" s="172">
        <f t="shared" si="97"/>
        <v>8</v>
      </c>
      <c r="H173" s="176">
        <f>D173*8</f>
        <v>6496</v>
      </c>
      <c r="I173" s="158">
        <f t="shared" si="72"/>
        <v>812</v>
      </c>
      <c r="J173" s="3" t="str">
        <f t="shared" si="73"/>
        <v>0</v>
      </c>
      <c r="K173" s="3">
        <f t="shared" si="74"/>
        <v>714.56000000000006</v>
      </c>
      <c r="L173" s="3" t="str">
        <f t="shared" si="75"/>
        <v>0</v>
      </c>
      <c r="M173" s="3">
        <f t="shared" si="76"/>
        <v>6820.8</v>
      </c>
      <c r="N173" s="3">
        <f t="shared" si="77"/>
        <v>0</v>
      </c>
      <c r="O173" s="3" t="str">
        <f t="shared" si="78"/>
        <v>0</v>
      </c>
      <c r="P173" s="3" t="str">
        <f t="shared" si="79"/>
        <v>0</v>
      </c>
      <c r="Q173" s="3" t="str">
        <f t="shared" si="80"/>
        <v>0</v>
      </c>
      <c r="R173" s="3" t="str">
        <f t="shared" si="81"/>
        <v>0</v>
      </c>
      <c r="S173" s="3">
        <f t="shared" si="82"/>
        <v>0</v>
      </c>
      <c r="T173" s="3" t="str">
        <f t="shared" si="83"/>
        <v>0</v>
      </c>
      <c r="U173" s="3"/>
      <c r="V173" s="3"/>
      <c r="W173" s="3"/>
      <c r="X173" s="3"/>
      <c r="Y173" s="3"/>
      <c r="Z173" s="3"/>
    </row>
    <row r="174" spans="1:26" x14ac:dyDescent="0.25">
      <c r="A174" s="175">
        <v>46195</v>
      </c>
      <c r="B174" s="3" t="s">
        <v>170</v>
      </c>
      <c r="C174" s="3" t="s">
        <v>231</v>
      </c>
      <c r="D174" s="170">
        <v>600</v>
      </c>
      <c r="E174" s="173">
        <v>0.995</v>
      </c>
      <c r="F174" s="174">
        <f t="shared" ref="F174:F182" si="98">D174*E174</f>
        <v>597</v>
      </c>
      <c r="G174" s="6"/>
      <c r="H174" s="176"/>
      <c r="I174" s="158" t="str">
        <f t="shared" si="72"/>
        <v>0</v>
      </c>
      <c r="J174" s="3" t="str">
        <f t="shared" si="73"/>
        <v>0</v>
      </c>
      <c r="K174" s="3" t="str">
        <f t="shared" si="74"/>
        <v>0</v>
      </c>
      <c r="L174" s="3" t="str">
        <f t="shared" si="75"/>
        <v>0</v>
      </c>
      <c r="M174" s="3">
        <f t="shared" si="76"/>
        <v>0</v>
      </c>
      <c r="N174" s="3">
        <f t="shared" si="77"/>
        <v>0</v>
      </c>
      <c r="O174" s="3">
        <f t="shared" si="78"/>
        <v>600</v>
      </c>
      <c r="P174" s="3" t="str">
        <f t="shared" si="79"/>
        <v>0</v>
      </c>
      <c r="Q174" s="3">
        <f t="shared" si="80"/>
        <v>597</v>
      </c>
      <c r="R174" s="3" t="str">
        <f t="shared" si="81"/>
        <v>0</v>
      </c>
      <c r="S174" s="3">
        <f t="shared" si="82"/>
        <v>0</v>
      </c>
      <c r="T174" s="3" t="str">
        <f t="shared" si="83"/>
        <v>0</v>
      </c>
      <c r="U174" s="3"/>
      <c r="V174" s="3"/>
      <c r="W174" s="3"/>
      <c r="X174" s="3"/>
      <c r="Y174" s="3"/>
      <c r="Z174" s="3"/>
    </row>
    <row r="175" spans="1:26" x14ac:dyDescent="0.25">
      <c r="A175" s="175">
        <v>46195</v>
      </c>
      <c r="B175" s="3" t="s">
        <v>170</v>
      </c>
      <c r="C175" s="3" t="s">
        <v>248</v>
      </c>
      <c r="D175" s="170">
        <v>112.73</v>
      </c>
      <c r="E175" s="173">
        <v>0.995</v>
      </c>
      <c r="F175" s="174">
        <f t="shared" si="98"/>
        <v>112.16635000000001</v>
      </c>
      <c r="G175" s="6"/>
      <c r="H175" s="176"/>
      <c r="I175" s="158" t="str">
        <f t="shared" si="72"/>
        <v>0</v>
      </c>
      <c r="J175" s="3" t="str">
        <f t="shared" si="73"/>
        <v>0</v>
      </c>
      <c r="K175" s="3" t="str">
        <f t="shared" si="74"/>
        <v>0</v>
      </c>
      <c r="L175" s="3" t="str">
        <f t="shared" si="75"/>
        <v>0</v>
      </c>
      <c r="M175" s="3">
        <f t="shared" si="76"/>
        <v>0</v>
      </c>
      <c r="N175" s="3">
        <f t="shared" si="77"/>
        <v>0</v>
      </c>
      <c r="O175" s="3">
        <f t="shared" si="78"/>
        <v>112.73</v>
      </c>
      <c r="P175" s="3" t="str">
        <f t="shared" si="79"/>
        <v>0</v>
      </c>
      <c r="Q175" s="3">
        <f t="shared" si="80"/>
        <v>112.16635000000001</v>
      </c>
      <c r="R175" s="3" t="str">
        <f t="shared" si="81"/>
        <v>0</v>
      </c>
      <c r="S175" s="3">
        <f t="shared" si="82"/>
        <v>0</v>
      </c>
      <c r="T175" s="3" t="str">
        <f t="shared" si="83"/>
        <v>0</v>
      </c>
      <c r="U175" s="3"/>
      <c r="V175" s="3"/>
      <c r="W175" s="3"/>
      <c r="X175" s="3"/>
      <c r="Y175" s="3"/>
      <c r="Z175" s="3"/>
    </row>
    <row r="176" spans="1:26" x14ac:dyDescent="0.25">
      <c r="A176" s="175">
        <v>46195</v>
      </c>
      <c r="B176" s="3" t="s">
        <v>170</v>
      </c>
      <c r="C176" s="169" t="s">
        <v>241</v>
      </c>
      <c r="D176" s="170">
        <v>303.2</v>
      </c>
      <c r="E176" s="173">
        <v>0.995</v>
      </c>
      <c r="F176" s="174">
        <f t="shared" si="98"/>
        <v>301.68399999999997</v>
      </c>
      <c r="G176" s="6"/>
      <c r="H176" s="176"/>
      <c r="I176" s="158" t="str">
        <f t="shared" si="72"/>
        <v>0</v>
      </c>
      <c r="J176" s="3" t="str">
        <f t="shared" si="73"/>
        <v>0</v>
      </c>
      <c r="K176" s="3" t="str">
        <f t="shared" si="74"/>
        <v>0</v>
      </c>
      <c r="L176" s="3" t="str">
        <f t="shared" si="75"/>
        <v>0</v>
      </c>
      <c r="M176" s="3">
        <f t="shared" si="76"/>
        <v>0</v>
      </c>
      <c r="N176" s="3">
        <f t="shared" si="77"/>
        <v>0</v>
      </c>
      <c r="O176" s="3">
        <f t="shared" si="78"/>
        <v>303.2</v>
      </c>
      <c r="P176" s="3" t="str">
        <f t="shared" si="79"/>
        <v>0</v>
      </c>
      <c r="Q176" s="3">
        <f t="shared" si="80"/>
        <v>301.68399999999997</v>
      </c>
      <c r="R176" s="3" t="str">
        <f t="shared" si="81"/>
        <v>0</v>
      </c>
      <c r="S176" s="3">
        <f t="shared" si="82"/>
        <v>0</v>
      </c>
      <c r="T176" s="3" t="str">
        <f t="shared" si="83"/>
        <v>0</v>
      </c>
      <c r="U176" s="3"/>
      <c r="V176" s="3"/>
      <c r="W176" s="3"/>
      <c r="X176" s="3"/>
      <c r="Y176" s="3"/>
      <c r="Z176" s="3"/>
    </row>
    <row r="177" spans="1:26" x14ac:dyDescent="0.25">
      <c r="A177" s="175">
        <v>46195</v>
      </c>
      <c r="B177" s="3" t="s">
        <v>170</v>
      </c>
      <c r="C177" s="169" t="s">
        <v>236</v>
      </c>
      <c r="D177" s="170">
        <v>1960.7</v>
      </c>
      <c r="E177" s="173">
        <v>1</v>
      </c>
      <c r="F177" s="174">
        <f t="shared" si="98"/>
        <v>1960.7</v>
      </c>
      <c r="G177" s="6"/>
      <c r="H177" s="176"/>
      <c r="I177" s="158" t="str">
        <f t="shared" si="72"/>
        <v>0</v>
      </c>
      <c r="J177" s="3" t="str">
        <f t="shared" si="73"/>
        <v>0</v>
      </c>
      <c r="K177" s="3" t="str">
        <f t="shared" si="74"/>
        <v>0</v>
      </c>
      <c r="L177" s="3" t="str">
        <f t="shared" si="75"/>
        <v>0</v>
      </c>
      <c r="M177" s="3">
        <f t="shared" si="76"/>
        <v>0</v>
      </c>
      <c r="N177" s="3">
        <f t="shared" si="77"/>
        <v>0</v>
      </c>
      <c r="O177" s="3">
        <f t="shared" si="78"/>
        <v>1960.7</v>
      </c>
      <c r="P177" s="3" t="str">
        <f t="shared" si="79"/>
        <v>0</v>
      </c>
      <c r="Q177" s="3">
        <f t="shared" si="80"/>
        <v>1960.7</v>
      </c>
      <c r="R177" s="3" t="str">
        <f t="shared" si="81"/>
        <v>0</v>
      </c>
      <c r="S177" s="3">
        <f t="shared" si="82"/>
        <v>0</v>
      </c>
      <c r="T177" s="3" t="str">
        <f t="shared" si="83"/>
        <v>0</v>
      </c>
      <c r="U177" s="3"/>
      <c r="V177" s="3"/>
      <c r="W177" s="3"/>
      <c r="X177" s="3"/>
      <c r="Y177" s="3"/>
      <c r="Z177" s="3"/>
    </row>
    <row r="178" spans="1:26" x14ac:dyDescent="0.25">
      <c r="A178" s="175">
        <v>46195</v>
      </c>
      <c r="B178" s="3" t="s">
        <v>170</v>
      </c>
      <c r="C178" s="3" t="s">
        <v>230</v>
      </c>
      <c r="D178" s="170">
        <v>423.6</v>
      </c>
      <c r="E178" s="173">
        <v>0.995</v>
      </c>
      <c r="F178" s="174">
        <f t="shared" si="98"/>
        <v>421.48200000000003</v>
      </c>
      <c r="G178" s="6"/>
      <c r="H178" s="176"/>
      <c r="I178" s="158" t="str">
        <f t="shared" si="72"/>
        <v>0</v>
      </c>
      <c r="J178" s="3" t="str">
        <f t="shared" si="73"/>
        <v>0</v>
      </c>
      <c r="K178" s="3" t="str">
        <f t="shared" si="74"/>
        <v>0</v>
      </c>
      <c r="L178" s="3" t="str">
        <f t="shared" si="75"/>
        <v>0</v>
      </c>
      <c r="M178" s="3">
        <f t="shared" si="76"/>
        <v>0</v>
      </c>
      <c r="N178" s="3">
        <f t="shared" si="77"/>
        <v>0</v>
      </c>
      <c r="O178" s="3">
        <f t="shared" si="78"/>
        <v>423.6</v>
      </c>
      <c r="P178" s="3" t="str">
        <f t="shared" si="79"/>
        <v>0</v>
      </c>
      <c r="Q178" s="3">
        <f t="shared" si="80"/>
        <v>421.48200000000003</v>
      </c>
      <c r="R178" s="3" t="str">
        <f t="shared" si="81"/>
        <v>0</v>
      </c>
      <c r="S178" s="3">
        <f t="shared" si="82"/>
        <v>0</v>
      </c>
      <c r="T178" s="3" t="str">
        <f t="shared" si="83"/>
        <v>0</v>
      </c>
      <c r="U178" s="3"/>
      <c r="V178" s="3"/>
      <c r="W178" s="3"/>
      <c r="X178" s="3"/>
      <c r="Y178" s="3"/>
      <c r="Z178" s="3"/>
    </row>
    <row r="179" spans="1:26" x14ac:dyDescent="0.25">
      <c r="A179" s="175">
        <v>46195</v>
      </c>
      <c r="B179" s="3" t="s">
        <v>170</v>
      </c>
      <c r="C179" s="169" t="s">
        <v>243</v>
      </c>
      <c r="D179" s="170">
        <v>867.4</v>
      </c>
      <c r="E179" s="173">
        <v>0.995</v>
      </c>
      <c r="F179" s="174">
        <f t="shared" si="98"/>
        <v>863.06299999999999</v>
      </c>
      <c r="G179" s="6"/>
      <c r="H179" s="176"/>
      <c r="I179" s="158" t="str">
        <f t="shared" si="72"/>
        <v>0</v>
      </c>
      <c r="J179" s="3" t="str">
        <f t="shared" si="73"/>
        <v>0</v>
      </c>
      <c r="K179" s="3" t="str">
        <f t="shared" si="74"/>
        <v>0</v>
      </c>
      <c r="L179" s="3" t="str">
        <f t="shared" si="75"/>
        <v>0</v>
      </c>
      <c r="M179" s="3">
        <f t="shared" si="76"/>
        <v>0</v>
      </c>
      <c r="N179" s="3">
        <f t="shared" si="77"/>
        <v>0</v>
      </c>
      <c r="O179" s="3">
        <f t="shared" si="78"/>
        <v>867.4</v>
      </c>
      <c r="P179" s="3" t="str">
        <f t="shared" si="79"/>
        <v>0</v>
      </c>
      <c r="Q179" s="3">
        <f t="shared" si="80"/>
        <v>863.06299999999999</v>
      </c>
      <c r="R179" s="3" t="str">
        <f t="shared" si="81"/>
        <v>0</v>
      </c>
      <c r="S179" s="3">
        <f t="shared" si="82"/>
        <v>0</v>
      </c>
      <c r="T179" s="3" t="str">
        <f t="shared" si="83"/>
        <v>0</v>
      </c>
      <c r="U179" s="3"/>
      <c r="V179" s="3"/>
      <c r="W179" s="3"/>
      <c r="X179" s="3"/>
      <c r="Y179" s="3"/>
      <c r="Z179" s="3"/>
    </row>
    <row r="180" spans="1:26" x14ac:dyDescent="0.25">
      <c r="A180" s="175">
        <v>46195</v>
      </c>
      <c r="B180" s="3" t="s">
        <v>170</v>
      </c>
      <c r="C180" s="169" t="s">
        <v>229</v>
      </c>
      <c r="D180" s="170">
        <v>537.29999999999995</v>
      </c>
      <c r="E180" s="173">
        <v>0.995</v>
      </c>
      <c r="F180" s="174">
        <f t="shared" si="98"/>
        <v>534.61349999999993</v>
      </c>
      <c r="G180" s="6"/>
      <c r="H180" s="176"/>
      <c r="I180" s="158" t="str">
        <f t="shared" si="72"/>
        <v>0</v>
      </c>
      <c r="J180" s="3" t="str">
        <f t="shared" si="73"/>
        <v>0</v>
      </c>
      <c r="K180" s="3" t="str">
        <f t="shared" si="74"/>
        <v>0</v>
      </c>
      <c r="L180" s="3" t="str">
        <f t="shared" si="75"/>
        <v>0</v>
      </c>
      <c r="M180" s="3">
        <f t="shared" si="76"/>
        <v>0</v>
      </c>
      <c r="N180" s="3">
        <f t="shared" si="77"/>
        <v>0</v>
      </c>
      <c r="O180" s="3">
        <f t="shared" si="78"/>
        <v>537.29999999999995</v>
      </c>
      <c r="P180" s="3" t="str">
        <f t="shared" si="79"/>
        <v>0</v>
      </c>
      <c r="Q180" s="3">
        <f t="shared" si="80"/>
        <v>534.61349999999993</v>
      </c>
      <c r="R180" s="3" t="str">
        <f t="shared" si="81"/>
        <v>0</v>
      </c>
      <c r="S180" s="3">
        <f t="shared" si="82"/>
        <v>0</v>
      </c>
      <c r="T180" s="3" t="str">
        <f t="shared" si="83"/>
        <v>0</v>
      </c>
      <c r="U180" s="3"/>
      <c r="V180" s="3"/>
      <c r="W180" s="3"/>
      <c r="X180" s="3"/>
      <c r="Y180" s="3"/>
      <c r="Z180" s="3"/>
    </row>
    <row r="181" spans="1:26" x14ac:dyDescent="0.25">
      <c r="A181" s="175">
        <v>46195</v>
      </c>
      <c r="B181" s="3" t="s">
        <v>170</v>
      </c>
      <c r="C181" s="3" t="s">
        <v>235</v>
      </c>
      <c r="D181" s="170">
        <v>552.07000000000005</v>
      </c>
      <c r="E181" s="173">
        <v>0.995</v>
      </c>
      <c r="F181" s="174">
        <f t="shared" si="98"/>
        <v>549.30965000000003</v>
      </c>
      <c r="G181" s="6"/>
      <c r="H181" s="176"/>
      <c r="I181" s="158" t="str">
        <f t="shared" si="72"/>
        <v>0</v>
      </c>
      <c r="J181" s="3" t="str">
        <f t="shared" si="73"/>
        <v>0</v>
      </c>
      <c r="K181" s="3" t="str">
        <f t="shared" si="74"/>
        <v>0</v>
      </c>
      <c r="L181" s="3" t="str">
        <f t="shared" si="75"/>
        <v>0</v>
      </c>
      <c r="M181" s="3">
        <f t="shared" si="76"/>
        <v>0</v>
      </c>
      <c r="N181" s="3">
        <f t="shared" si="77"/>
        <v>0</v>
      </c>
      <c r="O181" s="3">
        <f t="shared" si="78"/>
        <v>552.07000000000005</v>
      </c>
      <c r="P181" s="3" t="str">
        <f t="shared" si="79"/>
        <v>0</v>
      </c>
      <c r="Q181" s="3">
        <f t="shared" si="80"/>
        <v>549.30965000000003</v>
      </c>
      <c r="R181" s="3" t="str">
        <f t="shared" si="81"/>
        <v>0</v>
      </c>
      <c r="S181" s="3">
        <f t="shared" si="82"/>
        <v>0</v>
      </c>
      <c r="T181" s="3" t="str">
        <f t="shared" si="83"/>
        <v>0</v>
      </c>
      <c r="U181" s="3"/>
      <c r="V181" s="3"/>
      <c r="W181" s="3"/>
      <c r="X181" s="3"/>
      <c r="Y181" s="3"/>
      <c r="Z181" s="3"/>
    </row>
    <row r="182" spans="1:26" x14ac:dyDescent="0.25">
      <c r="A182" s="175">
        <v>46195</v>
      </c>
      <c r="B182" s="3" t="s">
        <v>170</v>
      </c>
      <c r="C182" s="169" t="s">
        <v>239</v>
      </c>
      <c r="D182" s="170">
        <v>981.6</v>
      </c>
      <c r="E182" s="173">
        <v>0.88</v>
      </c>
      <c r="F182" s="174">
        <f t="shared" si="98"/>
        <v>863.80799999999999</v>
      </c>
      <c r="G182" s="172">
        <f>H182/D182</f>
        <v>2.6282599837000817</v>
      </c>
      <c r="H182" s="176">
        <v>2579.9</v>
      </c>
      <c r="I182" s="158" t="str">
        <f t="shared" si="72"/>
        <v>0</v>
      </c>
      <c r="J182" s="3" t="str">
        <f t="shared" si="73"/>
        <v>0</v>
      </c>
      <c r="K182" s="3" t="str">
        <f t="shared" si="74"/>
        <v>0</v>
      </c>
      <c r="L182" s="3" t="str">
        <f t="shared" si="75"/>
        <v>0</v>
      </c>
      <c r="M182" s="3">
        <f t="shared" si="76"/>
        <v>0</v>
      </c>
      <c r="N182" s="3">
        <f t="shared" si="77"/>
        <v>0</v>
      </c>
      <c r="O182" s="3">
        <f t="shared" si="78"/>
        <v>981.6</v>
      </c>
      <c r="P182" s="3" t="str">
        <f t="shared" si="79"/>
        <v>0</v>
      </c>
      <c r="Q182" s="3">
        <f t="shared" si="80"/>
        <v>863.80799999999999</v>
      </c>
      <c r="R182" s="3" t="str">
        <f t="shared" si="81"/>
        <v>0</v>
      </c>
      <c r="S182" s="3">
        <f t="shared" si="82"/>
        <v>2708.895</v>
      </c>
      <c r="T182" s="3" t="str">
        <f t="shared" si="83"/>
        <v>0</v>
      </c>
      <c r="U182" s="3"/>
      <c r="V182" s="3"/>
      <c r="W182" s="3"/>
      <c r="X182" s="3"/>
      <c r="Y182" s="3"/>
      <c r="Z182" s="3"/>
    </row>
    <row r="183" spans="1:26" x14ac:dyDescent="0.25">
      <c r="A183" s="175">
        <v>46195</v>
      </c>
      <c r="B183" s="3" t="s">
        <v>209</v>
      </c>
      <c r="C183" s="169" t="s">
        <v>239</v>
      </c>
      <c r="D183" s="170">
        <v>726.8</v>
      </c>
      <c r="E183" s="173">
        <v>0.995</v>
      </c>
      <c r="F183" s="174">
        <f>+D183*E183</f>
        <v>723.16599999999994</v>
      </c>
      <c r="G183" s="6">
        <f t="shared" si="71"/>
        <v>0</v>
      </c>
      <c r="H183" s="7"/>
      <c r="I183" s="158" t="str">
        <f t="shared" si="72"/>
        <v>0</v>
      </c>
      <c r="J183" s="3" t="str">
        <f t="shared" si="73"/>
        <v>0</v>
      </c>
      <c r="K183" s="3" t="str">
        <f t="shared" si="74"/>
        <v>0</v>
      </c>
      <c r="L183" s="3" t="str">
        <f t="shared" si="75"/>
        <v>0</v>
      </c>
      <c r="M183" s="3">
        <f t="shared" si="76"/>
        <v>0</v>
      </c>
      <c r="N183" s="3">
        <f t="shared" si="77"/>
        <v>0</v>
      </c>
      <c r="O183" s="3" t="str">
        <f t="shared" si="78"/>
        <v>0</v>
      </c>
      <c r="P183" s="3">
        <f t="shared" si="79"/>
        <v>726.8</v>
      </c>
      <c r="Q183" s="3" t="str">
        <f t="shared" si="80"/>
        <v>0</v>
      </c>
      <c r="R183" s="3">
        <f t="shared" si="81"/>
        <v>723.16599999999994</v>
      </c>
      <c r="S183" s="3">
        <f t="shared" si="82"/>
        <v>0</v>
      </c>
      <c r="T183" s="3">
        <f t="shared" si="83"/>
        <v>0</v>
      </c>
      <c r="U183" s="3"/>
      <c r="V183" s="3"/>
      <c r="W183" s="3"/>
      <c r="X183" s="3"/>
      <c r="Y183" s="3"/>
      <c r="Z183" s="3"/>
    </row>
    <row r="184" spans="1:26" x14ac:dyDescent="0.25">
      <c r="A184" s="175">
        <v>46195</v>
      </c>
      <c r="B184" s="3" t="s">
        <v>210</v>
      </c>
      <c r="C184" s="169" t="s">
        <v>236</v>
      </c>
      <c r="D184" s="4"/>
      <c r="E184" s="5"/>
      <c r="F184" s="6">
        <f t="shared" si="70"/>
        <v>0</v>
      </c>
      <c r="G184" s="6" t="e">
        <f t="shared" si="71"/>
        <v>#DIV/0!</v>
      </c>
      <c r="H184" s="7"/>
      <c r="I184" s="3" t="str">
        <f t="shared" si="72"/>
        <v>0</v>
      </c>
      <c r="J184" s="3" t="str">
        <f t="shared" si="73"/>
        <v>0</v>
      </c>
      <c r="K184" s="3" t="str">
        <f t="shared" si="74"/>
        <v>0</v>
      </c>
      <c r="L184" s="3" t="str">
        <f t="shared" si="75"/>
        <v>0</v>
      </c>
      <c r="M184" s="3">
        <f t="shared" si="76"/>
        <v>0</v>
      </c>
      <c r="N184" s="3">
        <f t="shared" si="77"/>
        <v>0</v>
      </c>
      <c r="O184" s="3" t="str">
        <f t="shared" si="78"/>
        <v>0</v>
      </c>
      <c r="P184" s="3" t="str">
        <f t="shared" si="79"/>
        <v>0</v>
      </c>
      <c r="Q184" s="3" t="str">
        <f t="shared" si="80"/>
        <v>0</v>
      </c>
      <c r="R184" s="3" t="str">
        <f t="shared" si="81"/>
        <v>0</v>
      </c>
      <c r="S184" s="3">
        <f t="shared" si="82"/>
        <v>0</v>
      </c>
      <c r="T184" s="3" t="str">
        <f t="shared" si="83"/>
        <v>0</v>
      </c>
      <c r="U184" s="3">
        <v>8951</v>
      </c>
      <c r="V184" s="3"/>
      <c r="W184" s="3"/>
      <c r="X184" s="3"/>
      <c r="Y184" s="3"/>
      <c r="Z184" s="3"/>
    </row>
    <row r="185" spans="1:26" x14ac:dyDescent="0.25">
      <c r="A185" s="175">
        <v>46195</v>
      </c>
      <c r="B185" s="3" t="s">
        <v>170</v>
      </c>
      <c r="C185" s="169" t="s">
        <v>232</v>
      </c>
      <c r="D185" s="170">
        <v>394.9</v>
      </c>
      <c r="E185" s="173">
        <v>0.995</v>
      </c>
      <c r="F185" s="174">
        <f t="shared" ref="F185:F186" si="99">D185*E185</f>
        <v>392.9255</v>
      </c>
      <c r="G185" s="6">
        <f t="shared" si="71"/>
        <v>0</v>
      </c>
      <c r="H185" s="7"/>
      <c r="I185" s="158" t="str">
        <f t="shared" si="72"/>
        <v>0</v>
      </c>
      <c r="J185" s="3" t="str">
        <f t="shared" si="73"/>
        <v>0</v>
      </c>
      <c r="K185" s="3" t="str">
        <f t="shared" si="74"/>
        <v>0</v>
      </c>
      <c r="L185" s="3" t="str">
        <f t="shared" si="75"/>
        <v>0</v>
      </c>
      <c r="M185" s="3">
        <f t="shared" si="76"/>
        <v>0</v>
      </c>
      <c r="N185" s="3">
        <f t="shared" si="77"/>
        <v>0</v>
      </c>
      <c r="O185" s="3">
        <f t="shared" si="78"/>
        <v>394.9</v>
      </c>
      <c r="P185" s="3" t="str">
        <f t="shared" si="79"/>
        <v>0</v>
      </c>
      <c r="Q185" s="3">
        <f t="shared" si="80"/>
        <v>392.9255</v>
      </c>
      <c r="R185" s="3" t="str">
        <f t="shared" si="81"/>
        <v>0</v>
      </c>
      <c r="S185" s="3">
        <f t="shared" si="82"/>
        <v>0</v>
      </c>
      <c r="T185" s="3" t="str">
        <f t="shared" si="83"/>
        <v>0</v>
      </c>
      <c r="U185" s="3"/>
      <c r="V185" s="3"/>
      <c r="W185" s="3"/>
      <c r="X185" s="3"/>
      <c r="Y185" s="3"/>
      <c r="Z185" s="3"/>
    </row>
    <row r="186" spans="1:26" x14ac:dyDescent="0.25">
      <c r="A186" s="175">
        <v>46195</v>
      </c>
      <c r="B186" s="3" t="s">
        <v>170</v>
      </c>
      <c r="C186" s="3" t="s">
        <v>230</v>
      </c>
      <c r="D186" s="170">
        <v>600</v>
      </c>
      <c r="E186" s="173">
        <v>0.88</v>
      </c>
      <c r="F186" s="174">
        <f t="shared" si="99"/>
        <v>528</v>
      </c>
      <c r="G186" s="6">
        <f>+H186/D186</f>
        <v>5</v>
      </c>
      <c r="H186" s="176">
        <v>3000</v>
      </c>
      <c r="I186" s="158" t="str">
        <f t="shared" si="72"/>
        <v>0</v>
      </c>
      <c r="J186" s="3" t="str">
        <f t="shared" si="73"/>
        <v>0</v>
      </c>
      <c r="K186" s="3" t="str">
        <f t="shared" si="74"/>
        <v>0</v>
      </c>
      <c r="L186" s="3" t="str">
        <f t="shared" si="75"/>
        <v>0</v>
      </c>
      <c r="M186" s="3">
        <f t="shared" si="76"/>
        <v>0</v>
      </c>
      <c r="N186" s="3">
        <f t="shared" si="77"/>
        <v>0</v>
      </c>
      <c r="O186" s="3">
        <f t="shared" si="78"/>
        <v>600</v>
      </c>
      <c r="P186" s="3" t="str">
        <f t="shared" si="79"/>
        <v>0</v>
      </c>
      <c r="Q186" s="3">
        <f t="shared" si="80"/>
        <v>528</v>
      </c>
      <c r="R186" s="3" t="str">
        <f t="shared" si="81"/>
        <v>0</v>
      </c>
      <c r="S186" s="3">
        <f t="shared" si="82"/>
        <v>3150</v>
      </c>
      <c r="T186" s="3" t="str">
        <f t="shared" si="83"/>
        <v>0</v>
      </c>
      <c r="U186" s="3"/>
      <c r="V186" s="3"/>
      <c r="W186" s="3"/>
      <c r="X186" s="3"/>
      <c r="Y186" s="3"/>
      <c r="Z186" s="3"/>
    </row>
    <row r="187" spans="1:26" x14ac:dyDescent="0.25">
      <c r="A187" s="175">
        <v>46196</v>
      </c>
      <c r="B187" s="3" t="s">
        <v>169</v>
      </c>
      <c r="C187" s="169" t="s">
        <v>236</v>
      </c>
      <c r="D187" s="170">
        <v>368.92</v>
      </c>
      <c r="E187" s="171">
        <v>0.92</v>
      </c>
      <c r="F187" s="172">
        <f>+D187*E187</f>
        <v>339.40640000000002</v>
      </c>
      <c r="G187" s="172">
        <f>+H187/D187</f>
        <v>4</v>
      </c>
      <c r="H187" s="176">
        <v>1475.68</v>
      </c>
      <c r="I187" s="158">
        <f t="shared" si="72"/>
        <v>368.92</v>
      </c>
      <c r="J187" s="3" t="str">
        <f t="shared" si="73"/>
        <v>0</v>
      </c>
      <c r="K187" s="3">
        <f t="shared" si="74"/>
        <v>339.40640000000002</v>
      </c>
      <c r="L187" s="3" t="str">
        <f t="shared" si="75"/>
        <v>0</v>
      </c>
      <c r="M187" s="3">
        <f t="shared" si="76"/>
        <v>1549.4640000000002</v>
      </c>
      <c r="N187" s="3">
        <f t="shared" si="77"/>
        <v>0</v>
      </c>
      <c r="O187" s="3" t="str">
        <f t="shared" si="78"/>
        <v>0</v>
      </c>
      <c r="P187" s="3" t="str">
        <f t="shared" si="79"/>
        <v>0</v>
      </c>
      <c r="Q187" s="3" t="str">
        <f t="shared" si="80"/>
        <v>0</v>
      </c>
      <c r="R187" s="3" t="str">
        <f t="shared" si="81"/>
        <v>0</v>
      </c>
      <c r="S187" s="3">
        <f t="shared" si="82"/>
        <v>0</v>
      </c>
      <c r="T187" s="3" t="str">
        <f t="shared" si="83"/>
        <v>0</v>
      </c>
      <c r="U187" s="3"/>
      <c r="V187" s="3"/>
      <c r="W187" s="3"/>
      <c r="X187" s="3"/>
      <c r="Y187" s="3"/>
      <c r="Z187" s="3"/>
    </row>
    <row r="188" spans="1:26" x14ac:dyDescent="0.25">
      <c r="A188" s="175">
        <v>46196</v>
      </c>
      <c r="B188" s="3" t="s">
        <v>169</v>
      </c>
      <c r="C188" s="169" t="s">
        <v>245</v>
      </c>
      <c r="D188" s="170">
        <v>1199.5999999999999</v>
      </c>
      <c r="E188" s="171">
        <v>0.88</v>
      </c>
      <c r="F188" s="172">
        <f t="shared" ref="F188:F191" si="100">+D188*E188</f>
        <v>1055.6479999999999</v>
      </c>
      <c r="G188" s="172">
        <f t="shared" ref="G188:G191" si="101">+H188/D188</f>
        <v>9</v>
      </c>
      <c r="H188" s="176">
        <v>10796.4</v>
      </c>
      <c r="I188" s="158">
        <f t="shared" si="72"/>
        <v>1199.5999999999999</v>
      </c>
      <c r="J188" s="3" t="str">
        <f t="shared" si="73"/>
        <v>0</v>
      </c>
      <c r="K188" s="3">
        <f t="shared" si="74"/>
        <v>1055.6479999999999</v>
      </c>
      <c r="L188" s="3" t="str">
        <f t="shared" si="75"/>
        <v>0</v>
      </c>
      <c r="M188" s="3">
        <f t="shared" si="76"/>
        <v>11336.22</v>
      </c>
      <c r="N188" s="3">
        <f t="shared" si="77"/>
        <v>0</v>
      </c>
      <c r="O188" s="3" t="str">
        <f t="shared" si="78"/>
        <v>0</v>
      </c>
      <c r="P188" s="3" t="str">
        <f t="shared" si="79"/>
        <v>0</v>
      </c>
      <c r="Q188" s="3" t="str">
        <f t="shared" si="80"/>
        <v>0</v>
      </c>
      <c r="R188" s="3" t="str">
        <f t="shared" si="81"/>
        <v>0</v>
      </c>
      <c r="S188" s="3">
        <f t="shared" si="82"/>
        <v>0</v>
      </c>
      <c r="T188" s="3" t="str">
        <f t="shared" si="83"/>
        <v>0</v>
      </c>
      <c r="U188" s="3"/>
      <c r="V188" s="3"/>
      <c r="W188" s="3"/>
      <c r="X188" s="3"/>
      <c r="Y188" s="3"/>
      <c r="Z188" s="3"/>
    </row>
    <row r="189" spans="1:26" x14ac:dyDescent="0.25">
      <c r="A189" s="175">
        <v>46196</v>
      </c>
      <c r="B189" s="3" t="s">
        <v>169</v>
      </c>
      <c r="C189" s="3" t="s">
        <v>235</v>
      </c>
      <c r="D189" s="170">
        <v>653</v>
      </c>
      <c r="E189" s="171">
        <v>0.88</v>
      </c>
      <c r="F189" s="172">
        <f t="shared" si="100"/>
        <v>574.64</v>
      </c>
      <c r="G189" s="172">
        <f t="shared" si="101"/>
        <v>9.4135987748851448</v>
      </c>
      <c r="H189" s="176">
        <v>6147.08</v>
      </c>
      <c r="I189" s="158">
        <f t="shared" si="72"/>
        <v>653</v>
      </c>
      <c r="J189" s="3" t="str">
        <f t="shared" si="73"/>
        <v>0</v>
      </c>
      <c r="K189" s="3">
        <f t="shared" si="74"/>
        <v>574.64</v>
      </c>
      <c r="L189" s="3" t="str">
        <f t="shared" si="75"/>
        <v>0</v>
      </c>
      <c r="M189" s="3">
        <f t="shared" si="76"/>
        <v>6454.4340000000002</v>
      </c>
      <c r="N189" s="3">
        <f t="shared" si="77"/>
        <v>0</v>
      </c>
      <c r="O189" s="3" t="str">
        <f t="shared" si="78"/>
        <v>0</v>
      </c>
      <c r="P189" s="3" t="str">
        <f t="shared" si="79"/>
        <v>0</v>
      </c>
      <c r="Q189" s="3" t="str">
        <f t="shared" si="80"/>
        <v>0</v>
      </c>
      <c r="R189" s="3" t="str">
        <f t="shared" si="81"/>
        <v>0</v>
      </c>
      <c r="S189" s="3">
        <f t="shared" si="82"/>
        <v>0</v>
      </c>
      <c r="T189" s="3" t="str">
        <f t="shared" si="83"/>
        <v>0</v>
      </c>
      <c r="U189" s="3"/>
      <c r="V189" s="3"/>
      <c r="W189" s="3"/>
      <c r="X189" s="3"/>
      <c r="Y189" s="3"/>
      <c r="Z189" s="3"/>
    </row>
    <row r="190" spans="1:26" x14ac:dyDescent="0.25">
      <c r="A190" s="175">
        <v>46196</v>
      </c>
      <c r="B190" s="3" t="s">
        <v>169</v>
      </c>
      <c r="C190" s="169" t="s">
        <v>228</v>
      </c>
      <c r="D190" s="170">
        <v>252.2</v>
      </c>
      <c r="E190" s="171">
        <v>0.88</v>
      </c>
      <c r="F190" s="172">
        <f t="shared" si="100"/>
        <v>221.93599999999998</v>
      </c>
      <c r="G190" s="172">
        <f t="shared" si="101"/>
        <v>13</v>
      </c>
      <c r="H190" s="176">
        <v>3278.6</v>
      </c>
      <c r="I190" s="158">
        <f t="shared" si="72"/>
        <v>252.2</v>
      </c>
      <c r="J190" s="3" t="str">
        <f t="shared" si="73"/>
        <v>0</v>
      </c>
      <c r="K190" s="3">
        <f t="shared" si="74"/>
        <v>221.93599999999998</v>
      </c>
      <c r="L190" s="3" t="str">
        <f t="shared" si="75"/>
        <v>0</v>
      </c>
      <c r="M190" s="3">
        <f t="shared" si="76"/>
        <v>3442.5299999999997</v>
      </c>
      <c r="N190" s="3">
        <f t="shared" si="77"/>
        <v>0</v>
      </c>
      <c r="O190" s="3" t="str">
        <f t="shared" si="78"/>
        <v>0</v>
      </c>
      <c r="P190" s="3" t="str">
        <f t="shared" si="79"/>
        <v>0</v>
      </c>
      <c r="Q190" s="3" t="str">
        <f t="shared" si="80"/>
        <v>0</v>
      </c>
      <c r="R190" s="3" t="str">
        <f t="shared" si="81"/>
        <v>0</v>
      </c>
      <c r="S190" s="3">
        <f t="shared" si="82"/>
        <v>0</v>
      </c>
      <c r="T190" s="3" t="str">
        <f t="shared" si="83"/>
        <v>0</v>
      </c>
      <c r="U190" s="3"/>
      <c r="V190" s="3"/>
      <c r="W190" s="3"/>
      <c r="X190" s="3"/>
      <c r="Y190" s="3"/>
      <c r="Z190" s="3"/>
    </row>
    <row r="191" spans="1:26" x14ac:dyDescent="0.25">
      <c r="A191" s="175">
        <v>46196</v>
      </c>
      <c r="B191" s="3" t="s">
        <v>169</v>
      </c>
      <c r="C191" s="169" t="s">
        <v>228</v>
      </c>
      <c r="D191" s="170">
        <v>970.6</v>
      </c>
      <c r="E191" s="171">
        <v>0.88</v>
      </c>
      <c r="F191" s="172">
        <f t="shared" si="100"/>
        <v>854.12800000000004</v>
      </c>
      <c r="G191" s="172">
        <f t="shared" si="101"/>
        <v>11.943230991139501</v>
      </c>
      <c r="H191" s="176">
        <v>11592.1</v>
      </c>
      <c r="I191" s="158">
        <f t="shared" si="72"/>
        <v>970.6</v>
      </c>
      <c r="J191" s="3" t="str">
        <f t="shared" si="73"/>
        <v>0</v>
      </c>
      <c r="K191" s="3">
        <f t="shared" si="74"/>
        <v>854.12800000000004</v>
      </c>
      <c r="L191" s="3" t="str">
        <f t="shared" si="75"/>
        <v>0</v>
      </c>
      <c r="M191" s="3">
        <f t="shared" si="76"/>
        <v>12171.705</v>
      </c>
      <c r="N191" s="3">
        <f t="shared" si="77"/>
        <v>0</v>
      </c>
      <c r="O191" s="3" t="str">
        <f t="shared" si="78"/>
        <v>0</v>
      </c>
      <c r="P191" s="3" t="str">
        <f t="shared" si="79"/>
        <v>0</v>
      </c>
      <c r="Q191" s="3" t="str">
        <f t="shared" si="80"/>
        <v>0</v>
      </c>
      <c r="R191" s="3" t="str">
        <f t="shared" si="81"/>
        <v>0</v>
      </c>
      <c r="S191" s="3">
        <f t="shared" si="82"/>
        <v>0</v>
      </c>
      <c r="T191" s="3" t="str">
        <f t="shared" si="83"/>
        <v>0</v>
      </c>
      <c r="U191" s="3"/>
      <c r="V191" s="3"/>
      <c r="W191" s="3"/>
      <c r="X191" s="3"/>
      <c r="Y191" s="3"/>
      <c r="Z191" s="3"/>
    </row>
    <row r="192" spans="1:26" x14ac:dyDescent="0.25">
      <c r="A192" s="175">
        <v>46196</v>
      </c>
      <c r="B192" s="3" t="s">
        <v>170</v>
      </c>
      <c r="C192" s="169" t="s">
        <v>236</v>
      </c>
      <c r="D192" s="170">
        <v>339.4</v>
      </c>
      <c r="E192" s="173">
        <v>1</v>
      </c>
      <c r="F192" s="174">
        <f t="shared" ref="F192:F194" si="102">D192*E192</f>
        <v>339.4</v>
      </c>
      <c r="G192" s="6">
        <f t="shared" si="71"/>
        <v>0</v>
      </c>
      <c r="H192" s="7"/>
      <c r="I192" s="158" t="str">
        <f t="shared" si="72"/>
        <v>0</v>
      </c>
      <c r="J192" s="3" t="str">
        <f t="shared" si="73"/>
        <v>0</v>
      </c>
      <c r="K192" s="3" t="str">
        <f t="shared" si="74"/>
        <v>0</v>
      </c>
      <c r="L192" s="3" t="str">
        <f t="shared" si="75"/>
        <v>0</v>
      </c>
      <c r="M192" s="3">
        <f t="shared" si="76"/>
        <v>0</v>
      </c>
      <c r="N192" s="3">
        <f t="shared" si="77"/>
        <v>0</v>
      </c>
      <c r="O192" s="3">
        <f t="shared" si="78"/>
        <v>339.4</v>
      </c>
      <c r="P192" s="3" t="str">
        <f t="shared" si="79"/>
        <v>0</v>
      </c>
      <c r="Q192" s="3">
        <f t="shared" si="80"/>
        <v>339.4</v>
      </c>
      <c r="R192" s="3" t="str">
        <f t="shared" si="81"/>
        <v>0</v>
      </c>
      <c r="S192" s="3">
        <f t="shared" si="82"/>
        <v>0</v>
      </c>
      <c r="T192" s="3" t="str">
        <f t="shared" si="83"/>
        <v>0</v>
      </c>
      <c r="U192" s="3"/>
      <c r="V192" s="3"/>
      <c r="W192" s="3"/>
      <c r="X192" s="3"/>
      <c r="Y192" s="3"/>
      <c r="Z192" s="3"/>
    </row>
    <row r="193" spans="1:26" x14ac:dyDescent="0.25">
      <c r="A193" s="175">
        <v>46196</v>
      </c>
      <c r="B193" s="3" t="s">
        <v>170</v>
      </c>
      <c r="C193" s="169" t="s">
        <v>228</v>
      </c>
      <c r="D193" s="170">
        <v>2000</v>
      </c>
      <c r="E193" s="173">
        <v>0.995</v>
      </c>
      <c r="F193" s="174">
        <f t="shared" si="102"/>
        <v>1990</v>
      </c>
      <c r="G193" s="6">
        <f t="shared" si="71"/>
        <v>0</v>
      </c>
      <c r="H193" s="7"/>
      <c r="I193" s="158" t="str">
        <f t="shared" si="72"/>
        <v>0</v>
      </c>
      <c r="J193" s="3" t="str">
        <f t="shared" si="73"/>
        <v>0</v>
      </c>
      <c r="K193" s="3" t="str">
        <f t="shared" si="74"/>
        <v>0</v>
      </c>
      <c r="L193" s="3" t="str">
        <f t="shared" si="75"/>
        <v>0</v>
      </c>
      <c r="M193" s="3">
        <f t="shared" si="76"/>
        <v>0</v>
      </c>
      <c r="N193" s="3">
        <f t="shared" si="77"/>
        <v>0</v>
      </c>
      <c r="O193" s="3">
        <f t="shared" si="78"/>
        <v>2000</v>
      </c>
      <c r="P193" s="3" t="str">
        <f t="shared" si="79"/>
        <v>0</v>
      </c>
      <c r="Q193" s="3">
        <f t="shared" si="80"/>
        <v>1990</v>
      </c>
      <c r="R193" s="3" t="str">
        <f t="shared" si="81"/>
        <v>0</v>
      </c>
      <c r="S193" s="3">
        <f t="shared" si="82"/>
        <v>0</v>
      </c>
      <c r="T193" s="3" t="str">
        <f t="shared" si="83"/>
        <v>0</v>
      </c>
      <c r="U193" s="3"/>
      <c r="V193" s="3"/>
      <c r="W193" s="3"/>
      <c r="X193" s="3"/>
      <c r="Y193" s="3"/>
      <c r="Z193" s="3"/>
    </row>
    <row r="194" spans="1:26" x14ac:dyDescent="0.25">
      <c r="A194" s="175">
        <v>46196</v>
      </c>
      <c r="B194" s="3" t="s">
        <v>170</v>
      </c>
      <c r="C194" s="169" t="s">
        <v>245</v>
      </c>
      <c r="D194" s="170">
        <v>1005.025</v>
      </c>
      <c r="E194" s="173">
        <v>0.995</v>
      </c>
      <c r="F194" s="174">
        <f t="shared" si="102"/>
        <v>999.99987499999997</v>
      </c>
      <c r="G194" s="6">
        <f t="shared" ref="G194:G243" si="103">+H194/D194</f>
        <v>0</v>
      </c>
      <c r="H194" s="7"/>
      <c r="I194" s="158" t="str">
        <f t="shared" ref="I194:I257" si="104">IF(B194="SALES",D194,"0")</f>
        <v>0</v>
      </c>
      <c r="J194" s="3" t="str">
        <f t="shared" ref="J194:J257" si="105">IF(B194="SALES RETURN",D194,"0")</f>
        <v>0</v>
      </c>
      <c r="K194" s="3" t="str">
        <f t="shared" ref="K194:K257" si="106">IF(B194="SALES",F194,"0")</f>
        <v>0</v>
      </c>
      <c r="L194" s="3" t="str">
        <f t="shared" ref="L194:L257" si="107">IF(B194="SALES RETURN",F194,"0")</f>
        <v>0</v>
      </c>
      <c r="M194" s="3">
        <f t="shared" ref="M194:M257" si="108">IF(B194="SALES",H194,"0")+IF(B194="SALES",H194,"0")*5%</f>
        <v>0</v>
      </c>
      <c r="N194" s="3">
        <f t="shared" ref="N194:N257" si="109">IF(B194="SALES RETURN",H194,"0")+IF(B194="SALES RETURN",H194,"0")*5%</f>
        <v>0</v>
      </c>
      <c r="O194" s="3">
        <f t="shared" ref="O194:O257" si="110">IF(B194="PURCHASE",D194,"0")</f>
        <v>1005.025</v>
      </c>
      <c r="P194" s="3" t="str">
        <f t="shared" ref="P194:P257" si="111">IF(B194="METAL PAYMENT",D194,"0")</f>
        <v>0</v>
      </c>
      <c r="Q194" s="3">
        <f t="shared" ref="Q194:Q257" si="112">IF(B194="PURCHASE",F194,"0")</f>
        <v>999.99987499999997</v>
      </c>
      <c r="R194" s="3" t="str">
        <f t="shared" ref="R194:R257" si="113">IF(B194="METAL PAYMENT",F194,"0")</f>
        <v>0</v>
      </c>
      <c r="S194" s="3">
        <f t="shared" ref="S194:S257" si="114">IF(B194="PURCHASE",H194,"0")+IF(B194="PURCHASE",H194,"0")*5%</f>
        <v>0</v>
      </c>
      <c r="T194" s="3" t="str">
        <f t="shared" ref="T194:T257" si="115">IF(B194="METAL PAYMENT",H194,"0")</f>
        <v>0</v>
      </c>
      <c r="U194" s="3"/>
      <c r="V194" s="3"/>
      <c r="W194" s="3"/>
      <c r="X194" s="3"/>
      <c r="Y194" s="3"/>
      <c r="Z194" s="3"/>
    </row>
    <row r="195" spans="1:26" x14ac:dyDescent="0.25">
      <c r="A195" s="175">
        <v>46196</v>
      </c>
      <c r="B195" s="3" t="s">
        <v>210</v>
      </c>
      <c r="C195" s="169" t="s">
        <v>236</v>
      </c>
      <c r="D195" s="4"/>
      <c r="E195" s="5"/>
      <c r="F195" s="6">
        <f t="shared" ref="F195:F243" si="116">+D195*E195</f>
        <v>0</v>
      </c>
      <c r="G195" s="6" t="e">
        <f t="shared" si="103"/>
        <v>#DIV/0!</v>
      </c>
      <c r="H195" s="7"/>
      <c r="I195" s="3" t="str">
        <f t="shared" si="104"/>
        <v>0</v>
      </c>
      <c r="J195" s="3" t="str">
        <f t="shared" si="105"/>
        <v>0</v>
      </c>
      <c r="K195" s="3" t="str">
        <f t="shared" si="106"/>
        <v>0</v>
      </c>
      <c r="L195" s="3" t="str">
        <f t="shared" si="107"/>
        <v>0</v>
      </c>
      <c r="M195" s="3">
        <f t="shared" si="108"/>
        <v>0</v>
      </c>
      <c r="N195" s="3">
        <f t="shared" si="109"/>
        <v>0</v>
      </c>
      <c r="O195" s="3" t="str">
        <f t="shared" si="110"/>
        <v>0</v>
      </c>
      <c r="P195" s="3" t="str">
        <f t="shared" si="111"/>
        <v>0</v>
      </c>
      <c r="Q195" s="3" t="str">
        <f t="shared" si="112"/>
        <v>0</v>
      </c>
      <c r="R195" s="3" t="str">
        <f t="shared" si="113"/>
        <v>0</v>
      </c>
      <c r="S195" s="3">
        <f t="shared" si="114"/>
        <v>0</v>
      </c>
      <c r="T195" s="3" t="str">
        <f t="shared" si="115"/>
        <v>0</v>
      </c>
      <c r="U195" s="3">
        <v>1550</v>
      </c>
      <c r="V195" s="3"/>
      <c r="W195" s="3"/>
      <c r="X195" s="3"/>
      <c r="Y195" s="3"/>
      <c r="Z195" s="3"/>
    </row>
    <row r="196" spans="1:26" x14ac:dyDescent="0.25">
      <c r="A196" s="175">
        <v>46197</v>
      </c>
      <c r="B196" s="3" t="s">
        <v>169</v>
      </c>
      <c r="C196" s="169" t="s">
        <v>228</v>
      </c>
      <c r="D196" s="170">
        <v>1147.5999999999999</v>
      </c>
      <c r="E196" s="171">
        <v>0.88</v>
      </c>
      <c r="F196" s="172">
        <f>+D196*E196</f>
        <v>1009.8879999999999</v>
      </c>
      <c r="G196" s="172">
        <f>+H196/D196</f>
        <v>10.68678110840014</v>
      </c>
      <c r="H196" s="176">
        <v>12264.15</v>
      </c>
      <c r="I196" s="158">
        <f t="shared" si="104"/>
        <v>1147.5999999999999</v>
      </c>
      <c r="J196" s="3" t="str">
        <f t="shared" si="105"/>
        <v>0</v>
      </c>
      <c r="K196" s="3">
        <f t="shared" si="106"/>
        <v>1009.8879999999999</v>
      </c>
      <c r="L196" s="3" t="str">
        <f t="shared" si="107"/>
        <v>0</v>
      </c>
      <c r="M196" s="3">
        <f t="shared" si="108"/>
        <v>12877.3575</v>
      </c>
      <c r="N196" s="3">
        <f t="shared" si="109"/>
        <v>0</v>
      </c>
      <c r="O196" s="3" t="str">
        <f t="shared" si="110"/>
        <v>0</v>
      </c>
      <c r="P196" s="3" t="str">
        <f t="shared" si="111"/>
        <v>0</v>
      </c>
      <c r="Q196" s="3" t="str">
        <f t="shared" si="112"/>
        <v>0</v>
      </c>
      <c r="R196" s="3" t="str">
        <f t="shared" si="113"/>
        <v>0</v>
      </c>
      <c r="S196" s="3">
        <f t="shared" si="114"/>
        <v>0</v>
      </c>
      <c r="T196" s="3" t="str">
        <f t="shared" si="115"/>
        <v>0</v>
      </c>
      <c r="U196" s="3"/>
      <c r="V196" s="3"/>
      <c r="W196" s="3"/>
      <c r="X196" s="3"/>
      <c r="Y196" s="3"/>
      <c r="Z196" s="3"/>
    </row>
    <row r="197" spans="1:26" x14ac:dyDescent="0.25">
      <c r="A197" s="175">
        <v>46197</v>
      </c>
      <c r="B197" s="3" t="s">
        <v>169</v>
      </c>
      <c r="C197" s="169" t="s">
        <v>247</v>
      </c>
      <c r="D197" s="170">
        <v>303.39999999999998</v>
      </c>
      <c r="E197" s="171">
        <v>0.88</v>
      </c>
      <c r="F197" s="172">
        <f t="shared" ref="F197:F198" si="117">+D197*E197</f>
        <v>266.99199999999996</v>
      </c>
      <c r="G197" s="172">
        <f t="shared" ref="G197:G198" si="118">+H197/D197</f>
        <v>7.0000000000000009</v>
      </c>
      <c r="H197" s="176">
        <v>2123.8000000000002</v>
      </c>
      <c r="I197" s="158">
        <f t="shared" si="104"/>
        <v>303.39999999999998</v>
      </c>
      <c r="J197" s="3" t="str">
        <f t="shared" si="105"/>
        <v>0</v>
      </c>
      <c r="K197" s="3">
        <f t="shared" si="106"/>
        <v>266.99199999999996</v>
      </c>
      <c r="L197" s="3" t="str">
        <f t="shared" si="107"/>
        <v>0</v>
      </c>
      <c r="M197" s="3">
        <f t="shared" si="108"/>
        <v>2229.9900000000002</v>
      </c>
      <c r="N197" s="3">
        <f t="shared" si="109"/>
        <v>0</v>
      </c>
      <c r="O197" s="3" t="str">
        <f t="shared" si="110"/>
        <v>0</v>
      </c>
      <c r="P197" s="3" t="str">
        <f t="shared" si="111"/>
        <v>0</v>
      </c>
      <c r="Q197" s="3" t="str">
        <f t="shared" si="112"/>
        <v>0</v>
      </c>
      <c r="R197" s="3" t="str">
        <f t="shared" si="113"/>
        <v>0</v>
      </c>
      <c r="S197" s="3">
        <f t="shared" si="114"/>
        <v>0</v>
      </c>
      <c r="T197" s="3" t="str">
        <f t="shared" si="115"/>
        <v>0</v>
      </c>
      <c r="U197" s="3"/>
      <c r="V197" s="3"/>
      <c r="W197" s="3"/>
      <c r="X197" s="3"/>
      <c r="Y197" s="3"/>
      <c r="Z197" s="3"/>
    </row>
    <row r="198" spans="1:26" x14ac:dyDescent="0.25">
      <c r="A198" s="175">
        <v>46197</v>
      </c>
      <c r="B198" s="3" t="s">
        <v>169</v>
      </c>
      <c r="C198" s="169" t="s">
        <v>232</v>
      </c>
      <c r="D198" s="170">
        <v>1067.5999999999999</v>
      </c>
      <c r="E198" s="171">
        <v>0.88</v>
      </c>
      <c r="F198" s="172">
        <f t="shared" si="117"/>
        <v>939.48799999999994</v>
      </c>
      <c r="G198" s="172">
        <f t="shared" si="118"/>
        <v>5</v>
      </c>
      <c r="H198" s="176">
        <v>5338</v>
      </c>
      <c r="I198" s="158">
        <f t="shared" si="104"/>
        <v>1067.5999999999999</v>
      </c>
      <c r="J198" s="3" t="str">
        <f t="shared" si="105"/>
        <v>0</v>
      </c>
      <c r="K198" s="3">
        <f t="shared" si="106"/>
        <v>939.48799999999994</v>
      </c>
      <c r="L198" s="3" t="str">
        <f t="shared" si="107"/>
        <v>0</v>
      </c>
      <c r="M198" s="3">
        <f t="shared" si="108"/>
        <v>5604.9</v>
      </c>
      <c r="N198" s="3">
        <f t="shared" si="109"/>
        <v>0</v>
      </c>
      <c r="O198" s="3" t="str">
        <f t="shared" si="110"/>
        <v>0</v>
      </c>
      <c r="P198" s="3" t="str">
        <f t="shared" si="111"/>
        <v>0</v>
      </c>
      <c r="Q198" s="3" t="str">
        <f t="shared" si="112"/>
        <v>0</v>
      </c>
      <c r="R198" s="3" t="str">
        <f t="shared" si="113"/>
        <v>0</v>
      </c>
      <c r="S198" s="3">
        <f t="shared" si="114"/>
        <v>0</v>
      </c>
      <c r="T198" s="3" t="str">
        <f t="shared" si="115"/>
        <v>0</v>
      </c>
      <c r="U198" s="3"/>
      <c r="V198" s="3"/>
      <c r="W198" s="3"/>
      <c r="X198" s="3"/>
      <c r="Y198" s="3"/>
      <c r="Z198" s="3"/>
    </row>
    <row r="199" spans="1:26" x14ac:dyDescent="0.25">
      <c r="A199" s="175">
        <v>46197</v>
      </c>
      <c r="B199" s="3" t="s">
        <v>170</v>
      </c>
      <c r="C199" s="169" t="s">
        <v>232</v>
      </c>
      <c r="D199" s="170">
        <v>1000</v>
      </c>
      <c r="E199" s="173">
        <v>0.995</v>
      </c>
      <c r="F199" s="174">
        <f t="shared" ref="F199:F203" si="119">D199*E199</f>
        <v>995</v>
      </c>
      <c r="G199" s="6">
        <f t="shared" si="103"/>
        <v>0</v>
      </c>
      <c r="H199" s="7"/>
      <c r="I199" s="158" t="str">
        <f t="shared" si="104"/>
        <v>0</v>
      </c>
      <c r="J199" s="3" t="str">
        <f t="shared" si="105"/>
        <v>0</v>
      </c>
      <c r="K199" s="3" t="str">
        <f t="shared" si="106"/>
        <v>0</v>
      </c>
      <c r="L199" s="3" t="str">
        <f t="shared" si="107"/>
        <v>0</v>
      </c>
      <c r="M199" s="3">
        <f t="shared" si="108"/>
        <v>0</v>
      </c>
      <c r="N199" s="3">
        <f t="shared" si="109"/>
        <v>0</v>
      </c>
      <c r="O199" s="3">
        <f t="shared" si="110"/>
        <v>1000</v>
      </c>
      <c r="P199" s="3" t="str">
        <f t="shared" si="111"/>
        <v>0</v>
      </c>
      <c r="Q199" s="3">
        <f t="shared" si="112"/>
        <v>995</v>
      </c>
      <c r="R199" s="3" t="str">
        <f t="shared" si="113"/>
        <v>0</v>
      </c>
      <c r="S199" s="3">
        <f t="shared" si="114"/>
        <v>0</v>
      </c>
      <c r="T199" s="3" t="str">
        <f t="shared" si="115"/>
        <v>0</v>
      </c>
      <c r="U199" s="3"/>
      <c r="V199" s="3"/>
      <c r="W199" s="3"/>
      <c r="X199" s="3"/>
      <c r="Y199" s="3"/>
      <c r="Z199" s="3"/>
    </row>
    <row r="200" spans="1:26" x14ac:dyDescent="0.25">
      <c r="A200" s="175">
        <v>46197</v>
      </c>
      <c r="B200" s="3" t="s">
        <v>170</v>
      </c>
      <c r="C200" s="169" t="s">
        <v>227</v>
      </c>
      <c r="D200" s="170">
        <v>151.58000000000001</v>
      </c>
      <c r="E200" s="173">
        <v>0.995</v>
      </c>
      <c r="F200" s="174">
        <f t="shared" si="119"/>
        <v>150.82210000000001</v>
      </c>
      <c r="G200" s="6">
        <f t="shared" si="103"/>
        <v>0</v>
      </c>
      <c r="H200" s="7"/>
      <c r="I200" s="158" t="str">
        <f t="shared" si="104"/>
        <v>0</v>
      </c>
      <c r="J200" s="3" t="str">
        <f t="shared" si="105"/>
        <v>0</v>
      </c>
      <c r="K200" s="3" t="str">
        <f t="shared" si="106"/>
        <v>0</v>
      </c>
      <c r="L200" s="3" t="str">
        <f t="shared" si="107"/>
        <v>0</v>
      </c>
      <c r="M200" s="3">
        <f t="shared" si="108"/>
        <v>0</v>
      </c>
      <c r="N200" s="3">
        <f t="shared" si="109"/>
        <v>0</v>
      </c>
      <c r="O200" s="3">
        <f t="shared" si="110"/>
        <v>151.58000000000001</v>
      </c>
      <c r="P200" s="3" t="str">
        <f t="shared" si="111"/>
        <v>0</v>
      </c>
      <c r="Q200" s="3">
        <f t="shared" si="112"/>
        <v>150.82210000000001</v>
      </c>
      <c r="R200" s="3" t="str">
        <f t="shared" si="113"/>
        <v>0</v>
      </c>
      <c r="S200" s="3">
        <f t="shared" si="114"/>
        <v>0</v>
      </c>
      <c r="T200" s="3" t="str">
        <f t="shared" si="115"/>
        <v>0</v>
      </c>
      <c r="U200" s="3"/>
      <c r="V200" s="3"/>
      <c r="W200" s="3"/>
      <c r="X200" s="3"/>
      <c r="Y200" s="3"/>
      <c r="Z200" s="3"/>
    </row>
    <row r="201" spans="1:26" x14ac:dyDescent="0.25">
      <c r="A201" s="175">
        <v>46197</v>
      </c>
      <c r="B201" s="3" t="s">
        <v>170</v>
      </c>
      <c r="C201" s="3" t="s">
        <v>230</v>
      </c>
      <c r="D201" s="170">
        <v>438.5</v>
      </c>
      <c r="E201" s="173">
        <v>0.995</v>
      </c>
      <c r="F201" s="174">
        <f t="shared" si="119"/>
        <v>436.3075</v>
      </c>
      <c r="G201" s="6">
        <f t="shared" si="103"/>
        <v>0</v>
      </c>
      <c r="H201" s="7"/>
      <c r="I201" s="158" t="str">
        <f t="shared" si="104"/>
        <v>0</v>
      </c>
      <c r="J201" s="3" t="str">
        <f t="shared" si="105"/>
        <v>0</v>
      </c>
      <c r="K201" s="3" t="str">
        <f t="shared" si="106"/>
        <v>0</v>
      </c>
      <c r="L201" s="3" t="str">
        <f t="shared" si="107"/>
        <v>0</v>
      </c>
      <c r="M201" s="3">
        <f t="shared" si="108"/>
        <v>0</v>
      </c>
      <c r="N201" s="3">
        <f t="shared" si="109"/>
        <v>0</v>
      </c>
      <c r="O201" s="3">
        <f t="shared" si="110"/>
        <v>438.5</v>
      </c>
      <c r="P201" s="3" t="str">
        <f t="shared" si="111"/>
        <v>0</v>
      </c>
      <c r="Q201" s="3">
        <f t="shared" si="112"/>
        <v>436.3075</v>
      </c>
      <c r="R201" s="3" t="str">
        <f t="shared" si="113"/>
        <v>0</v>
      </c>
      <c r="S201" s="3">
        <f t="shared" si="114"/>
        <v>0</v>
      </c>
      <c r="T201" s="3" t="str">
        <f t="shared" si="115"/>
        <v>0</v>
      </c>
      <c r="U201" s="3"/>
      <c r="V201" s="3"/>
      <c r="W201" s="3"/>
      <c r="X201" s="3"/>
      <c r="Y201" s="3"/>
      <c r="Z201" s="3"/>
    </row>
    <row r="202" spans="1:26" x14ac:dyDescent="0.25">
      <c r="A202" s="175">
        <v>46197</v>
      </c>
      <c r="B202" s="3" t="s">
        <v>170</v>
      </c>
      <c r="C202" s="169" t="s">
        <v>228</v>
      </c>
      <c r="D202" s="170">
        <v>3000</v>
      </c>
      <c r="E202" s="173">
        <v>0.995</v>
      </c>
      <c r="F202" s="174">
        <f t="shared" si="119"/>
        <v>2985</v>
      </c>
      <c r="G202" s="6">
        <f t="shared" si="103"/>
        <v>0</v>
      </c>
      <c r="H202" s="7"/>
      <c r="I202" s="158" t="str">
        <f t="shared" si="104"/>
        <v>0</v>
      </c>
      <c r="J202" s="3" t="str">
        <f t="shared" si="105"/>
        <v>0</v>
      </c>
      <c r="K202" s="3" t="str">
        <f t="shared" si="106"/>
        <v>0</v>
      </c>
      <c r="L202" s="3" t="str">
        <f t="shared" si="107"/>
        <v>0</v>
      </c>
      <c r="M202" s="3">
        <f t="shared" si="108"/>
        <v>0</v>
      </c>
      <c r="N202" s="3">
        <f t="shared" si="109"/>
        <v>0</v>
      </c>
      <c r="O202" s="3">
        <f t="shared" si="110"/>
        <v>3000</v>
      </c>
      <c r="P202" s="3" t="str">
        <f t="shared" si="111"/>
        <v>0</v>
      </c>
      <c r="Q202" s="3">
        <f t="shared" si="112"/>
        <v>2985</v>
      </c>
      <c r="R202" s="3" t="str">
        <f t="shared" si="113"/>
        <v>0</v>
      </c>
      <c r="S202" s="3">
        <f t="shared" si="114"/>
        <v>0</v>
      </c>
      <c r="T202" s="3" t="str">
        <f t="shared" si="115"/>
        <v>0</v>
      </c>
      <c r="U202" s="3"/>
      <c r="V202" s="3"/>
      <c r="W202" s="3"/>
      <c r="X202" s="3"/>
      <c r="Y202" s="3"/>
      <c r="Z202" s="3"/>
    </row>
    <row r="203" spans="1:26" x14ac:dyDescent="0.25">
      <c r="A203" s="175">
        <v>46197</v>
      </c>
      <c r="B203" s="3" t="s">
        <v>170</v>
      </c>
      <c r="C203" s="169" t="s">
        <v>228</v>
      </c>
      <c r="D203" s="170">
        <v>354</v>
      </c>
      <c r="E203" s="173">
        <v>0.995</v>
      </c>
      <c r="F203" s="174">
        <f t="shared" si="119"/>
        <v>352.23</v>
      </c>
      <c r="G203" s="6">
        <f t="shared" si="103"/>
        <v>0</v>
      </c>
      <c r="H203" s="7"/>
      <c r="I203" s="158" t="str">
        <f t="shared" si="104"/>
        <v>0</v>
      </c>
      <c r="J203" s="3" t="str">
        <f t="shared" si="105"/>
        <v>0</v>
      </c>
      <c r="K203" s="3" t="str">
        <f t="shared" si="106"/>
        <v>0</v>
      </c>
      <c r="L203" s="3" t="str">
        <f t="shared" si="107"/>
        <v>0</v>
      </c>
      <c r="M203" s="3">
        <f t="shared" si="108"/>
        <v>0</v>
      </c>
      <c r="N203" s="3">
        <f t="shared" si="109"/>
        <v>0</v>
      </c>
      <c r="O203" s="3">
        <f t="shared" si="110"/>
        <v>354</v>
      </c>
      <c r="P203" s="3" t="str">
        <f t="shared" si="111"/>
        <v>0</v>
      </c>
      <c r="Q203" s="3">
        <f t="shared" si="112"/>
        <v>352.23</v>
      </c>
      <c r="R203" s="3" t="str">
        <f t="shared" si="113"/>
        <v>0</v>
      </c>
      <c r="S203" s="3">
        <f t="shared" si="114"/>
        <v>0</v>
      </c>
      <c r="T203" s="3" t="str">
        <f t="shared" si="115"/>
        <v>0</v>
      </c>
      <c r="U203" s="3"/>
      <c r="V203" s="3"/>
      <c r="W203" s="3"/>
      <c r="X203" s="3"/>
      <c r="Y203" s="3"/>
      <c r="Z203" s="3"/>
    </row>
    <row r="204" spans="1:26" x14ac:dyDescent="0.25">
      <c r="A204" s="175">
        <v>46197</v>
      </c>
      <c r="B204" s="3" t="s">
        <v>210</v>
      </c>
      <c r="C204" s="169" t="s">
        <v>227</v>
      </c>
      <c r="D204" s="4"/>
      <c r="E204" s="5"/>
      <c r="F204" s="6">
        <f t="shared" si="116"/>
        <v>0</v>
      </c>
      <c r="G204" s="6" t="e">
        <f t="shared" si="103"/>
        <v>#DIV/0!</v>
      </c>
      <c r="H204" s="7"/>
      <c r="I204" s="3" t="str">
        <f t="shared" si="104"/>
        <v>0</v>
      </c>
      <c r="J204" s="3" t="str">
        <f t="shared" si="105"/>
        <v>0</v>
      </c>
      <c r="K204" s="3" t="str">
        <f t="shared" si="106"/>
        <v>0</v>
      </c>
      <c r="L204" s="3" t="str">
        <f t="shared" si="107"/>
        <v>0</v>
      </c>
      <c r="M204" s="3">
        <f t="shared" si="108"/>
        <v>0</v>
      </c>
      <c r="N204" s="3">
        <f t="shared" si="109"/>
        <v>0</v>
      </c>
      <c r="O204" s="3" t="str">
        <f t="shared" si="110"/>
        <v>0</v>
      </c>
      <c r="P204" s="3" t="str">
        <f t="shared" si="111"/>
        <v>0</v>
      </c>
      <c r="Q204" s="3" t="str">
        <f t="shared" si="112"/>
        <v>0</v>
      </c>
      <c r="R204" s="3" t="str">
        <f t="shared" si="113"/>
        <v>0</v>
      </c>
      <c r="S204" s="3">
        <f t="shared" si="114"/>
        <v>0</v>
      </c>
      <c r="T204" s="3" t="str">
        <f t="shared" si="115"/>
        <v>0</v>
      </c>
      <c r="U204" s="3">
        <v>20000</v>
      </c>
      <c r="V204" s="3"/>
      <c r="W204" s="3"/>
      <c r="X204" s="3"/>
      <c r="Y204" s="3"/>
      <c r="Z204" s="3"/>
    </row>
    <row r="205" spans="1:26" x14ac:dyDescent="0.25">
      <c r="A205" s="175">
        <v>46197</v>
      </c>
      <c r="B205" s="3" t="s">
        <v>210</v>
      </c>
      <c r="C205" s="169" t="s">
        <v>229</v>
      </c>
      <c r="D205" s="4"/>
      <c r="E205" s="5"/>
      <c r="F205" s="6">
        <f t="shared" si="116"/>
        <v>0</v>
      </c>
      <c r="G205" s="6" t="e">
        <f t="shared" si="103"/>
        <v>#DIV/0!</v>
      </c>
      <c r="H205" s="7"/>
      <c r="I205" s="3" t="str">
        <f t="shared" si="104"/>
        <v>0</v>
      </c>
      <c r="J205" s="3" t="str">
        <f t="shared" si="105"/>
        <v>0</v>
      </c>
      <c r="K205" s="3" t="str">
        <f t="shared" si="106"/>
        <v>0</v>
      </c>
      <c r="L205" s="3" t="str">
        <f t="shared" si="107"/>
        <v>0</v>
      </c>
      <c r="M205" s="3">
        <f t="shared" si="108"/>
        <v>0</v>
      </c>
      <c r="N205" s="3">
        <f t="shared" si="109"/>
        <v>0</v>
      </c>
      <c r="O205" s="3" t="str">
        <f t="shared" si="110"/>
        <v>0</v>
      </c>
      <c r="P205" s="3" t="str">
        <f t="shared" si="111"/>
        <v>0</v>
      </c>
      <c r="Q205" s="3" t="str">
        <f t="shared" si="112"/>
        <v>0</v>
      </c>
      <c r="R205" s="3" t="str">
        <f t="shared" si="113"/>
        <v>0</v>
      </c>
      <c r="S205" s="3">
        <f t="shared" si="114"/>
        <v>0</v>
      </c>
      <c r="T205" s="3" t="str">
        <f t="shared" si="115"/>
        <v>0</v>
      </c>
      <c r="U205" s="3"/>
      <c r="V205" s="3">
        <v>40000</v>
      </c>
      <c r="W205" s="3"/>
      <c r="X205" s="3"/>
      <c r="Y205" s="3"/>
      <c r="Z205" s="3"/>
    </row>
    <row r="206" spans="1:26" x14ac:dyDescent="0.25">
      <c r="A206" s="175">
        <v>46198</v>
      </c>
      <c r="B206" s="3" t="s">
        <v>169</v>
      </c>
      <c r="C206" s="169" t="s">
        <v>228</v>
      </c>
      <c r="D206" s="170">
        <v>2021.7</v>
      </c>
      <c r="E206" s="171">
        <v>0.88</v>
      </c>
      <c r="F206" s="172">
        <f>+D206*E206</f>
        <v>1779.096</v>
      </c>
      <c r="G206" s="172">
        <f>+H206/D206</f>
        <v>10.450314092100708</v>
      </c>
      <c r="H206" s="176">
        <v>21127.4</v>
      </c>
      <c r="I206" s="158">
        <f t="shared" si="104"/>
        <v>2021.7</v>
      </c>
      <c r="J206" s="3" t="str">
        <f t="shared" si="105"/>
        <v>0</v>
      </c>
      <c r="K206" s="3">
        <f t="shared" si="106"/>
        <v>1779.096</v>
      </c>
      <c r="L206" s="3" t="str">
        <f t="shared" si="107"/>
        <v>0</v>
      </c>
      <c r="M206" s="3">
        <f t="shared" si="108"/>
        <v>22183.77</v>
      </c>
      <c r="N206" s="3">
        <f t="shared" si="109"/>
        <v>0</v>
      </c>
      <c r="O206" s="3" t="str">
        <f t="shared" si="110"/>
        <v>0</v>
      </c>
      <c r="P206" s="3" t="str">
        <f t="shared" si="111"/>
        <v>0</v>
      </c>
      <c r="Q206" s="3" t="str">
        <f t="shared" si="112"/>
        <v>0</v>
      </c>
      <c r="R206" s="3" t="str">
        <f t="shared" si="113"/>
        <v>0</v>
      </c>
      <c r="S206" s="3">
        <f t="shared" si="114"/>
        <v>0</v>
      </c>
      <c r="T206" s="3" t="str">
        <f t="shared" si="115"/>
        <v>0</v>
      </c>
      <c r="U206" s="3"/>
      <c r="V206" s="3"/>
      <c r="W206" s="3"/>
      <c r="X206" s="3"/>
      <c r="Y206" s="3"/>
      <c r="Z206" s="3"/>
    </row>
    <row r="207" spans="1:26" x14ac:dyDescent="0.25">
      <c r="A207" s="175">
        <v>46198</v>
      </c>
      <c r="B207" s="3" t="s">
        <v>169</v>
      </c>
      <c r="C207" s="169" t="s">
        <v>232</v>
      </c>
      <c r="D207" s="170">
        <v>422.9</v>
      </c>
      <c r="E207" s="171">
        <v>0.88</v>
      </c>
      <c r="F207" s="172">
        <f t="shared" ref="F207:F211" si="120">+D207*E207</f>
        <v>372.15199999999999</v>
      </c>
      <c r="G207" s="172">
        <f t="shared" ref="G207:G211" si="121">+H207/D207</f>
        <v>9</v>
      </c>
      <c r="H207" s="176">
        <v>3806.1</v>
      </c>
      <c r="I207" s="158">
        <f t="shared" si="104"/>
        <v>422.9</v>
      </c>
      <c r="J207" s="3" t="str">
        <f t="shared" si="105"/>
        <v>0</v>
      </c>
      <c r="K207" s="3">
        <f t="shared" si="106"/>
        <v>372.15199999999999</v>
      </c>
      <c r="L207" s="3" t="str">
        <f t="shared" si="107"/>
        <v>0</v>
      </c>
      <c r="M207" s="3">
        <f t="shared" si="108"/>
        <v>3996.4049999999997</v>
      </c>
      <c r="N207" s="3">
        <f t="shared" si="109"/>
        <v>0</v>
      </c>
      <c r="O207" s="3" t="str">
        <f t="shared" si="110"/>
        <v>0</v>
      </c>
      <c r="P207" s="3" t="str">
        <f t="shared" si="111"/>
        <v>0</v>
      </c>
      <c r="Q207" s="3" t="str">
        <f t="shared" si="112"/>
        <v>0</v>
      </c>
      <c r="R207" s="3" t="str">
        <f t="shared" si="113"/>
        <v>0</v>
      </c>
      <c r="S207" s="3">
        <f t="shared" si="114"/>
        <v>0</v>
      </c>
      <c r="T207" s="3" t="str">
        <f t="shared" si="115"/>
        <v>0</v>
      </c>
      <c r="U207" s="3"/>
      <c r="V207" s="3"/>
      <c r="W207" s="3"/>
      <c r="X207" s="3"/>
      <c r="Y207" s="3"/>
      <c r="Z207" s="3"/>
    </row>
    <row r="208" spans="1:26" x14ac:dyDescent="0.25">
      <c r="A208" s="175">
        <v>46198</v>
      </c>
      <c r="B208" s="3" t="s">
        <v>169</v>
      </c>
      <c r="C208" s="169" t="s">
        <v>238</v>
      </c>
      <c r="D208" s="170">
        <v>153.25</v>
      </c>
      <c r="E208" s="171">
        <v>0.88</v>
      </c>
      <c r="F208" s="172">
        <f t="shared" si="120"/>
        <v>134.86000000000001</v>
      </c>
      <c r="G208" s="172">
        <f t="shared" si="121"/>
        <v>10.864600326264274</v>
      </c>
      <c r="H208" s="176">
        <v>1665</v>
      </c>
      <c r="I208" s="158">
        <f t="shared" si="104"/>
        <v>153.25</v>
      </c>
      <c r="J208" s="3" t="str">
        <f t="shared" si="105"/>
        <v>0</v>
      </c>
      <c r="K208" s="3">
        <f t="shared" si="106"/>
        <v>134.86000000000001</v>
      </c>
      <c r="L208" s="3" t="str">
        <f t="shared" si="107"/>
        <v>0</v>
      </c>
      <c r="M208" s="3">
        <f t="shared" si="108"/>
        <v>1748.25</v>
      </c>
      <c r="N208" s="3">
        <f t="shared" si="109"/>
        <v>0</v>
      </c>
      <c r="O208" s="3" t="str">
        <f t="shared" si="110"/>
        <v>0</v>
      </c>
      <c r="P208" s="3" t="str">
        <f t="shared" si="111"/>
        <v>0</v>
      </c>
      <c r="Q208" s="3" t="str">
        <f t="shared" si="112"/>
        <v>0</v>
      </c>
      <c r="R208" s="3" t="str">
        <f t="shared" si="113"/>
        <v>0</v>
      </c>
      <c r="S208" s="3">
        <f t="shared" si="114"/>
        <v>0</v>
      </c>
      <c r="T208" s="3" t="str">
        <f t="shared" si="115"/>
        <v>0</v>
      </c>
      <c r="U208" s="3"/>
      <c r="V208" s="3"/>
      <c r="W208" s="3"/>
      <c r="X208" s="3"/>
      <c r="Y208" s="3"/>
      <c r="Z208" s="3"/>
    </row>
    <row r="209" spans="1:26" x14ac:dyDescent="0.25">
      <c r="A209" s="175">
        <v>46198</v>
      </c>
      <c r="B209" s="3" t="s">
        <v>169</v>
      </c>
      <c r="C209" s="169" t="s">
        <v>229</v>
      </c>
      <c r="D209" s="170">
        <v>1589.1</v>
      </c>
      <c r="E209" s="171">
        <v>0.88</v>
      </c>
      <c r="F209" s="172">
        <f t="shared" si="120"/>
        <v>1398.4079999999999</v>
      </c>
      <c r="G209" s="172">
        <f t="shared" si="121"/>
        <v>10.136303568057391</v>
      </c>
      <c r="H209" s="176">
        <v>16107.6</v>
      </c>
      <c r="I209" s="158">
        <f t="shared" si="104"/>
        <v>1589.1</v>
      </c>
      <c r="J209" s="3" t="str">
        <f t="shared" si="105"/>
        <v>0</v>
      </c>
      <c r="K209" s="3">
        <f t="shared" si="106"/>
        <v>1398.4079999999999</v>
      </c>
      <c r="L209" s="3" t="str">
        <f t="shared" si="107"/>
        <v>0</v>
      </c>
      <c r="M209" s="3">
        <f t="shared" si="108"/>
        <v>16912.98</v>
      </c>
      <c r="N209" s="3">
        <f t="shared" si="109"/>
        <v>0</v>
      </c>
      <c r="O209" s="3" t="str">
        <f t="shared" si="110"/>
        <v>0</v>
      </c>
      <c r="P209" s="3" t="str">
        <f t="shared" si="111"/>
        <v>0</v>
      </c>
      <c r="Q209" s="3" t="str">
        <f t="shared" si="112"/>
        <v>0</v>
      </c>
      <c r="R209" s="3" t="str">
        <f t="shared" si="113"/>
        <v>0</v>
      </c>
      <c r="S209" s="3">
        <f t="shared" si="114"/>
        <v>0</v>
      </c>
      <c r="T209" s="3" t="str">
        <f t="shared" si="115"/>
        <v>0</v>
      </c>
      <c r="U209" s="3"/>
      <c r="V209" s="3"/>
      <c r="W209" s="3"/>
      <c r="X209" s="3"/>
      <c r="Y209" s="3"/>
      <c r="Z209" s="3"/>
    </row>
    <row r="210" spans="1:26" x14ac:dyDescent="0.25">
      <c r="A210" s="175">
        <v>46198</v>
      </c>
      <c r="B210" s="3" t="s">
        <v>169</v>
      </c>
      <c r="C210" s="169" t="s">
        <v>227</v>
      </c>
      <c r="D210" s="170">
        <v>1230.5999999999999</v>
      </c>
      <c r="E210" s="171">
        <v>0.88</v>
      </c>
      <c r="F210" s="172">
        <f t="shared" si="120"/>
        <v>1082.9279999999999</v>
      </c>
      <c r="G210" s="172">
        <f t="shared" si="121"/>
        <v>4</v>
      </c>
      <c r="H210" s="176">
        <v>4922.3999999999996</v>
      </c>
      <c r="I210" s="158">
        <f t="shared" si="104"/>
        <v>1230.5999999999999</v>
      </c>
      <c r="J210" s="3" t="str">
        <f t="shared" si="105"/>
        <v>0</v>
      </c>
      <c r="K210" s="3">
        <f t="shared" si="106"/>
        <v>1082.9279999999999</v>
      </c>
      <c r="L210" s="3" t="str">
        <f t="shared" si="107"/>
        <v>0</v>
      </c>
      <c r="M210" s="3">
        <f t="shared" si="108"/>
        <v>5168.5199999999995</v>
      </c>
      <c r="N210" s="3">
        <f t="shared" si="109"/>
        <v>0</v>
      </c>
      <c r="O210" s="3" t="str">
        <f t="shared" si="110"/>
        <v>0</v>
      </c>
      <c r="P210" s="3" t="str">
        <f t="shared" si="111"/>
        <v>0</v>
      </c>
      <c r="Q210" s="3" t="str">
        <f t="shared" si="112"/>
        <v>0</v>
      </c>
      <c r="R210" s="3" t="str">
        <f t="shared" si="113"/>
        <v>0</v>
      </c>
      <c r="S210" s="3">
        <f t="shared" si="114"/>
        <v>0</v>
      </c>
      <c r="T210" s="3" t="str">
        <f t="shared" si="115"/>
        <v>0</v>
      </c>
      <c r="U210" s="3"/>
      <c r="V210" s="3"/>
      <c r="W210" s="3"/>
      <c r="X210" s="3"/>
      <c r="Y210" s="3"/>
      <c r="Z210" s="3"/>
    </row>
    <row r="211" spans="1:26" x14ac:dyDescent="0.25">
      <c r="A211" s="175">
        <v>46198</v>
      </c>
      <c r="B211" s="3" t="s">
        <v>169</v>
      </c>
      <c r="C211" s="3" t="s">
        <v>230</v>
      </c>
      <c r="D211" s="170">
        <v>362.3</v>
      </c>
      <c r="E211" s="171">
        <v>0.88</v>
      </c>
      <c r="F211" s="172">
        <f t="shared" si="120"/>
        <v>318.82400000000001</v>
      </c>
      <c r="G211" s="172">
        <f t="shared" si="121"/>
        <v>4.5</v>
      </c>
      <c r="H211" s="176">
        <v>1630.35</v>
      </c>
      <c r="I211" s="158">
        <f t="shared" si="104"/>
        <v>362.3</v>
      </c>
      <c r="J211" s="3" t="str">
        <f t="shared" si="105"/>
        <v>0</v>
      </c>
      <c r="K211" s="3">
        <f t="shared" si="106"/>
        <v>318.82400000000001</v>
      </c>
      <c r="L211" s="3" t="str">
        <f t="shared" si="107"/>
        <v>0</v>
      </c>
      <c r="M211" s="3">
        <f t="shared" si="108"/>
        <v>1711.8674999999998</v>
      </c>
      <c r="N211" s="3">
        <f t="shared" si="109"/>
        <v>0</v>
      </c>
      <c r="O211" s="3" t="str">
        <f t="shared" si="110"/>
        <v>0</v>
      </c>
      <c r="P211" s="3" t="str">
        <f t="shared" si="111"/>
        <v>0</v>
      </c>
      <c r="Q211" s="3" t="str">
        <f t="shared" si="112"/>
        <v>0</v>
      </c>
      <c r="R211" s="3" t="str">
        <f t="shared" si="113"/>
        <v>0</v>
      </c>
      <c r="S211" s="3">
        <f t="shared" si="114"/>
        <v>0</v>
      </c>
      <c r="T211" s="3" t="str">
        <f t="shared" si="115"/>
        <v>0</v>
      </c>
      <c r="U211" s="3"/>
      <c r="V211" s="3"/>
      <c r="W211" s="3"/>
      <c r="X211" s="3"/>
      <c r="Y211" s="3"/>
      <c r="Z211" s="3"/>
    </row>
    <row r="212" spans="1:26" x14ac:dyDescent="0.25">
      <c r="A212" s="175">
        <v>46198</v>
      </c>
      <c r="B212" s="3" t="s">
        <v>170</v>
      </c>
      <c r="C212" s="169" t="s">
        <v>227</v>
      </c>
      <c r="D212" s="170">
        <v>1000</v>
      </c>
      <c r="E212" s="173">
        <v>1</v>
      </c>
      <c r="F212" s="174">
        <f t="shared" ref="F212:F214" si="122">D212*E212</f>
        <v>1000</v>
      </c>
      <c r="G212" s="6">
        <f t="shared" si="103"/>
        <v>0</v>
      </c>
      <c r="H212" s="7"/>
      <c r="I212" s="158" t="str">
        <f t="shared" si="104"/>
        <v>0</v>
      </c>
      <c r="J212" s="3" t="str">
        <f t="shared" si="105"/>
        <v>0</v>
      </c>
      <c r="K212" s="3" t="str">
        <f t="shared" si="106"/>
        <v>0</v>
      </c>
      <c r="L212" s="3" t="str">
        <f t="shared" si="107"/>
        <v>0</v>
      </c>
      <c r="M212" s="3">
        <f t="shared" si="108"/>
        <v>0</v>
      </c>
      <c r="N212" s="3">
        <f t="shared" si="109"/>
        <v>0</v>
      </c>
      <c r="O212" s="3">
        <f t="shared" si="110"/>
        <v>1000</v>
      </c>
      <c r="P212" s="3" t="str">
        <f t="shared" si="111"/>
        <v>0</v>
      </c>
      <c r="Q212" s="3">
        <f t="shared" si="112"/>
        <v>1000</v>
      </c>
      <c r="R212" s="3" t="str">
        <f t="shared" si="113"/>
        <v>0</v>
      </c>
      <c r="S212" s="3">
        <f t="shared" si="114"/>
        <v>0</v>
      </c>
      <c r="T212" s="3" t="str">
        <f t="shared" si="115"/>
        <v>0</v>
      </c>
      <c r="U212" s="3"/>
      <c r="V212" s="3"/>
      <c r="W212" s="3"/>
      <c r="X212" s="3"/>
      <c r="Y212" s="3"/>
      <c r="Z212" s="3"/>
    </row>
    <row r="213" spans="1:26" x14ac:dyDescent="0.25">
      <c r="A213" s="175">
        <v>46198</v>
      </c>
      <c r="B213" s="3" t="s">
        <v>170</v>
      </c>
      <c r="C213" s="169" t="s">
        <v>228</v>
      </c>
      <c r="D213" s="170">
        <v>2000</v>
      </c>
      <c r="E213" s="173">
        <v>0.995</v>
      </c>
      <c r="F213" s="174">
        <f t="shared" si="122"/>
        <v>1990</v>
      </c>
      <c r="G213" s="6">
        <f t="shared" si="103"/>
        <v>0</v>
      </c>
      <c r="H213" s="7"/>
      <c r="I213" s="158" t="str">
        <f t="shared" si="104"/>
        <v>0</v>
      </c>
      <c r="J213" s="3" t="str">
        <f t="shared" si="105"/>
        <v>0</v>
      </c>
      <c r="K213" s="3" t="str">
        <f t="shared" si="106"/>
        <v>0</v>
      </c>
      <c r="L213" s="3" t="str">
        <f t="shared" si="107"/>
        <v>0</v>
      </c>
      <c r="M213" s="3">
        <f t="shared" si="108"/>
        <v>0</v>
      </c>
      <c r="N213" s="3">
        <f t="shared" si="109"/>
        <v>0</v>
      </c>
      <c r="O213" s="3">
        <f t="shared" si="110"/>
        <v>2000</v>
      </c>
      <c r="P213" s="3" t="str">
        <f t="shared" si="111"/>
        <v>0</v>
      </c>
      <c r="Q213" s="3">
        <f t="shared" si="112"/>
        <v>1990</v>
      </c>
      <c r="R213" s="3" t="str">
        <f t="shared" si="113"/>
        <v>0</v>
      </c>
      <c r="S213" s="3">
        <f t="shared" si="114"/>
        <v>0</v>
      </c>
      <c r="T213" s="3" t="str">
        <f t="shared" si="115"/>
        <v>0</v>
      </c>
      <c r="U213" s="3"/>
      <c r="V213" s="3"/>
      <c r="W213" s="3"/>
      <c r="X213" s="3"/>
      <c r="Y213" s="3"/>
      <c r="Z213" s="3"/>
    </row>
    <row r="214" spans="1:26" x14ac:dyDescent="0.25">
      <c r="A214" s="175">
        <v>46198</v>
      </c>
      <c r="B214" s="3" t="s">
        <v>170</v>
      </c>
      <c r="C214" s="169" t="s">
        <v>229</v>
      </c>
      <c r="D214" s="170">
        <v>1000</v>
      </c>
      <c r="E214" s="173">
        <v>1</v>
      </c>
      <c r="F214" s="174">
        <f t="shared" si="122"/>
        <v>1000</v>
      </c>
      <c r="G214" s="6">
        <f t="shared" si="103"/>
        <v>0</v>
      </c>
      <c r="H214" s="7"/>
      <c r="I214" s="158" t="str">
        <f t="shared" si="104"/>
        <v>0</v>
      </c>
      <c r="J214" s="3" t="str">
        <f t="shared" si="105"/>
        <v>0</v>
      </c>
      <c r="K214" s="3" t="str">
        <f t="shared" si="106"/>
        <v>0</v>
      </c>
      <c r="L214" s="3" t="str">
        <f t="shared" si="107"/>
        <v>0</v>
      </c>
      <c r="M214" s="3">
        <f t="shared" si="108"/>
        <v>0</v>
      </c>
      <c r="N214" s="3">
        <f t="shared" si="109"/>
        <v>0</v>
      </c>
      <c r="O214" s="3">
        <f t="shared" si="110"/>
        <v>1000</v>
      </c>
      <c r="P214" s="3" t="str">
        <f t="shared" si="111"/>
        <v>0</v>
      </c>
      <c r="Q214" s="3">
        <f t="shared" si="112"/>
        <v>1000</v>
      </c>
      <c r="R214" s="3" t="str">
        <f t="shared" si="113"/>
        <v>0</v>
      </c>
      <c r="S214" s="3">
        <f t="shared" si="114"/>
        <v>0</v>
      </c>
      <c r="T214" s="3" t="str">
        <f t="shared" si="115"/>
        <v>0</v>
      </c>
      <c r="U214" s="3"/>
      <c r="V214" s="3"/>
      <c r="W214" s="3"/>
      <c r="X214" s="3"/>
      <c r="Y214" s="3"/>
      <c r="Z214" s="3"/>
    </row>
    <row r="215" spans="1:26" x14ac:dyDescent="0.25">
      <c r="A215" s="175">
        <v>46198</v>
      </c>
      <c r="B215" s="3" t="s">
        <v>212</v>
      </c>
      <c r="C215" s="169" t="s">
        <v>229</v>
      </c>
      <c r="D215" s="170">
        <v>192</v>
      </c>
      <c r="E215" s="173">
        <v>0.88</v>
      </c>
      <c r="F215" s="174">
        <f>+D215*E215</f>
        <v>168.96</v>
      </c>
      <c r="G215" s="184">
        <f>+H215/D215</f>
        <v>12</v>
      </c>
      <c r="H215" s="185">
        <v>2304</v>
      </c>
      <c r="I215" s="158" t="str">
        <f t="shared" si="104"/>
        <v>0</v>
      </c>
      <c r="J215" s="3">
        <f t="shared" si="105"/>
        <v>192</v>
      </c>
      <c r="K215" s="3" t="str">
        <f t="shared" si="106"/>
        <v>0</v>
      </c>
      <c r="L215" s="3">
        <f t="shared" si="107"/>
        <v>168.96</v>
      </c>
      <c r="M215" s="3">
        <f t="shared" si="108"/>
        <v>0</v>
      </c>
      <c r="N215" s="3">
        <f t="shared" si="109"/>
        <v>2419.1999999999998</v>
      </c>
      <c r="O215" s="3" t="str">
        <f t="shared" si="110"/>
        <v>0</v>
      </c>
      <c r="P215" s="3" t="str">
        <f t="shared" si="111"/>
        <v>0</v>
      </c>
      <c r="Q215" s="3" t="str">
        <f t="shared" si="112"/>
        <v>0</v>
      </c>
      <c r="R215" s="3" t="str">
        <f t="shared" si="113"/>
        <v>0</v>
      </c>
      <c r="S215" s="3">
        <f t="shared" si="114"/>
        <v>0</v>
      </c>
      <c r="T215" s="3" t="str">
        <f t="shared" si="115"/>
        <v>0</v>
      </c>
      <c r="U215" s="3"/>
      <c r="V215" s="3"/>
      <c r="W215" s="3"/>
      <c r="X215" s="3"/>
      <c r="Y215" s="3"/>
      <c r="Z215" s="3"/>
    </row>
    <row r="216" spans="1:26" x14ac:dyDescent="0.25">
      <c r="A216" s="175">
        <v>46198</v>
      </c>
      <c r="B216" s="3" t="s">
        <v>210</v>
      </c>
      <c r="C216" s="3" t="s">
        <v>235</v>
      </c>
      <c r="D216" s="4"/>
      <c r="E216" s="5"/>
      <c r="F216" s="6">
        <f t="shared" si="116"/>
        <v>0</v>
      </c>
      <c r="G216" s="6" t="e">
        <f t="shared" si="103"/>
        <v>#DIV/0!</v>
      </c>
      <c r="H216" s="7"/>
      <c r="I216" s="3" t="str">
        <f t="shared" si="104"/>
        <v>0</v>
      </c>
      <c r="J216" s="3" t="str">
        <f t="shared" si="105"/>
        <v>0</v>
      </c>
      <c r="K216" s="3" t="str">
        <f t="shared" si="106"/>
        <v>0</v>
      </c>
      <c r="L216" s="3" t="str">
        <f t="shared" si="107"/>
        <v>0</v>
      </c>
      <c r="M216" s="3">
        <f t="shared" si="108"/>
        <v>0</v>
      </c>
      <c r="N216" s="3">
        <f t="shared" si="109"/>
        <v>0</v>
      </c>
      <c r="O216" s="3" t="str">
        <f t="shared" si="110"/>
        <v>0</v>
      </c>
      <c r="P216" s="3" t="str">
        <f t="shared" si="111"/>
        <v>0</v>
      </c>
      <c r="Q216" s="3" t="str">
        <f t="shared" si="112"/>
        <v>0</v>
      </c>
      <c r="R216" s="3" t="str">
        <f t="shared" si="113"/>
        <v>0</v>
      </c>
      <c r="S216" s="3">
        <f t="shared" si="114"/>
        <v>0</v>
      </c>
      <c r="T216" s="3" t="str">
        <f t="shared" si="115"/>
        <v>0</v>
      </c>
      <c r="U216" s="3"/>
      <c r="V216" s="3">
        <v>30000</v>
      </c>
      <c r="W216" s="3"/>
      <c r="X216" s="3"/>
      <c r="Y216" s="3"/>
      <c r="Z216" s="3"/>
    </row>
    <row r="217" spans="1:26" x14ac:dyDescent="0.25">
      <c r="A217" s="175">
        <v>46198</v>
      </c>
      <c r="B217" s="3" t="s">
        <v>210</v>
      </c>
      <c r="C217" s="169" t="s">
        <v>242</v>
      </c>
      <c r="D217" s="4"/>
      <c r="E217" s="5"/>
      <c r="F217" s="6">
        <f t="shared" si="116"/>
        <v>0</v>
      </c>
      <c r="G217" s="6" t="e">
        <f t="shared" si="103"/>
        <v>#DIV/0!</v>
      </c>
      <c r="H217" s="7"/>
      <c r="I217" s="3" t="str">
        <f t="shared" si="104"/>
        <v>0</v>
      </c>
      <c r="J217" s="3" t="str">
        <f t="shared" si="105"/>
        <v>0</v>
      </c>
      <c r="K217" s="3" t="str">
        <f t="shared" si="106"/>
        <v>0</v>
      </c>
      <c r="L217" s="3" t="str">
        <f t="shared" si="107"/>
        <v>0</v>
      </c>
      <c r="M217" s="3">
        <f t="shared" si="108"/>
        <v>0</v>
      </c>
      <c r="N217" s="3">
        <f t="shared" si="109"/>
        <v>0</v>
      </c>
      <c r="O217" s="3" t="str">
        <f t="shared" si="110"/>
        <v>0</v>
      </c>
      <c r="P217" s="3" t="str">
        <f t="shared" si="111"/>
        <v>0</v>
      </c>
      <c r="Q217" s="3" t="str">
        <f t="shared" si="112"/>
        <v>0</v>
      </c>
      <c r="R217" s="3" t="str">
        <f t="shared" si="113"/>
        <v>0</v>
      </c>
      <c r="S217" s="3">
        <f t="shared" si="114"/>
        <v>0</v>
      </c>
      <c r="T217" s="3" t="str">
        <f t="shared" si="115"/>
        <v>0</v>
      </c>
      <c r="U217" s="3">
        <v>15000</v>
      </c>
      <c r="V217" s="3"/>
      <c r="W217" s="3"/>
      <c r="X217" s="3"/>
      <c r="Y217" s="3"/>
      <c r="Z217" s="3"/>
    </row>
    <row r="218" spans="1:26" x14ac:dyDescent="0.25">
      <c r="A218" s="175">
        <v>46199</v>
      </c>
      <c r="B218" s="3" t="s">
        <v>169</v>
      </c>
      <c r="C218" s="169" t="s">
        <v>247</v>
      </c>
      <c r="D218" s="170">
        <v>104</v>
      </c>
      <c r="E218" s="171">
        <v>0.88</v>
      </c>
      <c r="F218" s="172">
        <f>+D218*E218</f>
        <v>91.52</v>
      </c>
      <c r="G218" s="172">
        <f>+H218/D218</f>
        <v>9.342307692307692</v>
      </c>
      <c r="H218" s="176">
        <v>971.6</v>
      </c>
      <c r="I218" s="158">
        <f t="shared" si="104"/>
        <v>104</v>
      </c>
      <c r="J218" s="3" t="str">
        <f t="shared" si="105"/>
        <v>0</v>
      </c>
      <c r="K218" s="3">
        <f t="shared" si="106"/>
        <v>91.52</v>
      </c>
      <c r="L218" s="3" t="str">
        <f t="shared" si="107"/>
        <v>0</v>
      </c>
      <c r="M218" s="3">
        <f t="shared" si="108"/>
        <v>1020.1800000000001</v>
      </c>
      <c r="N218" s="3">
        <f t="shared" si="109"/>
        <v>0</v>
      </c>
      <c r="O218" s="3" t="str">
        <f t="shared" si="110"/>
        <v>0</v>
      </c>
      <c r="P218" s="3" t="str">
        <f t="shared" si="111"/>
        <v>0</v>
      </c>
      <c r="Q218" s="3" t="str">
        <f t="shared" si="112"/>
        <v>0</v>
      </c>
      <c r="R218" s="3" t="str">
        <f t="shared" si="113"/>
        <v>0</v>
      </c>
      <c r="S218" s="3">
        <f t="shared" si="114"/>
        <v>0</v>
      </c>
      <c r="T218" s="3" t="str">
        <f t="shared" si="115"/>
        <v>0</v>
      </c>
      <c r="U218" s="3"/>
      <c r="V218" s="3"/>
      <c r="W218" s="3"/>
      <c r="X218" s="3"/>
      <c r="Y218" s="3"/>
      <c r="Z218" s="3"/>
    </row>
    <row r="219" spans="1:26" x14ac:dyDescent="0.25">
      <c r="A219" s="175">
        <v>46199</v>
      </c>
      <c r="B219" s="3" t="s">
        <v>169</v>
      </c>
      <c r="C219" s="169" t="s">
        <v>234</v>
      </c>
      <c r="D219" s="170">
        <v>1165.8</v>
      </c>
      <c r="E219" s="171">
        <v>0.88</v>
      </c>
      <c r="F219" s="172">
        <f t="shared" ref="F219:F220" si="123">+D219*E219</f>
        <v>1025.904</v>
      </c>
      <c r="G219" s="172">
        <f t="shared" ref="G219:G220" si="124">+H219/D219</f>
        <v>5</v>
      </c>
      <c r="H219" s="176">
        <v>5829</v>
      </c>
      <c r="I219" s="158">
        <f t="shared" si="104"/>
        <v>1165.8</v>
      </c>
      <c r="J219" s="3" t="str">
        <f t="shared" si="105"/>
        <v>0</v>
      </c>
      <c r="K219" s="3">
        <f t="shared" si="106"/>
        <v>1025.904</v>
      </c>
      <c r="L219" s="3" t="str">
        <f t="shared" si="107"/>
        <v>0</v>
      </c>
      <c r="M219" s="3">
        <f t="shared" si="108"/>
        <v>6120.45</v>
      </c>
      <c r="N219" s="3">
        <f t="shared" si="109"/>
        <v>0</v>
      </c>
      <c r="O219" s="3" t="str">
        <f t="shared" si="110"/>
        <v>0</v>
      </c>
      <c r="P219" s="3" t="str">
        <f t="shared" si="111"/>
        <v>0</v>
      </c>
      <c r="Q219" s="3" t="str">
        <f t="shared" si="112"/>
        <v>0</v>
      </c>
      <c r="R219" s="3" t="str">
        <f t="shared" si="113"/>
        <v>0</v>
      </c>
      <c r="S219" s="3">
        <f t="shared" si="114"/>
        <v>0</v>
      </c>
      <c r="T219" s="3" t="str">
        <f t="shared" si="115"/>
        <v>0</v>
      </c>
      <c r="U219" s="3"/>
      <c r="V219" s="3"/>
      <c r="W219" s="3"/>
      <c r="X219" s="3"/>
      <c r="Y219" s="3"/>
      <c r="Z219" s="3"/>
    </row>
    <row r="220" spans="1:26" x14ac:dyDescent="0.25">
      <c r="A220" s="175">
        <v>46199</v>
      </c>
      <c r="B220" s="3" t="s">
        <v>169</v>
      </c>
      <c r="C220" s="3" t="s">
        <v>230</v>
      </c>
      <c r="D220" s="170">
        <v>350.6</v>
      </c>
      <c r="E220" s="171">
        <v>0.88</v>
      </c>
      <c r="F220" s="172">
        <f t="shared" si="123"/>
        <v>308.52800000000002</v>
      </c>
      <c r="G220" s="172">
        <f t="shared" si="124"/>
        <v>4.5</v>
      </c>
      <c r="H220" s="176">
        <v>1577.7</v>
      </c>
      <c r="I220" s="158">
        <f t="shared" si="104"/>
        <v>350.6</v>
      </c>
      <c r="J220" s="3" t="str">
        <f t="shared" si="105"/>
        <v>0</v>
      </c>
      <c r="K220" s="3">
        <f t="shared" si="106"/>
        <v>308.52800000000002</v>
      </c>
      <c r="L220" s="3" t="str">
        <f t="shared" si="107"/>
        <v>0</v>
      </c>
      <c r="M220" s="3">
        <f t="shared" si="108"/>
        <v>1656.585</v>
      </c>
      <c r="N220" s="3">
        <f t="shared" si="109"/>
        <v>0</v>
      </c>
      <c r="O220" s="3" t="str">
        <f t="shared" si="110"/>
        <v>0</v>
      </c>
      <c r="P220" s="3" t="str">
        <f t="shared" si="111"/>
        <v>0</v>
      </c>
      <c r="Q220" s="3" t="str">
        <f t="shared" si="112"/>
        <v>0</v>
      </c>
      <c r="R220" s="3" t="str">
        <f t="shared" si="113"/>
        <v>0</v>
      </c>
      <c r="S220" s="3">
        <f t="shared" si="114"/>
        <v>0</v>
      </c>
      <c r="T220" s="3" t="str">
        <f t="shared" si="115"/>
        <v>0</v>
      </c>
      <c r="U220" s="3"/>
      <c r="V220" s="3"/>
      <c r="W220" s="3"/>
      <c r="X220" s="3"/>
      <c r="Y220" s="3"/>
      <c r="Z220" s="3"/>
    </row>
    <row r="221" spans="1:26" x14ac:dyDescent="0.25">
      <c r="A221" s="175">
        <v>46199</v>
      </c>
      <c r="B221" s="3" t="s">
        <v>170</v>
      </c>
      <c r="C221" s="169" t="s">
        <v>234</v>
      </c>
      <c r="D221" s="170">
        <v>1000</v>
      </c>
      <c r="E221" s="173">
        <v>0.995</v>
      </c>
      <c r="F221" s="174">
        <f t="shared" ref="F221:F222" si="125">D221*E221</f>
        <v>995</v>
      </c>
      <c r="G221" s="6"/>
      <c r="H221" s="176"/>
      <c r="I221" s="158" t="str">
        <f t="shared" si="104"/>
        <v>0</v>
      </c>
      <c r="J221" s="3" t="str">
        <f t="shared" si="105"/>
        <v>0</v>
      </c>
      <c r="K221" s="3" t="str">
        <f t="shared" si="106"/>
        <v>0</v>
      </c>
      <c r="L221" s="3" t="str">
        <f t="shared" si="107"/>
        <v>0</v>
      </c>
      <c r="M221" s="3">
        <f t="shared" si="108"/>
        <v>0</v>
      </c>
      <c r="N221" s="3">
        <f t="shared" si="109"/>
        <v>0</v>
      </c>
      <c r="O221" s="3">
        <f t="shared" si="110"/>
        <v>1000</v>
      </c>
      <c r="P221" s="3" t="str">
        <f t="shared" si="111"/>
        <v>0</v>
      </c>
      <c r="Q221" s="3">
        <f t="shared" si="112"/>
        <v>995</v>
      </c>
      <c r="R221" s="3" t="str">
        <f t="shared" si="113"/>
        <v>0</v>
      </c>
      <c r="S221" s="3">
        <f t="shared" si="114"/>
        <v>0</v>
      </c>
      <c r="T221" s="3" t="str">
        <f t="shared" si="115"/>
        <v>0</v>
      </c>
      <c r="U221" s="3"/>
      <c r="V221" s="3"/>
      <c r="W221" s="3"/>
      <c r="X221" s="3"/>
      <c r="Y221" s="3"/>
      <c r="Z221" s="3"/>
    </row>
    <row r="222" spans="1:26" x14ac:dyDescent="0.25">
      <c r="A222" s="175">
        <v>46199</v>
      </c>
      <c r="B222" s="3" t="s">
        <v>170</v>
      </c>
      <c r="C222" s="169" t="s">
        <v>239</v>
      </c>
      <c r="D222" s="170">
        <v>953.61</v>
      </c>
      <c r="E222" s="173">
        <v>0.88</v>
      </c>
      <c r="F222" s="174">
        <f t="shared" si="125"/>
        <v>839.17680000000007</v>
      </c>
      <c r="G222" s="172">
        <f>H222/D222</f>
        <v>2.5933243149715293</v>
      </c>
      <c r="H222" s="176">
        <v>2473.02</v>
      </c>
      <c r="I222" s="158" t="str">
        <f t="shared" si="104"/>
        <v>0</v>
      </c>
      <c r="J222" s="3" t="str">
        <f t="shared" si="105"/>
        <v>0</v>
      </c>
      <c r="K222" s="3" t="str">
        <f t="shared" si="106"/>
        <v>0</v>
      </c>
      <c r="L222" s="3" t="str">
        <f t="shared" si="107"/>
        <v>0</v>
      </c>
      <c r="M222" s="3">
        <f t="shared" si="108"/>
        <v>0</v>
      </c>
      <c r="N222" s="3">
        <f t="shared" si="109"/>
        <v>0</v>
      </c>
      <c r="O222" s="3">
        <f t="shared" si="110"/>
        <v>953.61</v>
      </c>
      <c r="P222" s="3" t="str">
        <f t="shared" si="111"/>
        <v>0</v>
      </c>
      <c r="Q222" s="3">
        <f t="shared" si="112"/>
        <v>839.17680000000007</v>
      </c>
      <c r="R222" s="3" t="str">
        <f t="shared" si="113"/>
        <v>0</v>
      </c>
      <c r="S222" s="3">
        <f t="shared" si="114"/>
        <v>2596.6709999999998</v>
      </c>
      <c r="T222" s="3" t="str">
        <f t="shared" si="115"/>
        <v>0</v>
      </c>
      <c r="U222" s="3"/>
      <c r="V222" s="3"/>
      <c r="W222" s="3"/>
      <c r="X222" s="3"/>
      <c r="Y222" s="3"/>
      <c r="Z222" s="3"/>
    </row>
    <row r="223" spans="1:26" x14ac:dyDescent="0.25">
      <c r="A223" s="175">
        <v>46200</v>
      </c>
      <c r="B223" s="3" t="s">
        <v>169</v>
      </c>
      <c r="C223" s="169" t="s">
        <v>228</v>
      </c>
      <c r="D223" s="170">
        <v>2163.6999999999998</v>
      </c>
      <c r="E223" s="171">
        <v>0.88</v>
      </c>
      <c r="F223" s="172">
        <f>+D223*E223</f>
        <v>1904.0559999999998</v>
      </c>
      <c r="G223" s="172">
        <f>+H223/D223</f>
        <v>9.4599990756574392</v>
      </c>
      <c r="H223" s="176">
        <v>20468.599999999999</v>
      </c>
      <c r="I223" s="3">
        <f t="shared" si="104"/>
        <v>2163.6999999999998</v>
      </c>
      <c r="J223" s="3" t="str">
        <f t="shared" si="105"/>
        <v>0</v>
      </c>
      <c r="K223" s="3">
        <f t="shared" si="106"/>
        <v>1904.0559999999998</v>
      </c>
      <c r="L223" s="3" t="str">
        <f t="shared" si="107"/>
        <v>0</v>
      </c>
      <c r="M223" s="3">
        <f t="shared" si="108"/>
        <v>21492.03</v>
      </c>
      <c r="N223" s="3">
        <f t="shared" si="109"/>
        <v>0</v>
      </c>
      <c r="O223" s="3" t="str">
        <f t="shared" si="110"/>
        <v>0</v>
      </c>
      <c r="P223" s="3" t="str">
        <f t="shared" si="111"/>
        <v>0</v>
      </c>
      <c r="Q223" s="3" t="str">
        <f t="shared" si="112"/>
        <v>0</v>
      </c>
      <c r="R223" s="3" t="str">
        <f t="shared" si="113"/>
        <v>0</v>
      </c>
      <c r="S223" s="3">
        <f t="shared" si="114"/>
        <v>0</v>
      </c>
      <c r="T223" s="3" t="str">
        <f t="shared" si="115"/>
        <v>0</v>
      </c>
      <c r="U223" s="3"/>
      <c r="V223" s="3"/>
      <c r="W223" s="3"/>
      <c r="X223" s="3"/>
      <c r="Y223" s="3"/>
      <c r="Z223" s="3"/>
    </row>
    <row r="224" spans="1:26" x14ac:dyDescent="0.25">
      <c r="A224" s="175">
        <v>46200</v>
      </c>
      <c r="B224" s="3" t="s">
        <v>169</v>
      </c>
      <c r="C224" s="169" t="s">
        <v>242</v>
      </c>
      <c r="D224" s="170">
        <v>1398.5</v>
      </c>
      <c r="E224" s="171">
        <v>0.88</v>
      </c>
      <c r="F224" s="172">
        <f t="shared" ref="F224:F226" si="126">+D224*E224</f>
        <v>1230.68</v>
      </c>
      <c r="G224" s="172">
        <f t="shared" ref="G224:G226" si="127">+H224/D224</f>
        <v>5</v>
      </c>
      <c r="H224" s="176">
        <v>6992.5</v>
      </c>
      <c r="I224" s="3">
        <f t="shared" si="104"/>
        <v>1398.5</v>
      </c>
      <c r="J224" s="3" t="str">
        <f t="shared" si="105"/>
        <v>0</v>
      </c>
      <c r="K224" s="3">
        <f t="shared" si="106"/>
        <v>1230.68</v>
      </c>
      <c r="L224" s="3" t="str">
        <f t="shared" si="107"/>
        <v>0</v>
      </c>
      <c r="M224" s="3">
        <f t="shared" si="108"/>
        <v>7342.125</v>
      </c>
      <c r="N224" s="3">
        <f t="shared" si="109"/>
        <v>0</v>
      </c>
      <c r="O224" s="3" t="str">
        <f t="shared" si="110"/>
        <v>0</v>
      </c>
      <c r="P224" s="3" t="str">
        <f t="shared" si="111"/>
        <v>0</v>
      </c>
      <c r="Q224" s="3" t="str">
        <f t="shared" si="112"/>
        <v>0</v>
      </c>
      <c r="R224" s="3" t="str">
        <f t="shared" si="113"/>
        <v>0</v>
      </c>
      <c r="S224" s="3">
        <f t="shared" si="114"/>
        <v>0</v>
      </c>
      <c r="T224" s="3" t="str">
        <f t="shared" si="115"/>
        <v>0</v>
      </c>
      <c r="U224" s="3"/>
      <c r="V224" s="3"/>
      <c r="W224" s="3"/>
      <c r="X224" s="3"/>
      <c r="Y224" s="3"/>
      <c r="Z224" s="3"/>
    </row>
    <row r="225" spans="1:26" x14ac:dyDescent="0.25">
      <c r="A225" s="175">
        <v>46200</v>
      </c>
      <c r="B225" s="3" t="s">
        <v>169</v>
      </c>
      <c r="C225" s="169" t="s">
        <v>228</v>
      </c>
      <c r="D225" s="170">
        <v>1398.7</v>
      </c>
      <c r="E225" s="171">
        <v>0.88</v>
      </c>
      <c r="F225" s="172">
        <f t="shared" si="126"/>
        <v>1230.856</v>
      </c>
      <c r="G225" s="172">
        <f t="shared" si="127"/>
        <v>10.49853435332809</v>
      </c>
      <c r="H225" s="176">
        <v>14684.3</v>
      </c>
      <c r="I225" s="3">
        <f t="shared" si="104"/>
        <v>1398.7</v>
      </c>
      <c r="J225" s="3" t="str">
        <f t="shared" si="105"/>
        <v>0</v>
      </c>
      <c r="K225" s="3">
        <f t="shared" si="106"/>
        <v>1230.856</v>
      </c>
      <c r="L225" s="3" t="str">
        <f t="shared" si="107"/>
        <v>0</v>
      </c>
      <c r="M225" s="3">
        <f t="shared" si="108"/>
        <v>15418.514999999999</v>
      </c>
      <c r="N225" s="3">
        <f t="shared" si="109"/>
        <v>0</v>
      </c>
      <c r="O225" s="3" t="str">
        <f t="shared" si="110"/>
        <v>0</v>
      </c>
      <c r="P225" s="3" t="str">
        <f t="shared" si="111"/>
        <v>0</v>
      </c>
      <c r="Q225" s="3" t="str">
        <f t="shared" si="112"/>
        <v>0</v>
      </c>
      <c r="R225" s="3" t="str">
        <f t="shared" si="113"/>
        <v>0</v>
      </c>
      <c r="S225" s="3">
        <f t="shared" si="114"/>
        <v>0</v>
      </c>
      <c r="T225" s="3" t="str">
        <f t="shared" si="115"/>
        <v>0</v>
      </c>
      <c r="U225" s="3"/>
      <c r="V225" s="3"/>
      <c r="W225" s="3"/>
      <c r="X225" s="3"/>
      <c r="Y225" s="3"/>
      <c r="Z225" s="3"/>
    </row>
    <row r="226" spans="1:26" x14ac:dyDescent="0.25">
      <c r="A226" s="175">
        <v>46200</v>
      </c>
      <c r="B226" s="3" t="s">
        <v>169</v>
      </c>
      <c r="C226" s="3" t="s">
        <v>230</v>
      </c>
      <c r="D226" s="170">
        <v>834.4</v>
      </c>
      <c r="E226" s="171">
        <v>0.88</v>
      </c>
      <c r="F226" s="172">
        <f t="shared" si="126"/>
        <v>734.27199999999993</v>
      </c>
      <c r="G226" s="172">
        <f t="shared" si="127"/>
        <v>5</v>
      </c>
      <c r="H226" s="176">
        <v>4172</v>
      </c>
      <c r="I226" s="3">
        <f t="shared" si="104"/>
        <v>834.4</v>
      </c>
      <c r="J226" s="3" t="str">
        <f t="shared" si="105"/>
        <v>0</v>
      </c>
      <c r="K226" s="3">
        <f t="shared" si="106"/>
        <v>734.27199999999993</v>
      </c>
      <c r="L226" s="3" t="str">
        <f t="shared" si="107"/>
        <v>0</v>
      </c>
      <c r="M226" s="3">
        <f t="shared" si="108"/>
        <v>4380.6000000000004</v>
      </c>
      <c r="N226" s="3">
        <f t="shared" si="109"/>
        <v>0</v>
      </c>
      <c r="O226" s="3" t="str">
        <f t="shared" si="110"/>
        <v>0</v>
      </c>
      <c r="P226" s="3" t="str">
        <f t="shared" si="111"/>
        <v>0</v>
      </c>
      <c r="Q226" s="3" t="str">
        <f t="shared" si="112"/>
        <v>0</v>
      </c>
      <c r="R226" s="3" t="str">
        <f t="shared" si="113"/>
        <v>0</v>
      </c>
      <c r="S226" s="3">
        <f t="shared" si="114"/>
        <v>0</v>
      </c>
      <c r="T226" s="3" t="str">
        <f t="shared" si="115"/>
        <v>0</v>
      </c>
      <c r="U226" s="3"/>
      <c r="V226" s="3"/>
      <c r="W226" s="3"/>
      <c r="X226" s="3"/>
      <c r="Y226" s="3"/>
      <c r="Z226" s="3"/>
    </row>
    <row r="227" spans="1:26" x14ac:dyDescent="0.25">
      <c r="A227" s="175">
        <v>46200</v>
      </c>
      <c r="B227" s="3" t="s">
        <v>170</v>
      </c>
      <c r="C227" s="169" t="s">
        <v>242</v>
      </c>
      <c r="D227" s="170">
        <v>1000</v>
      </c>
      <c r="E227" s="173">
        <v>0.995</v>
      </c>
      <c r="F227" s="174">
        <f t="shared" ref="F227:F229" si="128">D227*E227</f>
        <v>995</v>
      </c>
      <c r="G227" s="6">
        <f t="shared" si="103"/>
        <v>0</v>
      </c>
      <c r="H227" s="7"/>
      <c r="I227" s="3" t="str">
        <f t="shared" si="104"/>
        <v>0</v>
      </c>
      <c r="J227" s="3" t="str">
        <f t="shared" si="105"/>
        <v>0</v>
      </c>
      <c r="K227" s="3" t="str">
        <f t="shared" si="106"/>
        <v>0</v>
      </c>
      <c r="L227" s="3" t="str">
        <f t="shared" si="107"/>
        <v>0</v>
      </c>
      <c r="M227" s="3">
        <f t="shared" si="108"/>
        <v>0</v>
      </c>
      <c r="N227" s="3">
        <f t="shared" si="109"/>
        <v>0</v>
      </c>
      <c r="O227" s="3">
        <f t="shared" si="110"/>
        <v>1000</v>
      </c>
      <c r="P227" s="3" t="str">
        <f t="shared" si="111"/>
        <v>0</v>
      </c>
      <c r="Q227" s="3">
        <f t="shared" si="112"/>
        <v>995</v>
      </c>
      <c r="R227" s="3" t="str">
        <f t="shared" si="113"/>
        <v>0</v>
      </c>
      <c r="S227" s="3">
        <f t="shared" si="114"/>
        <v>0</v>
      </c>
      <c r="T227" s="3" t="str">
        <f t="shared" si="115"/>
        <v>0</v>
      </c>
      <c r="U227" s="3"/>
      <c r="V227" s="3"/>
      <c r="W227" s="3"/>
      <c r="X227" s="3"/>
      <c r="Y227" s="3"/>
      <c r="Z227" s="3"/>
    </row>
    <row r="228" spans="1:26" x14ac:dyDescent="0.25">
      <c r="A228" s="175">
        <v>46200</v>
      </c>
      <c r="B228" s="3" t="s">
        <v>170</v>
      </c>
      <c r="C228" s="169" t="s">
        <v>228</v>
      </c>
      <c r="D228" s="170">
        <v>2000</v>
      </c>
      <c r="E228" s="173">
        <v>0.995</v>
      </c>
      <c r="F228" s="174">
        <f t="shared" si="128"/>
        <v>1990</v>
      </c>
      <c r="G228" s="6">
        <f t="shared" si="103"/>
        <v>0</v>
      </c>
      <c r="H228" s="7"/>
      <c r="I228" s="3" t="str">
        <f t="shared" si="104"/>
        <v>0</v>
      </c>
      <c r="J228" s="3" t="str">
        <f t="shared" si="105"/>
        <v>0</v>
      </c>
      <c r="K228" s="3" t="str">
        <f t="shared" si="106"/>
        <v>0</v>
      </c>
      <c r="L228" s="3" t="str">
        <f t="shared" si="107"/>
        <v>0</v>
      </c>
      <c r="M228" s="3">
        <f t="shared" si="108"/>
        <v>0</v>
      </c>
      <c r="N228" s="3">
        <f t="shared" si="109"/>
        <v>0</v>
      </c>
      <c r="O228" s="3">
        <f t="shared" si="110"/>
        <v>2000</v>
      </c>
      <c r="P228" s="3" t="str">
        <f t="shared" si="111"/>
        <v>0</v>
      </c>
      <c r="Q228" s="3">
        <f t="shared" si="112"/>
        <v>1990</v>
      </c>
      <c r="R228" s="3" t="str">
        <f t="shared" si="113"/>
        <v>0</v>
      </c>
      <c r="S228" s="3">
        <f t="shared" si="114"/>
        <v>0</v>
      </c>
      <c r="T228" s="3" t="str">
        <f t="shared" si="115"/>
        <v>0</v>
      </c>
      <c r="U228" s="3"/>
      <c r="V228" s="3"/>
      <c r="W228" s="3"/>
      <c r="X228" s="3"/>
      <c r="Y228" s="3"/>
      <c r="Z228" s="3"/>
    </row>
    <row r="229" spans="1:26" x14ac:dyDescent="0.25">
      <c r="A229" s="175">
        <v>46200</v>
      </c>
      <c r="B229" s="3" t="s">
        <v>170</v>
      </c>
      <c r="C229" s="3" t="s">
        <v>230</v>
      </c>
      <c r="D229" s="170">
        <v>431.7</v>
      </c>
      <c r="E229" s="173">
        <v>0.995</v>
      </c>
      <c r="F229" s="174">
        <f t="shared" si="128"/>
        <v>429.54149999999998</v>
      </c>
      <c r="G229" s="6">
        <f t="shared" si="103"/>
        <v>0</v>
      </c>
      <c r="H229" s="7"/>
      <c r="I229" s="3" t="str">
        <f t="shared" si="104"/>
        <v>0</v>
      </c>
      <c r="J229" s="3" t="str">
        <f t="shared" si="105"/>
        <v>0</v>
      </c>
      <c r="K229" s="3" t="str">
        <f t="shared" si="106"/>
        <v>0</v>
      </c>
      <c r="L229" s="3" t="str">
        <f t="shared" si="107"/>
        <v>0</v>
      </c>
      <c r="M229" s="3">
        <f t="shared" si="108"/>
        <v>0</v>
      </c>
      <c r="N229" s="3">
        <f t="shared" si="109"/>
        <v>0</v>
      </c>
      <c r="O229" s="3">
        <f t="shared" si="110"/>
        <v>431.7</v>
      </c>
      <c r="P229" s="3" t="str">
        <f t="shared" si="111"/>
        <v>0</v>
      </c>
      <c r="Q229" s="3">
        <f t="shared" si="112"/>
        <v>429.54149999999998</v>
      </c>
      <c r="R229" s="3" t="str">
        <f t="shared" si="113"/>
        <v>0</v>
      </c>
      <c r="S229" s="3">
        <f t="shared" si="114"/>
        <v>0</v>
      </c>
      <c r="T229" s="3" t="str">
        <f t="shared" si="115"/>
        <v>0</v>
      </c>
      <c r="U229" s="3"/>
      <c r="V229" s="3"/>
      <c r="W229" s="3"/>
      <c r="X229" s="3"/>
      <c r="Y229" s="3"/>
      <c r="Z229" s="3"/>
    </row>
    <row r="230" spans="1:26" x14ac:dyDescent="0.25">
      <c r="A230" s="175">
        <v>46200</v>
      </c>
      <c r="B230" s="3" t="s">
        <v>209</v>
      </c>
      <c r="C230" s="169" t="s">
        <v>239</v>
      </c>
      <c r="D230" s="170">
        <v>804.1</v>
      </c>
      <c r="E230" s="173">
        <v>0.995</v>
      </c>
      <c r="F230" s="174">
        <f>+D230*E230</f>
        <v>800.07950000000005</v>
      </c>
      <c r="G230" s="6">
        <f t="shared" si="103"/>
        <v>0</v>
      </c>
      <c r="H230" s="7"/>
      <c r="I230" s="3" t="str">
        <f t="shared" si="104"/>
        <v>0</v>
      </c>
      <c r="J230" s="3" t="str">
        <f t="shared" si="105"/>
        <v>0</v>
      </c>
      <c r="K230" s="3" t="str">
        <f t="shared" si="106"/>
        <v>0</v>
      </c>
      <c r="L230" s="3" t="str">
        <f t="shared" si="107"/>
        <v>0</v>
      </c>
      <c r="M230" s="3">
        <f t="shared" si="108"/>
        <v>0</v>
      </c>
      <c r="N230" s="3">
        <f t="shared" si="109"/>
        <v>0</v>
      </c>
      <c r="O230" s="3" t="str">
        <f t="shared" si="110"/>
        <v>0</v>
      </c>
      <c r="P230" s="3">
        <f t="shared" si="111"/>
        <v>804.1</v>
      </c>
      <c r="Q230" s="3" t="str">
        <f t="shared" si="112"/>
        <v>0</v>
      </c>
      <c r="R230" s="3">
        <f t="shared" si="113"/>
        <v>800.07950000000005</v>
      </c>
      <c r="S230" s="3">
        <f t="shared" si="114"/>
        <v>0</v>
      </c>
      <c r="T230" s="3">
        <f t="shared" si="115"/>
        <v>0</v>
      </c>
      <c r="U230" s="3"/>
      <c r="V230" s="3"/>
      <c r="W230" s="3"/>
      <c r="X230" s="3"/>
      <c r="Y230" s="3"/>
      <c r="Z230" s="3"/>
    </row>
    <row r="231" spans="1:26" x14ac:dyDescent="0.25">
      <c r="A231" s="175">
        <v>46202</v>
      </c>
      <c r="B231" s="3" t="s">
        <v>169</v>
      </c>
      <c r="C231" s="169" t="s">
        <v>228</v>
      </c>
      <c r="D231" s="170">
        <v>2792</v>
      </c>
      <c r="E231" s="171">
        <v>0.88</v>
      </c>
      <c r="F231" s="172">
        <f>+D231*E231</f>
        <v>2456.96</v>
      </c>
      <c r="G231" s="172">
        <f>+H231/D231</f>
        <v>10.274176217765042</v>
      </c>
      <c r="H231" s="176">
        <v>28685.5</v>
      </c>
      <c r="I231" s="158">
        <f t="shared" si="104"/>
        <v>2792</v>
      </c>
      <c r="J231" s="3" t="str">
        <f t="shared" si="105"/>
        <v>0</v>
      </c>
      <c r="K231" s="3">
        <f t="shared" si="106"/>
        <v>2456.96</v>
      </c>
      <c r="L231" s="3" t="str">
        <f t="shared" si="107"/>
        <v>0</v>
      </c>
      <c r="M231" s="3">
        <f t="shared" si="108"/>
        <v>30119.775000000001</v>
      </c>
      <c r="N231" s="3">
        <f t="shared" si="109"/>
        <v>0</v>
      </c>
      <c r="O231" s="3" t="str">
        <f t="shared" si="110"/>
        <v>0</v>
      </c>
      <c r="P231" s="3" t="str">
        <f t="shared" si="111"/>
        <v>0</v>
      </c>
      <c r="Q231" s="3" t="str">
        <f t="shared" si="112"/>
        <v>0</v>
      </c>
      <c r="R231" s="3" t="str">
        <f t="shared" si="113"/>
        <v>0</v>
      </c>
      <c r="S231" s="3">
        <f t="shared" si="114"/>
        <v>0</v>
      </c>
      <c r="T231" s="3" t="str">
        <f t="shared" si="115"/>
        <v>0</v>
      </c>
      <c r="U231" s="3"/>
      <c r="V231" s="3"/>
      <c r="W231" s="3"/>
      <c r="X231" s="3"/>
      <c r="Y231" s="3"/>
      <c r="Z231" s="3"/>
    </row>
    <row r="232" spans="1:26" x14ac:dyDescent="0.25">
      <c r="A232" s="175">
        <v>46202</v>
      </c>
      <c r="B232" s="3" t="s">
        <v>169</v>
      </c>
      <c r="C232" s="169" t="s">
        <v>247</v>
      </c>
      <c r="D232" s="170">
        <v>87.9</v>
      </c>
      <c r="E232" s="171">
        <v>0.88</v>
      </c>
      <c r="F232" s="172">
        <f t="shared" ref="F232:F235" si="129">+D232*E232</f>
        <v>77.352000000000004</v>
      </c>
      <c r="G232" s="172">
        <f t="shared" ref="G232:G235" si="130">+H232/D232</f>
        <v>10</v>
      </c>
      <c r="H232" s="176">
        <v>879</v>
      </c>
      <c r="I232" s="158">
        <f t="shared" si="104"/>
        <v>87.9</v>
      </c>
      <c r="J232" s="3" t="str">
        <f t="shared" si="105"/>
        <v>0</v>
      </c>
      <c r="K232" s="3">
        <f t="shared" si="106"/>
        <v>77.352000000000004</v>
      </c>
      <c r="L232" s="3" t="str">
        <f t="shared" si="107"/>
        <v>0</v>
      </c>
      <c r="M232" s="3">
        <f t="shared" si="108"/>
        <v>922.95</v>
      </c>
      <c r="N232" s="3">
        <f t="shared" si="109"/>
        <v>0</v>
      </c>
      <c r="O232" s="3" t="str">
        <f t="shared" si="110"/>
        <v>0</v>
      </c>
      <c r="P232" s="3" t="str">
        <f t="shared" si="111"/>
        <v>0</v>
      </c>
      <c r="Q232" s="3" t="str">
        <f t="shared" si="112"/>
        <v>0</v>
      </c>
      <c r="R232" s="3" t="str">
        <f t="shared" si="113"/>
        <v>0</v>
      </c>
      <c r="S232" s="3">
        <f t="shared" si="114"/>
        <v>0</v>
      </c>
      <c r="T232" s="3" t="str">
        <f t="shared" si="115"/>
        <v>0</v>
      </c>
      <c r="U232" s="3"/>
      <c r="V232" s="3"/>
      <c r="W232" s="3"/>
      <c r="X232" s="3"/>
      <c r="Y232" s="3"/>
      <c r="Z232" s="3"/>
    </row>
    <row r="233" spans="1:26" x14ac:dyDescent="0.25">
      <c r="A233" s="175">
        <v>46202</v>
      </c>
      <c r="B233" s="3" t="s">
        <v>169</v>
      </c>
      <c r="C233" s="169" t="s">
        <v>236</v>
      </c>
      <c r="D233" s="170">
        <v>1421.2</v>
      </c>
      <c r="E233" s="171">
        <v>0.92</v>
      </c>
      <c r="F233" s="172">
        <f t="shared" si="129"/>
        <v>1307.5040000000001</v>
      </c>
      <c r="G233" s="172">
        <f t="shared" si="130"/>
        <v>4</v>
      </c>
      <c r="H233" s="176">
        <v>5684.8</v>
      </c>
      <c r="I233" s="158">
        <f t="shared" si="104"/>
        <v>1421.2</v>
      </c>
      <c r="J233" s="3" t="str">
        <f t="shared" si="105"/>
        <v>0</v>
      </c>
      <c r="K233" s="3">
        <f t="shared" si="106"/>
        <v>1307.5040000000001</v>
      </c>
      <c r="L233" s="3" t="str">
        <f t="shared" si="107"/>
        <v>0</v>
      </c>
      <c r="M233" s="3">
        <f t="shared" si="108"/>
        <v>5969.04</v>
      </c>
      <c r="N233" s="3">
        <f t="shared" si="109"/>
        <v>0</v>
      </c>
      <c r="O233" s="3" t="str">
        <f t="shared" si="110"/>
        <v>0</v>
      </c>
      <c r="P233" s="3" t="str">
        <f t="shared" si="111"/>
        <v>0</v>
      </c>
      <c r="Q233" s="3" t="str">
        <f t="shared" si="112"/>
        <v>0</v>
      </c>
      <c r="R233" s="3" t="str">
        <f t="shared" si="113"/>
        <v>0</v>
      </c>
      <c r="S233" s="3">
        <f t="shared" si="114"/>
        <v>0</v>
      </c>
      <c r="T233" s="3" t="str">
        <f t="shared" si="115"/>
        <v>0</v>
      </c>
      <c r="U233" s="3"/>
      <c r="V233" s="3"/>
      <c r="W233" s="3"/>
      <c r="X233" s="3"/>
      <c r="Y233" s="3"/>
      <c r="Z233" s="3"/>
    </row>
    <row r="234" spans="1:26" x14ac:dyDescent="0.25">
      <c r="A234" s="175">
        <v>46202</v>
      </c>
      <c r="B234" s="3" t="s">
        <v>169</v>
      </c>
      <c r="C234" s="3" t="s">
        <v>230</v>
      </c>
      <c r="D234" s="170">
        <v>561.5</v>
      </c>
      <c r="E234" s="171">
        <v>0.88</v>
      </c>
      <c r="F234" s="172">
        <f t="shared" si="129"/>
        <v>494.12</v>
      </c>
      <c r="G234" s="172">
        <f t="shared" si="130"/>
        <v>4.5</v>
      </c>
      <c r="H234" s="176">
        <v>2526.75</v>
      </c>
      <c r="I234" s="158">
        <f t="shared" si="104"/>
        <v>561.5</v>
      </c>
      <c r="J234" s="3" t="str">
        <f t="shared" si="105"/>
        <v>0</v>
      </c>
      <c r="K234" s="3">
        <f t="shared" si="106"/>
        <v>494.12</v>
      </c>
      <c r="L234" s="3" t="str">
        <f t="shared" si="107"/>
        <v>0</v>
      </c>
      <c r="M234" s="3">
        <f t="shared" si="108"/>
        <v>2653.0875000000001</v>
      </c>
      <c r="N234" s="3">
        <f t="shared" si="109"/>
        <v>0</v>
      </c>
      <c r="O234" s="3" t="str">
        <f t="shared" si="110"/>
        <v>0</v>
      </c>
      <c r="P234" s="3" t="str">
        <f t="shared" si="111"/>
        <v>0</v>
      </c>
      <c r="Q234" s="3" t="str">
        <f t="shared" si="112"/>
        <v>0</v>
      </c>
      <c r="R234" s="3" t="str">
        <f t="shared" si="113"/>
        <v>0</v>
      </c>
      <c r="S234" s="3">
        <f t="shared" si="114"/>
        <v>0</v>
      </c>
      <c r="T234" s="3" t="str">
        <f t="shared" si="115"/>
        <v>0</v>
      </c>
      <c r="U234" s="3"/>
      <c r="V234" s="3"/>
      <c r="W234" s="3"/>
      <c r="X234" s="3"/>
      <c r="Y234" s="3"/>
      <c r="Z234" s="3"/>
    </row>
    <row r="235" spans="1:26" x14ac:dyDescent="0.25">
      <c r="A235" s="175">
        <v>46202</v>
      </c>
      <c r="B235" s="3" t="s">
        <v>169</v>
      </c>
      <c r="C235" s="169" t="s">
        <v>232</v>
      </c>
      <c r="D235" s="170">
        <v>983.2</v>
      </c>
      <c r="E235" s="171">
        <v>0.88</v>
      </c>
      <c r="F235" s="172">
        <f t="shared" si="129"/>
        <v>865.21600000000001</v>
      </c>
      <c r="G235" s="172">
        <f t="shared" si="130"/>
        <v>5</v>
      </c>
      <c r="H235" s="176">
        <v>4916</v>
      </c>
      <c r="I235" s="158">
        <f t="shared" si="104"/>
        <v>983.2</v>
      </c>
      <c r="J235" s="3" t="str">
        <f t="shared" si="105"/>
        <v>0</v>
      </c>
      <c r="K235" s="3">
        <f t="shared" si="106"/>
        <v>865.21600000000001</v>
      </c>
      <c r="L235" s="3" t="str">
        <f t="shared" si="107"/>
        <v>0</v>
      </c>
      <c r="M235" s="3">
        <f t="shared" si="108"/>
        <v>5161.8</v>
      </c>
      <c r="N235" s="3">
        <f t="shared" si="109"/>
        <v>0</v>
      </c>
      <c r="O235" s="3" t="str">
        <f t="shared" si="110"/>
        <v>0</v>
      </c>
      <c r="P235" s="3" t="str">
        <f t="shared" si="111"/>
        <v>0</v>
      </c>
      <c r="Q235" s="3" t="str">
        <f t="shared" si="112"/>
        <v>0</v>
      </c>
      <c r="R235" s="3" t="str">
        <f t="shared" si="113"/>
        <v>0</v>
      </c>
      <c r="S235" s="3">
        <f t="shared" si="114"/>
        <v>0</v>
      </c>
      <c r="T235" s="3" t="str">
        <f t="shared" si="115"/>
        <v>0</v>
      </c>
      <c r="U235" s="3"/>
      <c r="V235" s="3"/>
      <c r="W235" s="3"/>
      <c r="X235" s="3"/>
      <c r="Y235" s="3"/>
      <c r="Z235" s="3"/>
    </row>
    <row r="236" spans="1:26" x14ac:dyDescent="0.25">
      <c r="A236" s="175">
        <v>46202</v>
      </c>
      <c r="B236" s="3" t="s">
        <v>170</v>
      </c>
      <c r="C236" s="3" t="s">
        <v>235</v>
      </c>
      <c r="D236" s="170">
        <v>541.03</v>
      </c>
      <c r="E236" s="173">
        <v>0.995</v>
      </c>
      <c r="F236" s="174">
        <f t="shared" ref="F236:F241" si="131">D236*E236</f>
        <v>538.32484999999997</v>
      </c>
      <c r="G236" s="6">
        <f t="shared" si="103"/>
        <v>0</v>
      </c>
      <c r="H236" s="7"/>
      <c r="I236" s="158" t="str">
        <f t="shared" si="104"/>
        <v>0</v>
      </c>
      <c r="J236" s="3" t="str">
        <f t="shared" si="105"/>
        <v>0</v>
      </c>
      <c r="K236" s="3" t="str">
        <f t="shared" si="106"/>
        <v>0</v>
      </c>
      <c r="L236" s="3" t="str">
        <f t="shared" si="107"/>
        <v>0</v>
      </c>
      <c r="M236" s="3">
        <f t="shared" si="108"/>
        <v>0</v>
      </c>
      <c r="N236" s="3">
        <f t="shared" si="109"/>
        <v>0</v>
      </c>
      <c r="O236" s="3">
        <f t="shared" si="110"/>
        <v>541.03</v>
      </c>
      <c r="P236" s="3" t="str">
        <f t="shared" si="111"/>
        <v>0</v>
      </c>
      <c r="Q236" s="3">
        <f t="shared" si="112"/>
        <v>538.32484999999997</v>
      </c>
      <c r="R236" s="3" t="str">
        <f t="shared" si="113"/>
        <v>0</v>
      </c>
      <c r="S236" s="3">
        <f t="shared" si="114"/>
        <v>0</v>
      </c>
      <c r="T236" s="3" t="str">
        <f t="shared" si="115"/>
        <v>0</v>
      </c>
      <c r="U236" s="3"/>
      <c r="V236" s="3"/>
      <c r="W236" s="3"/>
      <c r="X236" s="3"/>
      <c r="Y236" s="3"/>
      <c r="Z236" s="3"/>
    </row>
    <row r="237" spans="1:26" x14ac:dyDescent="0.25">
      <c r="A237" s="175">
        <v>46202</v>
      </c>
      <c r="B237" s="3" t="s">
        <v>170</v>
      </c>
      <c r="C237" s="3" t="s">
        <v>230</v>
      </c>
      <c r="D237" s="170">
        <v>421</v>
      </c>
      <c r="E237" s="173">
        <v>0.995</v>
      </c>
      <c r="F237" s="174">
        <f t="shared" si="131"/>
        <v>418.89499999999998</v>
      </c>
      <c r="G237" s="6">
        <f t="shared" si="103"/>
        <v>0</v>
      </c>
      <c r="H237" s="7"/>
      <c r="I237" s="158" t="str">
        <f t="shared" si="104"/>
        <v>0</v>
      </c>
      <c r="J237" s="3" t="str">
        <f t="shared" si="105"/>
        <v>0</v>
      </c>
      <c r="K237" s="3" t="str">
        <f t="shared" si="106"/>
        <v>0</v>
      </c>
      <c r="L237" s="3" t="str">
        <f t="shared" si="107"/>
        <v>0</v>
      </c>
      <c r="M237" s="3">
        <f t="shared" si="108"/>
        <v>0</v>
      </c>
      <c r="N237" s="3">
        <f t="shared" si="109"/>
        <v>0</v>
      </c>
      <c r="O237" s="3">
        <f t="shared" si="110"/>
        <v>421</v>
      </c>
      <c r="P237" s="3" t="str">
        <f t="shared" si="111"/>
        <v>0</v>
      </c>
      <c r="Q237" s="3">
        <f t="shared" si="112"/>
        <v>418.89499999999998</v>
      </c>
      <c r="R237" s="3" t="str">
        <f t="shared" si="113"/>
        <v>0</v>
      </c>
      <c r="S237" s="3">
        <f t="shared" si="114"/>
        <v>0</v>
      </c>
      <c r="T237" s="3" t="str">
        <f t="shared" si="115"/>
        <v>0</v>
      </c>
      <c r="U237" s="3"/>
      <c r="V237" s="3"/>
      <c r="W237" s="3"/>
      <c r="X237" s="3"/>
      <c r="Y237" s="3"/>
      <c r="Z237" s="3"/>
    </row>
    <row r="238" spans="1:26" x14ac:dyDescent="0.25">
      <c r="A238" s="175">
        <v>46202</v>
      </c>
      <c r="B238" s="3" t="s">
        <v>170</v>
      </c>
      <c r="C238" s="169" t="s">
        <v>228</v>
      </c>
      <c r="D238" s="170">
        <v>2000</v>
      </c>
      <c r="E238" s="173">
        <v>0.995</v>
      </c>
      <c r="F238" s="174">
        <f t="shared" si="131"/>
        <v>1990</v>
      </c>
      <c r="G238" s="6">
        <f t="shared" si="103"/>
        <v>0</v>
      </c>
      <c r="H238" s="7"/>
      <c r="I238" s="158" t="str">
        <f t="shared" si="104"/>
        <v>0</v>
      </c>
      <c r="J238" s="3" t="str">
        <f t="shared" si="105"/>
        <v>0</v>
      </c>
      <c r="K238" s="3" t="str">
        <f t="shared" si="106"/>
        <v>0</v>
      </c>
      <c r="L238" s="3" t="str">
        <f t="shared" si="107"/>
        <v>0</v>
      </c>
      <c r="M238" s="3">
        <f t="shared" si="108"/>
        <v>0</v>
      </c>
      <c r="N238" s="3">
        <f t="shared" si="109"/>
        <v>0</v>
      </c>
      <c r="O238" s="3">
        <f t="shared" si="110"/>
        <v>2000</v>
      </c>
      <c r="P238" s="3" t="str">
        <f t="shared" si="111"/>
        <v>0</v>
      </c>
      <c r="Q238" s="3">
        <f t="shared" si="112"/>
        <v>1990</v>
      </c>
      <c r="R238" s="3" t="str">
        <f t="shared" si="113"/>
        <v>0</v>
      </c>
      <c r="S238" s="3">
        <f t="shared" si="114"/>
        <v>0</v>
      </c>
      <c r="T238" s="3" t="str">
        <f t="shared" si="115"/>
        <v>0</v>
      </c>
      <c r="U238" s="3"/>
      <c r="V238" s="3"/>
      <c r="W238" s="3"/>
      <c r="X238" s="3"/>
      <c r="Y238" s="3"/>
      <c r="Z238" s="3"/>
    </row>
    <row r="239" spans="1:26" x14ac:dyDescent="0.25">
      <c r="A239" s="175">
        <v>46202</v>
      </c>
      <c r="B239" s="3" t="s">
        <v>170</v>
      </c>
      <c r="C239" s="169" t="s">
        <v>236</v>
      </c>
      <c r="D239" s="170">
        <v>1314.07</v>
      </c>
      <c r="E239" s="173">
        <v>0.995</v>
      </c>
      <c r="F239" s="174">
        <f t="shared" si="131"/>
        <v>1307.49965</v>
      </c>
      <c r="G239" s="6">
        <f t="shared" si="103"/>
        <v>0</v>
      </c>
      <c r="H239" s="7"/>
      <c r="I239" s="158" t="str">
        <f t="shared" si="104"/>
        <v>0</v>
      </c>
      <c r="J239" s="3" t="str">
        <f t="shared" si="105"/>
        <v>0</v>
      </c>
      <c r="K239" s="3" t="str">
        <f t="shared" si="106"/>
        <v>0</v>
      </c>
      <c r="L239" s="3" t="str">
        <f t="shared" si="107"/>
        <v>0</v>
      </c>
      <c r="M239" s="3">
        <f t="shared" si="108"/>
        <v>0</v>
      </c>
      <c r="N239" s="3">
        <f t="shared" si="109"/>
        <v>0</v>
      </c>
      <c r="O239" s="3">
        <f t="shared" si="110"/>
        <v>1314.07</v>
      </c>
      <c r="P239" s="3" t="str">
        <f t="shared" si="111"/>
        <v>0</v>
      </c>
      <c r="Q239" s="3">
        <f t="shared" si="112"/>
        <v>1307.49965</v>
      </c>
      <c r="R239" s="3" t="str">
        <f t="shared" si="113"/>
        <v>0</v>
      </c>
      <c r="S239" s="3">
        <f t="shared" si="114"/>
        <v>0</v>
      </c>
      <c r="T239" s="3" t="str">
        <f t="shared" si="115"/>
        <v>0</v>
      </c>
      <c r="U239" s="3"/>
      <c r="V239" s="3"/>
      <c r="W239" s="3"/>
      <c r="X239" s="3"/>
      <c r="Y239" s="3"/>
      <c r="Z239" s="3"/>
    </row>
    <row r="240" spans="1:26" x14ac:dyDescent="0.25">
      <c r="A240" s="175">
        <v>46202</v>
      </c>
      <c r="B240" s="3" t="s">
        <v>170</v>
      </c>
      <c r="C240" s="169" t="s">
        <v>229</v>
      </c>
      <c r="D240" s="170">
        <v>852</v>
      </c>
      <c r="E240" s="173">
        <v>0.995</v>
      </c>
      <c r="F240" s="174">
        <f t="shared" si="131"/>
        <v>847.74</v>
      </c>
      <c r="G240" s="6">
        <f t="shared" si="103"/>
        <v>0</v>
      </c>
      <c r="H240" s="7"/>
      <c r="I240" s="158" t="str">
        <f t="shared" si="104"/>
        <v>0</v>
      </c>
      <c r="J240" s="3" t="str">
        <f t="shared" si="105"/>
        <v>0</v>
      </c>
      <c r="K240" s="3" t="str">
        <f t="shared" si="106"/>
        <v>0</v>
      </c>
      <c r="L240" s="3" t="str">
        <f t="shared" si="107"/>
        <v>0</v>
      </c>
      <c r="M240" s="3">
        <f t="shared" si="108"/>
        <v>0</v>
      </c>
      <c r="N240" s="3">
        <f t="shared" si="109"/>
        <v>0</v>
      </c>
      <c r="O240" s="3">
        <f t="shared" si="110"/>
        <v>852</v>
      </c>
      <c r="P240" s="3" t="str">
        <f t="shared" si="111"/>
        <v>0</v>
      </c>
      <c r="Q240" s="3">
        <f t="shared" si="112"/>
        <v>847.74</v>
      </c>
      <c r="R240" s="3" t="str">
        <f t="shared" si="113"/>
        <v>0</v>
      </c>
      <c r="S240" s="3">
        <f t="shared" si="114"/>
        <v>0</v>
      </c>
      <c r="T240" s="3" t="str">
        <f t="shared" si="115"/>
        <v>0</v>
      </c>
      <c r="U240" s="3"/>
      <c r="V240" s="3"/>
      <c r="W240" s="3"/>
      <c r="X240" s="3"/>
      <c r="Y240" s="3"/>
      <c r="Z240" s="3"/>
    </row>
    <row r="241" spans="1:26" x14ac:dyDescent="0.25">
      <c r="A241" s="175">
        <v>46202</v>
      </c>
      <c r="B241" s="3" t="s">
        <v>170</v>
      </c>
      <c r="C241" s="169" t="s">
        <v>232</v>
      </c>
      <c r="D241" s="170">
        <v>1000</v>
      </c>
      <c r="E241" s="173">
        <v>1</v>
      </c>
      <c r="F241" s="174">
        <f t="shared" si="131"/>
        <v>1000</v>
      </c>
      <c r="G241" s="6">
        <f t="shared" si="103"/>
        <v>0</v>
      </c>
      <c r="H241" s="7"/>
      <c r="I241" s="158" t="str">
        <f t="shared" si="104"/>
        <v>0</v>
      </c>
      <c r="J241" s="3" t="str">
        <f t="shared" si="105"/>
        <v>0</v>
      </c>
      <c r="K241" s="3" t="str">
        <f t="shared" si="106"/>
        <v>0</v>
      </c>
      <c r="L241" s="3" t="str">
        <f t="shared" si="107"/>
        <v>0</v>
      </c>
      <c r="M241" s="3">
        <f t="shared" si="108"/>
        <v>0</v>
      </c>
      <c r="N241" s="3">
        <f t="shared" si="109"/>
        <v>0</v>
      </c>
      <c r="O241" s="3">
        <f t="shared" si="110"/>
        <v>1000</v>
      </c>
      <c r="P241" s="3" t="str">
        <f t="shared" si="111"/>
        <v>0</v>
      </c>
      <c r="Q241" s="3">
        <f t="shared" si="112"/>
        <v>1000</v>
      </c>
      <c r="R241" s="3" t="str">
        <f t="shared" si="113"/>
        <v>0</v>
      </c>
      <c r="S241" s="3">
        <f t="shared" si="114"/>
        <v>0</v>
      </c>
      <c r="T241" s="3" t="str">
        <f t="shared" si="115"/>
        <v>0</v>
      </c>
      <c r="U241" s="3"/>
      <c r="V241" s="3"/>
      <c r="W241" s="3"/>
      <c r="X241" s="3"/>
      <c r="Y241" s="3"/>
      <c r="Z241" s="3"/>
    </row>
    <row r="242" spans="1:26" x14ac:dyDescent="0.25">
      <c r="A242" s="175">
        <v>46202</v>
      </c>
      <c r="B242" s="3" t="s">
        <v>210</v>
      </c>
      <c r="C242" s="169" t="s">
        <v>236</v>
      </c>
      <c r="D242" s="4"/>
      <c r="E242" s="5"/>
      <c r="F242" s="6">
        <f t="shared" si="116"/>
        <v>0</v>
      </c>
      <c r="G242" s="6" t="e">
        <f t="shared" si="103"/>
        <v>#DIV/0!</v>
      </c>
      <c r="H242" s="7"/>
      <c r="I242" s="3" t="str">
        <f t="shared" si="104"/>
        <v>0</v>
      </c>
      <c r="J242" s="3" t="str">
        <f t="shared" si="105"/>
        <v>0</v>
      </c>
      <c r="K242" s="3" t="str">
        <f t="shared" si="106"/>
        <v>0</v>
      </c>
      <c r="L242" s="3" t="str">
        <f t="shared" si="107"/>
        <v>0</v>
      </c>
      <c r="M242" s="3">
        <f t="shared" si="108"/>
        <v>0</v>
      </c>
      <c r="N242" s="3">
        <f t="shared" si="109"/>
        <v>0</v>
      </c>
      <c r="O242" s="3" t="str">
        <f t="shared" si="110"/>
        <v>0</v>
      </c>
      <c r="P242" s="3" t="str">
        <f t="shared" si="111"/>
        <v>0</v>
      </c>
      <c r="Q242" s="3" t="str">
        <f t="shared" si="112"/>
        <v>0</v>
      </c>
      <c r="R242" s="3" t="str">
        <f t="shared" si="113"/>
        <v>0</v>
      </c>
      <c r="S242" s="3">
        <f t="shared" si="114"/>
        <v>0</v>
      </c>
      <c r="T242" s="3" t="str">
        <f t="shared" si="115"/>
        <v>0</v>
      </c>
      <c r="U242" s="3">
        <v>5970</v>
      </c>
      <c r="V242" s="3"/>
      <c r="W242" s="3"/>
      <c r="X242" s="3"/>
      <c r="Y242" s="3"/>
      <c r="Z242" s="3"/>
    </row>
    <row r="243" spans="1:26" x14ac:dyDescent="0.25">
      <c r="A243" s="175">
        <v>46202</v>
      </c>
      <c r="B243" s="3" t="s">
        <v>210</v>
      </c>
      <c r="C243" s="3" t="s">
        <v>249</v>
      </c>
      <c r="D243" s="4"/>
      <c r="E243" s="5"/>
      <c r="F243" s="6">
        <f t="shared" si="116"/>
        <v>0</v>
      </c>
      <c r="G243" s="6" t="e">
        <f t="shared" si="103"/>
        <v>#DIV/0!</v>
      </c>
      <c r="H243" s="7"/>
      <c r="I243" s="3" t="str">
        <f t="shared" si="104"/>
        <v>0</v>
      </c>
      <c r="J243" s="3" t="str">
        <f t="shared" si="105"/>
        <v>0</v>
      </c>
      <c r="K243" s="3" t="str">
        <f t="shared" si="106"/>
        <v>0</v>
      </c>
      <c r="L243" s="3" t="str">
        <f t="shared" si="107"/>
        <v>0</v>
      </c>
      <c r="M243" s="3">
        <f t="shared" si="108"/>
        <v>0</v>
      </c>
      <c r="N243" s="3">
        <f t="shared" si="109"/>
        <v>0</v>
      </c>
      <c r="O243" s="3" t="str">
        <f t="shared" si="110"/>
        <v>0</v>
      </c>
      <c r="P243" s="3" t="str">
        <f t="shared" si="111"/>
        <v>0</v>
      </c>
      <c r="Q243" s="3" t="str">
        <f t="shared" si="112"/>
        <v>0</v>
      </c>
      <c r="R243" s="3" t="str">
        <f t="shared" si="113"/>
        <v>0</v>
      </c>
      <c r="S243" s="3">
        <f t="shared" si="114"/>
        <v>0</v>
      </c>
      <c r="T243" s="3" t="str">
        <f t="shared" si="115"/>
        <v>0</v>
      </c>
      <c r="U243" s="3">
        <v>30000</v>
      </c>
      <c r="V243" s="3"/>
      <c r="W243" s="3"/>
      <c r="X243" s="3"/>
      <c r="Y243" s="3"/>
      <c r="Z243" s="3"/>
    </row>
    <row r="244" spans="1:26" x14ac:dyDescent="0.25">
      <c r="A244" s="2">
        <v>46143</v>
      </c>
      <c r="B244" s="3" t="s">
        <v>169</v>
      </c>
      <c r="C244" s="169" t="s">
        <v>247</v>
      </c>
      <c r="D244" s="4">
        <v>95.7</v>
      </c>
      <c r="E244" s="5">
        <v>0.88</v>
      </c>
      <c r="F244" s="6">
        <f>+D244*E244</f>
        <v>84.216000000000008</v>
      </c>
      <c r="G244" s="6">
        <f>+H244/D244</f>
        <v>11</v>
      </c>
      <c r="H244" s="7">
        <v>1052.7</v>
      </c>
      <c r="I244" s="3">
        <f t="shared" si="104"/>
        <v>95.7</v>
      </c>
      <c r="J244" s="3" t="str">
        <f t="shared" si="105"/>
        <v>0</v>
      </c>
      <c r="K244" s="3">
        <f t="shared" si="106"/>
        <v>84.216000000000008</v>
      </c>
      <c r="L244" s="3" t="str">
        <f t="shared" si="107"/>
        <v>0</v>
      </c>
      <c r="M244" s="3">
        <f t="shared" si="108"/>
        <v>1105.335</v>
      </c>
      <c r="N244" s="3">
        <f t="shared" si="109"/>
        <v>0</v>
      </c>
      <c r="O244" s="3" t="str">
        <f t="shared" si="110"/>
        <v>0</v>
      </c>
      <c r="P244" s="3" t="str">
        <f t="shared" si="111"/>
        <v>0</v>
      </c>
      <c r="Q244" s="3" t="str">
        <f t="shared" si="112"/>
        <v>0</v>
      </c>
      <c r="R244" s="3" t="str">
        <f t="shared" si="113"/>
        <v>0</v>
      </c>
      <c r="S244" s="3">
        <f t="shared" si="114"/>
        <v>0</v>
      </c>
      <c r="T244" s="3" t="str">
        <f t="shared" si="115"/>
        <v>0</v>
      </c>
      <c r="U244" s="3"/>
      <c r="V244" s="3"/>
      <c r="W244" s="3"/>
      <c r="X244" s="3"/>
      <c r="Y244" s="3"/>
      <c r="Z244" s="3"/>
    </row>
    <row r="245" spans="1:26" x14ac:dyDescent="0.25">
      <c r="A245" s="2">
        <v>46143</v>
      </c>
      <c r="B245" s="3" t="s">
        <v>169</v>
      </c>
      <c r="C245" s="3" t="s">
        <v>250</v>
      </c>
      <c r="D245" s="4">
        <v>90.6</v>
      </c>
      <c r="E245" s="5">
        <v>0.88</v>
      </c>
      <c r="F245" s="6">
        <f t="shared" ref="F245:F248" si="132">+D245*E245</f>
        <v>79.727999999999994</v>
      </c>
      <c r="G245" s="6">
        <f t="shared" ref="G245:G306" si="133">+H245/D245</f>
        <v>8.4988962472406193</v>
      </c>
      <c r="H245" s="7">
        <v>770</v>
      </c>
      <c r="I245" s="3">
        <f t="shared" si="104"/>
        <v>90.6</v>
      </c>
      <c r="J245" s="3" t="str">
        <f t="shared" si="105"/>
        <v>0</v>
      </c>
      <c r="K245" s="3">
        <f t="shared" si="106"/>
        <v>79.727999999999994</v>
      </c>
      <c r="L245" s="3" t="str">
        <f t="shared" si="107"/>
        <v>0</v>
      </c>
      <c r="M245" s="3">
        <f t="shared" si="108"/>
        <v>808.5</v>
      </c>
      <c r="N245" s="3">
        <f t="shared" si="109"/>
        <v>0</v>
      </c>
      <c r="O245" s="3" t="str">
        <f t="shared" si="110"/>
        <v>0</v>
      </c>
      <c r="P245" s="3" t="str">
        <f t="shared" si="111"/>
        <v>0</v>
      </c>
      <c r="Q245" s="3" t="str">
        <f t="shared" si="112"/>
        <v>0</v>
      </c>
      <c r="R245" s="3" t="str">
        <f t="shared" si="113"/>
        <v>0</v>
      </c>
      <c r="S245" s="3">
        <f t="shared" si="114"/>
        <v>0</v>
      </c>
      <c r="T245" s="3" t="str">
        <f t="shared" si="115"/>
        <v>0</v>
      </c>
      <c r="U245" s="3"/>
      <c r="V245" s="3"/>
      <c r="W245" s="3"/>
      <c r="X245" s="3"/>
      <c r="Y245" s="3"/>
      <c r="Z245" s="3"/>
    </row>
    <row r="246" spans="1:26" x14ac:dyDescent="0.25">
      <c r="A246" s="2">
        <v>46143</v>
      </c>
      <c r="B246" s="3" t="s">
        <v>169</v>
      </c>
      <c r="C246" s="3" t="s">
        <v>235</v>
      </c>
      <c r="D246" s="4">
        <v>398.99</v>
      </c>
      <c r="E246" s="5">
        <v>0.88</v>
      </c>
      <c r="F246" s="6">
        <f t="shared" si="132"/>
        <v>351.1112</v>
      </c>
      <c r="G246" s="6">
        <f t="shared" si="133"/>
        <v>9.8257600441113819</v>
      </c>
      <c r="H246" s="7">
        <v>3920.38</v>
      </c>
      <c r="I246" s="3">
        <f t="shared" si="104"/>
        <v>398.99</v>
      </c>
      <c r="J246" s="3" t="str">
        <f t="shared" si="105"/>
        <v>0</v>
      </c>
      <c r="K246" s="3">
        <f t="shared" si="106"/>
        <v>351.1112</v>
      </c>
      <c r="L246" s="3" t="str">
        <f t="shared" si="107"/>
        <v>0</v>
      </c>
      <c r="M246" s="3">
        <f t="shared" si="108"/>
        <v>4116.3990000000003</v>
      </c>
      <c r="N246" s="3">
        <f t="shared" si="109"/>
        <v>0</v>
      </c>
      <c r="O246" s="3" t="str">
        <f t="shared" si="110"/>
        <v>0</v>
      </c>
      <c r="P246" s="3" t="str">
        <f t="shared" si="111"/>
        <v>0</v>
      </c>
      <c r="Q246" s="3" t="str">
        <f t="shared" si="112"/>
        <v>0</v>
      </c>
      <c r="R246" s="3" t="str">
        <f t="shared" si="113"/>
        <v>0</v>
      </c>
      <c r="S246" s="3">
        <f t="shared" si="114"/>
        <v>0</v>
      </c>
      <c r="T246" s="3" t="str">
        <f t="shared" si="115"/>
        <v>0</v>
      </c>
      <c r="U246" s="3"/>
      <c r="V246" s="3"/>
      <c r="W246" s="3"/>
      <c r="X246" s="3"/>
      <c r="Y246" s="3"/>
      <c r="Z246" s="3"/>
    </row>
    <row r="247" spans="1:26" x14ac:dyDescent="0.25">
      <c r="A247" s="2">
        <v>46143</v>
      </c>
      <c r="B247" s="3" t="s">
        <v>169</v>
      </c>
      <c r="C247" s="169" t="s">
        <v>233</v>
      </c>
      <c r="D247" s="4">
        <v>239</v>
      </c>
      <c r="E247" s="5">
        <v>0.88</v>
      </c>
      <c r="F247" s="6">
        <f t="shared" si="132"/>
        <v>210.32</v>
      </c>
      <c r="G247" s="6">
        <f t="shared" si="133"/>
        <v>4.5502092050209209</v>
      </c>
      <c r="H247" s="7">
        <v>1087.5</v>
      </c>
      <c r="I247" s="3">
        <f t="shared" si="104"/>
        <v>239</v>
      </c>
      <c r="J247" s="3" t="str">
        <f t="shared" si="105"/>
        <v>0</v>
      </c>
      <c r="K247" s="3">
        <f t="shared" si="106"/>
        <v>210.32</v>
      </c>
      <c r="L247" s="3" t="str">
        <f t="shared" si="107"/>
        <v>0</v>
      </c>
      <c r="M247" s="3">
        <f t="shared" si="108"/>
        <v>1141.875</v>
      </c>
      <c r="N247" s="3">
        <f t="shared" si="109"/>
        <v>0</v>
      </c>
      <c r="O247" s="3" t="str">
        <f t="shared" si="110"/>
        <v>0</v>
      </c>
      <c r="P247" s="3" t="str">
        <f t="shared" si="111"/>
        <v>0</v>
      </c>
      <c r="Q247" s="3" t="str">
        <f t="shared" si="112"/>
        <v>0</v>
      </c>
      <c r="R247" s="3" t="str">
        <f t="shared" si="113"/>
        <v>0</v>
      </c>
      <c r="S247" s="3">
        <f t="shared" si="114"/>
        <v>0</v>
      </c>
      <c r="T247" s="3" t="str">
        <f t="shared" si="115"/>
        <v>0</v>
      </c>
      <c r="U247" s="3"/>
      <c r="V247" s="3"/>
      <c r="W247" s="3"/>
      <c r="X247" s="3"/>
      <c r="Y247" s="3"/>
      <c r="Z247" s="3"/>
    </row>
    <row r="248" spans="1:26" x14ac:dyDescent="0.25">
      <c r="A248" s="2">
        <v>46143</v>
      </c>
      <c r="B248" s="3" t="s">
        <v>169</v>
      </c>
      <c r="C248" s="169" t="s">
        <v>228</v>
      </c>
      <c r="D248" s="4">
        <v>2254.6999999999998</v>
      </c>
      <c r="E248" s="5">
        <v>0.88</v>
      </c>
      <c r="F248" s="6">
        <f t="shared" si="132"/>
        <v>1984.1359999999997</v>
      </c>
      <c r="G248" s="6">
        <f t="shared" si="133"/>
        <v>8.9491506630593882</v>
      </c>
      <c r="H248" s="7">
        <v>20177.650000000001</v>
      </c>
      <c r="I248" s="3">
        <f t="shared" si="104"/>
        <v>2254.6999999999998</v>
      </c>
      <c r="J248" s="3" t="str">
        <f t="shared" si="105"/>
        <v>0</v>
      </c>
      <c r="K248" s="3">
        <f t="shared" si="106"/>
        <v>1984.1359999999997</v>
      </c>
      <c r="L248" s="3" t="str">
        <f t="shared" si="107"/>
        <v>0</v>
      </c>
      <c r="M248" s="3">
        <f t="shared" si="108"/>
        <v>21186.532500000001</v>
      </c>
      <c r="N248" s="3">
        <f t="shared" si="109"/>
        <v>0</v>
      </c>
      <c r="O248" s="3" t="str">
        <f t="shared" si="110"/>
        <v>0</v>
      </c>
      <c r="P248" s="3" t="str">
        <f t="shared" si="111"/>
        <v>0</v>
      </c>
      <c r="Q248" s="3" t="str">
        <f t="shared" si="112"/>
        <v>0</v>
      </c>
      <c r="R248" s="3" t="str">
        <f t="shared" si="113"/>
        <v>0</v>
      </c>
      <c r="S248" s="3">
        <f t="shared" si="114"/>
        <v>0</v>
      </c>
      <c r="T248" s="3" t="str">
        <f t="shared" si="115"/>
        <v>0</v>
      </c>
      <c r="U248" s="3"/>
      <c r="V248" s="3"/>
      <c r="W248" s="3"/>
      <c r="X248" s="3"/>
      <c r="Y248" s="3"/>
      <c r="Z248" s="3"/>
    </row>
    <row r="249" spans="1:26" x14ac:dyDescent="0.25">
      <c r="A249" s="2">
        <v>46143</v>
      </c>
      <c r="B249" s="3" t="s">
        <v>170</v>
      </c>
      <c r="C249" s="3" t="s">
        <v>250</v>
      </c>
      <c r="D249" s="4">
        <v>343.3</v>
      </c>
      <c r="E249" s="209">
        <v>0.99990000000000001</v>
      </c>
      <c r="F249" s="184">
        <f t="shared" ref="F249:F250" si="134">D249*E249</f>
        <v>343.26567</v>
      </c>
      <c r="G249" s="6">
        <f t="shared" si="133"/>
        <v>0</v>
      </c>
      <c r="H249" s="3"/>
      <c r="I249" s="3" t="str">
        <f t="shared" si="104"/>
        <v>0</v>
      </c>
      <c r="J249" s="3" t="str">
        <f t="shared" si="105"/>
        <v>0</v>
      </c>
      <c r="K249" s="3" t="str">
        <f t="shared" si="106"/>
        <v>0</v>
      </c>
      <c r="L249" s="3" t="str">
        <f t="shared" si="107"/>
        <v>0</v>
      </c>
      <c r="M249" s="3">
        <f t="shared" si="108"/>
        <v>0</v>
      </c>
      <c r="N249" s="3">
        <f t="shared" si="109"/>
        <v>0</v>
      </c>
      <c r="O249" s="3">
        <f t="shared" si="110"/>
        <v>343.3</v>
      </c>
      <c r="P249" s="3" t="str">
        <f t="shared" si="111"/>
        <v>0</v>
      </c>
      <c r="Q249" s="3">
        <f t="shared" si="112"/>
        <v>343.26567</v>
      </c>
      <c r="R249" s="3" t="str">
        <f t="shared" si="113"/>
        <v>0</v>
      </c>
      <c r="S249" s="3">
        <f t="shared" si="114"/>
        <v>0</v>
      </c>
      <c r="T249" s="3" t="str">
        <f t="shared" si="115"/>
        <v>0</v>
      </c>
      <c r="U249" s="3"/>
      <c r="V249" s="3"/>
      <c r="W249" s="3"/>
      <c r="X249" s="3"/>
      <c r="Y249" s="3"/>
      <c r="Z249" s="3"/>
    </row>
    <row r="250" spans="1:26" x14ac:dyDescent="0.25">
      <c r="A250" s="2">
        <v>46143</v>
      </c>
      <c r="B250" s="3" t="s">
        <v>170</v>
      </c>
      <c r="C250" s="169" t="s">
        <v>228</v>
      </c>
      <c r="D250" s="4">
        <v>2000</v>
      </c>
      <c r="E250" s="209">
        <v>0.995</v>
      </c>
      <c r="F250" s="184">
        <f t="shared" si="134"/>
        <v>1990</v>
      </c>
      <c r="G250" s="6">
        <f t="shared" si="133"/>
        <v>0</v>
      </c>
      <c r="H250" s="3"/>
      <c r="I250" s="3" t="str">
        <f t="shared" si="104"/>
        <v>0</v>
      </c>
      <c r="J250" s="3" t="str">
        <f t="shared" si="105"/>
        <v>0</v>
      </c>
      <c r="K250" s="3" t="str">
        <f t="shared" si="106"/>
        <v>0</v>
      </c>
      <c r="L250" s="3" t="str">
        <f t="shared" si="107"/>
        <v>0</v>
      </c>
      <c r="M250" s="3">
        <f t="shared" si="108"/>
        <v>0</v>
      </c>
      <c r="N250" s="3">
        <f t="shared" si="109"/>
        <v>0</v>
      </c>
      <c r="O250" s="3">
        <f t="shared" si="110"/>
        <v>2000</v>
      </c>
      <c r="P250" s="3" t="str">
        <f t="shared" si="111"/>
        <v>0</v>
      </c>
      <c r="Q250" s="3">
        <f t="shared" si="112"/>
        <v>1990</v>
      </c>
      <c r="R250" s="3" t="str">
        <f t="shared" si="113"/>
        <v>0</v>
      </c>
      <c r="S250" s="3">
        <f t="shared" si="114"/>
        <v>0</v>
      </c>
      <c r="T250" s="3" t="str">
        <f t="shared" si="115"/>
        <v>0</v>
      </c>
      <c r="U250" s="3"/>
      <c r="V250" s="3"/>
      <c r="W250" s="3"/>
      <c r="X250" s="3"/>
      <c r="Y250" s="3"/>
      <c r="Z250" s="3"/>
    </row>
    <row r="251" spans="1:26" x14ac:dyDescent="0.25">
      <c r="A251" s="2">
        <v>46144</v>
      </c>
      <c r="B251" s="3" t="s">
        <v>169</v>
      </c>
      <c r="C251" s="169" t="s">
        <v>242</v>
      </c>
      <c r="D251" s="4">
        <v>1175.5</v>
      </c>
      <c r="E251" s="5">
        <v>0.88</v>
      </c>
      <c r="F251" s="6">
        <f>+D251*E251</f>
        <v>1034.44</v>
      </c>
      <c r="G251" s="6">
        <f>+H251/D251</f>
        <v>2.5</v>
      </c>
      <c r="H251" s="7">
        <v>2938.75</v>
      </c>
      <c r="I251" s="3">
        <f t="shared" si="104"/>
        <v>1175.5</v>
      </c>
      <c r="J251" s="3" t="str">
        <f t="shared" si="105"/>
        <v>0</v>
      </c>
      <c r="K251" s="3">
        <f t="shared" si="106"/>
        <v>1034.44</v>
      </c>
      <c r="L251" s="3" t="str">
        <f t="shared" si="107"/>
        <v>0</v>
      </c>
      <c r="M251" s="3">
        <f t="shared" si="108"/>
        <v>3085.6875</v>
      </c>
      <c r="N251" s="3">
        <f t="shared" si="109"/>
        <v>0</v>
      </c>
      <c r="O251" s="3" t="str">
        <f t="shared" si="110"/>
        <v>0</v>
      </c>
      <c r="P251" s="3" t="str">
        <f t="shared" si="111"/>
        <v>0</v>
      </c>
      <c r="Q251" s="3" t="str">
        <f t="shared" si="112"/>
        <v>0</v>
      </c>
      <c r="R251" s="3" t="str">
        <f t="shared" si="113"/>
        <v>0</v>
      </c>
      <c r="S251" s="3">
        <f t="shared" si="114"/>
        <v>0</v>
      </c>
      <c r="T251" s="3" t="str">
        <f t="shared" si="115"/>
        <v>0</v>
      </c>
      <c r="U251" s="3"/>
      <c r="V251" s="3"/>
      <c r="W251" s="3"/>
      <c r="X251" s="3"/>
      <c r="Y251" s="3"/>
      <c r="Z251" s="3"/>
    </row>
    <row r="252" spans="1:26" x14ac:dyDescent="0.25">
      <c r="A252" s="2">
        <v>46144</v>
      </c>
      <c r="B252" s="3" t="s">
        <v>169</v>
      </c>
      <c r="C252" s="169" t="s">
        <v>228</v>
      </c>
      <c r="D252" s="4">
        <v>1559.5</v>
      </c>
      <c r="E252" s="5">
        <v>0.88</v>
      </c>
      <c r="F252" s="6">
        <f t="shared" ref="F252:F253" si="135">+D252*E252</f>
        <v>1372.36</v>
      </c>
      <c r="G252" s="6">
        <f t="shared" ref="G252:G253" si="136">+H252/D252</f>
        <v>9.9684193651811484</v>
      </c>
      <c r="H252" s="7">
        <v>15545.75</v>
      </c>
      <c r="I252" s="3">
        <f t="shared" si="104"/>
        <v>1559.5</v>
      </c>
      <c r="J252" s="3" t="str">
        <f t="shared" si="105"/>
        <v>0</v>
      </c>
      <c r="K252" s="3">
        <f t="shared" si="106"/>
        <v>1372.36</v>
      </c>
      <c r="L252" s="3" t="str">
        <f t="shared" si="107"/>
        <v>0</v>
      </c>
      <c r="M252" s="3">
        <f t="shared" si="108"/>
        <v>16323.0375</v>
      </c>
      <c r="N252" s="3">
        <f t="shared" si="109"/>
        <v>0</v>
      </c>
      <c r="O252" s="3" t="str">
        <f t="shared" si="110"/>
        <v>0</v>
      </c>
      <c r="P252" s="3" t="str">
        <f t="shared" si="111"/>
        <v>0</v>
      </c>
      <c r="Q252" s="3" t="str">
        <f t="shared" si="112"/>
        <v>0</v>
      </c>
      <c r="R252" s="3" t="str">
        <f t="shared" si="113"/>
        <v>0</v>
      </c>
      <c r="S252" s="3">
        <f t="shared" si="114"/>
        <v>0</v>
      </c>
      <c r="T252" s="3" t="str">
        <f t="shared" si="115"/>
        <v>0</v>
      </c>
      <c r="U252" s="3"/>
      <c r="V252" s="3"/>
      <c r="W252" s="3"/>
      <c r="X252" s="3"/>
      <c r="Y252" s="3"/>
      <c r="Z252" s="3"/>
    </row>
    <row r="253" spans="1:26" x14ac:dyDescent="0.25">
      <c r="A253" s="2">
        <v>46144</v>
      </c>
      <c r="B253" s="3" t="s">
        <v>169</v>
      </c>
      <c r="C253" s="169" t="s">
        <v>247</v>
      </c>
      <c r="D253" s="4">
        <v>552.67999999999995</v>
      </c>
      <c r="E253" s="5">
        <v>0.88</v>
      </c>
      <c r="F253" s="6">
        <f t="shared" si="135"/>
        <v>486.35839999999996</v>
      </c>
      <c r="G253" s="6">
        <f t="shared" si="136"/>
        <v>11</v>
      </c>
      <c r="H253" s="7">
        <v>6079.48</v>
      </c>
      <c r="I253" s="3">
        <f t="shared" si="104"/>
        <v>552.67999999999995</v>
      </c>
      <c r="J253" s="3" t="str">
        <f t="shared" si="105"/>
        <v>0</v>
      </c>
      <c r="K253" s="3">
        <f t="shared" si="106"/>
        <v>486.35839999999996</v>
      </c>
      <c r="L253" s="3" t="str">
        <f t="shared" si="107"/>
        <v>0</v>
      </c>
      <c r="M253" s="3">
        <f t="shared" si="108"/>
        <v>6383.4539999999997</v>
      </c>
      <c r="N253" s="3">
        <f t="shared" si="109"/>
        <v>0</v>
      </c>
      <c r="O253" s="3" t="str">
        <f t="shared" si="110"/>
        <v>0</v>
      </c>
      <c r="P253" s="3" t="str">
        <f t="shared" si="111"/>
        <v>0</v>
      </c>
      <c r="Q253" s="3" t="str">
        <f t="shared" si="112"/>
        <v>0</v>
      </c>
      <c r="R253" s="3" t="str">
        <f t="shared" si="113"/>
        <v>0</v>
      </c>
      <c r="S253" s="3">
        <f t="shared" si="114"/>
        <v>0</v>
      </c>
      <c r="T253" s="3" t="str">
        <f t="shared" si="115"/>
        <v>0</v>
      </c>
      <c r="U253" s="3"/>
      <c r="V253" s="3"/>
      <c r="W253" s="3"/>
      <c r="X253" s="3"/>
      <c r="Y253" s="3"/>
      <c r="Z253" s="3"/>
    </row>
    <row r="254" spans="1:26" x14ac:dyDescent="0.25">
      <c r="A254" s="2">
        <v>46144</v>
      </c>
      <c r="B254" s="3" t="s">
        <v>170</v>
      </c>
      <c r="C254" s="169" t="s">
        <v>242</v>
      </c>
      <c r="D254" s="4">
        <v>1000</v>
      </c>
      <c r="E254" s="209">
        <v>0.995</v>
      </c>
      <c r="F254" s="184">
        <f t="shared" ref="F254:F255" si="137">D254*E254</f>
        <v>995</v>
      </c>
      <c r="G254" s="6">
        <f t="shared" si="133"/>
        <v>0</v>
      </c>
      <c r="H254" s="3"/>
      <c r="I254" s="3" t="str">
        <f t="shared" si="104"/>
        <v>0</v>
      </c>
      <c r="J254" s="3" t="str">
        <f t="shared" si="105"/>
        <v>0</v>
      </c>
      <c r="K254" s="3" t="str">
        <f t="shared" si="106"/>
        <v>0</v>
      </c>
      <c r="L254" s="3" t="str">
        <f t="shared" si="107"/>
        <v>0</v>
      </c>
      <c r="M254" s="3">
        <f t="shared" si="108"/>
        <v>0</v>
      </c>
      <c r="N254" s="3">
        <f t="shared" si="109"/>
        <v>0</v>
      </c>
      <c r="O254" s="3">
        <f t="shared" si="110"/>
        <v>1000</v>
      </c>
      <c r="P254" s="3" t="str">
        <f t="shared" si="111"/>
        <v>0</v>
      </c>
      <c r="Q254" s="3">
        <f t="shared" si="112"/>
        <v>995</v>
      </c>
      <c r="R254" s="3" t="str">
        <f t="shared" si="113"/>
        <v>0</v>
      </c>
      <c r="S254" s="3">
        <f t="shared" si="114"/>
        <v>0</v>
      </c>
      <c r="T254" s="3" t="str">
        <f t="shared" si="115"/>
        <v>0</v>
      </c>
      <c r="U254" s="3"/>
      <c r="V254" s="3"/>
      <c r="W254" s="3"/>
      <c r="X254" s="3"/>
      <c r="Y254" s="3">
        <v>79.67</v>
      </c>
      <c r="Z254" s="3">
        <v>0.02</v>
      </c>
    </row>
    <row r="255" spans="1:26" x14ac:dyDescent="0.25">
      <c r="A255" s="2">
        <v>46144</v>
      </c>
      <c r="B255" s="3" t="s">
        <v>170</v>
      </c>
      <c r="C255" s="169" t="s">
        <v>228</v>
      </c>
      <c r="D255" s="4">
        <v>1632</v>
      </c>
      <c r="E255" s="209">
        <v>0.995</v>
      </c>
      <c r="F255" s="184">
        <f t="shared" si="137"/>
        <v>1623.84</v>
      </c>
      <c r="G255" s="6">
        <f t="shared" si="133"/>
        <v>0</v>
      </c>
      <c r="H255" s="3"/>
      <c r="I255" s="3" t="str">
        <f t="shared" si="104"/>
        <v>0</v>
      </c>
      <c r="J255" s="3" t="str">
        <f t="shared" si="105"/>
        <v>0</v>
      </c>
      <c r="K255" s="3" t="str">
        <f t="shared" si="106"/>
        <v>0</v>
      </c>
      <c r="L255" s="3" t="str">
        <f t="shared" si="107"/>
        <v>0</v>
      </c>
      <c r="M255" s="3">
        <f t="shared" si="108"/>
        <v>0</v>
      </c>
      <c r="N255" s="3">
        <f t="shared" si="109"/>
        <v>0</v>
      </c>
      <c r="O255" s="3">
        <f t="shared" si="110"/>
        <v>1632</v>
      </c>
      <c r="P255" s="3" t="str">
        <f t="shared" si="111"/>
        <v>0</v>
      </c>
      <c r="Q255" s="3">
        <f t="shared" si="112"/>
        <v>1623.84</v>
      </c>
      <c r="R255" s="3" t="str">
        <f t="shared" si="113"/>
        <v>0</v>
      </c>
      <c r="S255" s="3">
        <f t="shared" si="114"/>
        <v>0</v>
      </c>
      <c r="T255" s="3" t="str">
        <f t="shared" si="115"/>
        <v>0</v>
      </c>
      <c r="U255" s="3"/>
      <c r="V255" s="3"/>
      <c r="W255" s="3"/>
      <c r="X255" s="3"/>
      <c r="Y255" s="3"/>
      <c r="Z255" s="3"/>
    </row>
    <row r="256" spans="1:26" x14ac:dyDescent="0.25">
      <c r="A256" s="2">
        <v>46144</v>
      </c>
      <c r="B256" s="3" t="s">
        <v>171</v>
      </c>
      <c r="C256" s="3" t="s">
        <v>230</v>
      </c>
      <c r="D256" s="3"/>
      <c r="E256" s="3"/>
      <c r="F256" s="6">
        <f t="shared" ref="F256:F306" si="138">+D256*E256</f>
        <v>0</v>
      </c>
      <c r="G256" s="6" t="e">
        <f t="shared" si="133"/>
        <v>#DIV/0!</v>
      </c>
      <c r="H256" s="3"/>
      <c r="I256" s="3" t="str">
        <f t="shared" si="104"/>
        <v>0</v>
      </c>
      <c r="J256" s="3" t="str">
        <f t="shared" si="105"/>
        <v>0</v>
      </c>
      <c r="K256" s="3" t="str">
        <f t="shared" si="106"/>
        <v>0</v>
      </c>
      <c r="L256" s="3" t="str">
        <f t="shared" si="107"/>
        <v>0</v>
      </c>
      <c r="M256" s="3">
        <f t="shared" si="108"/>
        <v>0</v>
      </c>
      <c r="N256" s="3">
        <f t="shared" si="109"/>
        <v>0</v>
      </c>
      <c r="O256" s="3" t="str">
        <f t="shared" si="110"/>
        <v>0</v>
      </c>
      <c r="P256" s="3" t="str">
        <f t="shared" si="111"/>
        <v>0</v>
      </c>
      <c r="Q256" s="3" t="str">
        <f t="shared" si="112"/>
        <v>0</v>
      </c>
      <c r="R256" s="3" t="str">
        <f t="shared" si="113"/>
        <v>0</v>
      </c>
      <c r="S256" s="3">
        <f t="shared" si="114"/>
        <v>0</v>
      </c>
      <c r="T256" s="3" t="str">
        <f t="shared" si="115"/>
        <v>0</v>
      </c>
      <c r="U256" s="3">
        <v>30000</v>
      </c>
      <c r="V256" s="3"/>
      <c r="W256" s="3"/>
      <c r="X256" s="3"/>
      <c r="Y256" s="3"/>
      <c r="Z256" s="3"/>
    </row>
    <row r="257" spans="1:26" x14ac:dyDescent="0.25">
      <c r="A257" s="2">
        <v>46145</v>
      </c>
      <c r="B257" s="3" t="s">
        <v>218</v>
      </c>
      <c r="C257" s="3"/>
      <c r="D257" s="3"/>
      <c r="E257" s="3"/>
      <c r="F257" s="6">
        <f t="shared" si="138"/>
        <v>0</v>
      </c>
      <c r="G257" s="6" t="e">
        <f t="shared" si="133"/>
        <v>#DIV/0!</v>
      </c>
      <c r="H257" s="3"/>
      <c r="I257" s="3" t="str">
        <f t="shared" si="104"/>
        <v>0</v>
      </c>
      <c r="J257" s="3" t="str">
        <f t="shared" si="105"/>
        <v>0</v>
      </c>
      <c r="K257" s="3" t="str">
        <f t="shared" si="106"/>
        <v>0</v>
      </c>
      <c r="L257" s="3" t="str">
        <f t="shared" si="107"/>
        <v>0</v>
      </c>
      <c r="M257" s="3">
        <f t="shared" si="108"/>
        <v>0</v>
      </c>
      <c r="N257" s="3">
        <f t="shared" si="109"/>
        <v>0</v>
      </c>
      <c r="O257" s="3" t="str">
        <f t="shared" si="110"/>
        <v>0</v>
      </c>
      <c r="P257" s="3" t="str">
        <f t="shared" si="111"/>
        <v>0</v>
      </c>
      <c r="Q257" s="3" t="str">
        <f t="shared" si="112"/>
        <v>0</v>
      </c>
      <c r="R257" s="3" t="str">
        <f t="shared" si="113"/>
        <v>0</v>
      </c>
      <c r="S257" s="3">
        <f t="shared" si="114"/>
        <v>0</v>
      </c>
      <c r="T257" s="3" t="str">
        <f t="shared" si="115"/>
        <v>0</v>
      </c>
      <c r="U257" s="3"/>
      <c r="V257" s="3"/>
      <c r="W257" s="3"/>
      <c r="X257" s="3"/>
      <c r="Y257" s="3"/>
      <c r="Z257" s="3"/>
    </row>
    <row r="258" spans="1:26" x14ac:dyDescent="0.25">
      <c r="A258" s="2">
        <v>46146</v>
      </c>
      <c r="B258" s="3" t="s">
        <v>169</v>
      </c>
      <c r="C258" s="169" t="s">
        <v>233</v>
      </c>
      <c r="D258" s="4">
        <v>282.5856</v>
      </c>
      <c r="E258" s="5">
        <v>0.88</v>
      </c>
      <c r="F258" s="6">
        <f>+D258*E258</f>
        <v>248.67532800000001</v>
      </c>
      <c r="G258" s="6">
        <f>+H258/D258</f>
        <v>31.833009183765906</v>
      </c>
      <c r="H258" s="7">
        <v>8995.5499999999993</v>
      </c>
      <c r="I258" s="3">
        <f t="shared" ref="I258:I321" si="139">IF(B258="SALES",D258,"0")</f>
        <v>282.5856</v>
      </c>
      <c r="J258" s="3" t="str">
        <f t="shared" ref="J258:J321" si="140">IF(B258="SALES RETURN",D258,"0")</f>
        <v>0</v>
      </c>
      <c r="K258" s="3">
        <f t="shared" ref="K258:K321" si="141">IF(B258="SALES",F258,"0")</f>
        <v>248.67532800000001</v>
      </c>
      <c r="L258" s="3" t="str">
        <f t="shared" ref="L258:L321" si="142">IF(B258="SALES RETURN",F258,"0")</f>
        <v>0</v>
      </c>
      <c r="M258" s="3">
        <f t="shared" ref="M258:M321" si="143">IF(B258="SALES",H258,"0")+IF(B258="SALES",H258,"0")*5%</f>
        <v>9445.3274999999994</v>
      </c>
      <c r="N258" s="3">
        <f t="shared" ref="N258:N321" si="144">IF(B258="SALES RETURN",H258,"0")+IF(B258="SALES RETURN",H258,"0")*5%</f>
        <v>0</v>
      </c>
      <c r="O258" s="3" t="str">
        <f t="shared" ref="O258:O321" si="145">IF(B258="PURCHASE",D258,"0")</f>
        <v>0</v>
      </c>
      <c r="P258" s="3" t="str">
        <f t="shared" ref="P258:P321" si="146">IF(B258="METAL PAYMENT",D258,"0")</f>
        <v>0</v>
      </c>
      <c r="Q258" s="3" t="str">
        <f t="shared" ref="Q258:Q321" si="147">IF(B258="PURCHASE",F258,"0")</f>
        <v>0</v>
      </c>
      <c r="R258" s="3" t="str">
        <f t="shared" ref="R258:R321" si="148">IF(B258="METAL PAYMENT",F258,"0")</f>
        <v>0</v>
      </c>
      <c r="S258" s="3">
        <f t="shared" ref="S258:S321" si="149">IF(B258="PURCHASE",H258,"0")+IF(B258="PURCHASE",H258,"0")*5%</f>
        <v>0</v>
      </c>
      <c r="T258" s="3" t="str">
        <f t="shared" ref="T258:T321" si="150">IF(B258="METAL PAYMENT",H258,"0")</f>
        <v>0</v>
      </c>
      <c r="U258" s="3"/>
      <c r="V258" s="3"/>
      <c r="W258" s="3"/>
      <c r="X258" s="3"/>
      <c r="Y258" s="3"/>
      <c r="Z258" s="3"/>
    </row>
    <row r="259" spans="1:26" x14ac:dyDescent="0.25">
      <c r="A259" s="2">
        <v>46146</v>
      </c>
      <c r="B259" s="3" t="s">
        <v>169</v>
      </c>
      <c r="C259" s="169" t="s">
        <v>228</v>
      </c>
      <c r="D259" s="4">
        <v>1191.413</v>
      </c>
      <c r="E259" s="5">
        <v>0.88</v>
      </c>
      <c r="F259" s="6">
        <f t="shared" ref="F259:F264" si="151">+D259*E259</f>
        <v>1048.44344</v>
      </c>
      <c r="G259" s="6">
        <f t="shared" ref="G259:G264" si="152">+H259/D259</f>
        <v>9.335427765183022</v>
      </c>
      <c r="H259" s="7">
        <v>11122.35</v>
      </c>
      <c r="I259" s="3">
        <f t="shared" si="139"/>
        <v>1191.413</v>
      </c>
      <c r="J259" s="3" t="str">
        <f t="shared" si="140"/>
        <v>0</v>
      </c>
      <c r="K259" s="3">
        <f t="shared" si="141"/>
        <v>1048.44344</v>
      </c>
      <c r="L259" s="3" t="str">
        <f t="shared" si="142"/>
        <v>0</v>
      </c>
      <c r="M259" s="3">
        <f t="shared" si="143"/>
        <v>11678.467500000001</v>
      </c>
      <c r="N259" s="3">
        <f t="shared" si="144"/>
        <v>0</v>
      </c>
      <c r="O259" s="3" t="str">
        <f t="shared" si="145"/>
        <v>0</v>
      </c>
      <c r="P259" s="3" t="str">
        <f t="shared" si="146"/>
        <v>0</v>
      </c>
      <c r="Q259" s="3" t="str">
        <f t="shared" si="147"/>
        <v>0</v>
      </c>
      <c r="R259" s="3" t="str">
        <f t="shared" si="148"/>
        <v>0</v>
      </c>
      <c r="S259" s="3">
        <f t="shared" si="149"/>
        <v>0</v>
      </c>
      <c r="T259" s="3" t="str">
        <f t="shared" si="150"/>
        <v>0</v>
      </c>
      <c r="U259" s="3"/>
      <c r="V259" s="3"/>
      <c r="W259" s="3"/>
      <c r="X259" s="3"/>
      <c r="Y259" s="3"/>
      <c r="Z259" s="3"/>
    </row>
    <row r="260" spans="1:26" x14ac:dyDescent="0.25">
      <c r="A260" s="2">
        <v>46146</v>
      </c>
      <c r="B260" s="3" t="s">
        <v>169</v>
      </c>
      <c r="C260" s="169" t="s">
        <v>234</v>
      </c>
      <c r="D260" s="4">
        <v>43.023800000000001</v>
      </c>
      <c r="E260" s="5">
        <v>0.88</v>
      </c>
      <c r="F260" s="6">
        <f t="shared" si="151"/>
        <v>37.860944000000003</v>
      </c>
      <c r="G260" s="6">
        <f t="shared" si="152"/>
        <v>11.055276381909549</v>
      </c>
      <c r="H260" s="7">
        <v>475.64000000000004</v>
      </c>
      <c r="I260" s="3">
        <f t="shared" si="139"/>
        <v>43.023800000000001</v>
      </c>
      <c r="J260" s="3" t="str">
        <f t="shared" si="140"/>
        <v>0</v>
      </c>
      <c r="K260" s="3">
        <f t="shared" si="141"/>
        <v>37.860944000000003</v>
      </c>
      <c r="L260" s="3" t="str">
        <f t="shared" si="142"/>
        <v>0</v>
      </c>
      <c r="M260" s="3">
        <f t="shared" si="143"/>
        <v>499.42200000000003</v>
      </c>
      <c r="N260" s="3">
        <f t="shared" si="144"/>
        <v>0</v>
      </c>
      <c r="O260" s="3" t="str">
        <f t="shared" si="145"/>
        <v>0</v>
      </c>
      <c r="P260" s="3" t="str">
        <f t="shared" si="146"/>
        <v>0</v>
      </c>
      <c r="Q260" s="3" t="str">
        <f t="shared" si="147"/>
        <v>0</v>
      </c>
      <c r="R260" s="3" t="str">
        <f t="shared" si="148"/>
        <v>0</v>
      </c>
      <c r="S260" s="3">
        <f t="shared" si="149"/>
        <v>0</v>
      </c>
      <c r="T260" s="3" t="str">
        <f t="shared" si="150"/>
        <v>0</v>
      </c>
      <c r="U260" s="3"/>
      <c r="V260" s="3"/>
      <c r="W260" s="3"/>
      <c r="X260" s="3"/>
      <c r="Y260" s="3"/>
      <c r="Z260" s="3"/>
    </row>
    <row r="261" spans="1:26" x14ac:dyDescent="0.25">
      <c r="A261" s="2">
        <v>46146</v>
      </c>
      <c r="B261" s="3" t="s">
        <v>169</v>
      </c>
      <c r="C261" s="169" t="s">
        <v>238</v>
      </c>
      <c r="D261" s="4">
        <v>463.24214999999998</v>
      </c>
      <c r="E261" s="5">
        <v>0.88</v>
      </c>
      <c r="F261" s="6">
        <f t="shared" si="151"/>
        <v>407.65309199999996</v>
      </c>
      <c r="G261" s="6">
        <f t="shared" si="152"/>
        <v>8.6360664719305014</v>
      </c>
      <c r="H261" s="7">
        <v>4000.59</v>
      </c>
      <c r="I261" s="3">
        <f t="shared" si="139"/>
        <v>463.24214999999998</v>
      </c>
      <c r="J261" s="3" t="str">
        <f t="shared" si="140"/>
        <v>0</v>
      </c>
      <c r="K261" s="3">
        <f t="shared" si="141"/>
        <v>407.65309199999996</v>
      </c>
      <c r="L261" s="3" t="str">
        <f t="shared" si="142"/>
        <v>0</v>
      </c>
      <c r="M261" s="3">
        <f t="shared" si="143"/>
        <v>4200.6194999999998</v>
      </c>
      <c r="N261" s="3">
        <f t="shared" si="144"/>
        <v>0</v>
      </c>
      <c r="O261" s="3" t="str">
        <f t="shared" si="145"/>
        <v>0</v>
      </c>
      <c r="P261" s="3" t="str">
        <f t="shared" si="146"/>
        <v>0</v>
      </c>
      <c r="Q261" s="3" t="str">
        <f t="shared" si="147"/>
        <v>0</v>
      </c>
      <c r="R261" s="3" t="str">
        <f t="shared" si="148"/>
        <v>0</v>
      </c>
      <c r="S261" s="3">
        <f t="shared" si="149"/>
        <v>0</v>
      </c>
      <c r="T261" s="3" t="str">
        <f t="shared" si="150"/>
        <v>0</v>
      </c>
      <c r="U261" s="3"/>
      <c r="V261" s="3"/>
      <c r="W261" s="3"/>
      <c r="X261" s="3"/>
      <c r="Y261" s="3"/>
      <c r="Z261" s="3"/>
    </row>
    <row r="262" spans="1:26" x14ac:dyDescent="0.25">
      <c r="A262" s="2">
        <v>46146</v>
      </c>
      <c r="B262" s="3" t="s">
        <v>169</v>
      </c>
      <c r="C262" s="3" t="s">
        <v>230</v>
      </c>
      <c r="D262" s="4">
        <v>5643.0880000000006</v>
      </c>
      <c r="E262" s="5">
        <v>0.88</v>
      </c>
      <c r="F262" s="6">
        <f t="shared" si="151"/>
        <v>4965.9174400000002</v>
      </c>
      <c r="G262" s="6">
        <f t="shared" si="152"/>
        <v>4.3205688091342891</v>
      </c>
      <c r="H262" s="7">
        <v>24381.35</v>
      </c>
      <c r="I262" s="3">
        <f t="shared" si="139"/>
        <v>5643.0880000000006</v>
      </c>
      <c r="J262" s="3" t="str">
        <f t="shared" si="140"/>
        <v>0</v>
      </c>
      <c r="K262" s="3">
        <f t="shared" si="141"/>
        <v>4965.9174400000002</v>
      </c>
      <c r="L262" s="3" t="str">
        <f t="shared" si="142"/>
        <v>0</v>
      </c>
      <c r="M262" s="3">
        <f t="shared" si="143"/>
        <v>25600.4175</v>
      </c>
      <c r="N262" s="3">
        <f t="shared" si="144"/>
        <v>0</v>
      </c>
      <c r="O262" s="3" t="str">
        <f t="shared" si="145"/>
        <v>0</v>
      </c>
      <c r="P262" s="3" t="str">
        <f t="shared" si="146"/>
        <v>0</v>
      </c>
      <c r="Q262" s="3" t="str">
        <f t="shared" si="147"/>
        <v>0</v>
      </c>
      <c r="R262" s="3" t="str">
        <f t="shared" si="148"/>
        <v>0</v>
      </c>
      <c r="S262" s="3">
        <f t="shared" si="149"/>
        <v>0</v>
      </c>
      <c r="T262" s="3" t="str">
        <f t="shared" si="150"/>
        <v>0</v>
      </c>
      <c r="U262" s="3"/>
      <c r="V262" s="3"/>
      <c r="W262" s="3"/>
      <c r="X262" s="3"/>
      <c r="Y262" s="3"/>
      <c r="Z262" s="3"/>
    </row>
    <row r="263" spans="1:26" x14ac:dyDescent="0.25">
      <c r="A263" s="2">
        <v>46146</v>
      </c>
      <c r="B263" s="3" t="s">
        <v>169</v>
      </c>
      <c r="C263" s="3" t="s">
        <v>235</v>
      </c>
      <c r="D263" s="4">
        <v>1311.816</v>
      </c>
      <c r="E263" s="5">
        <v>0.88</v>
      </c>
      <c r="F263" s="6">
        <f t="shared" si="151"/>
        <v>1154.3980799999999</v>
      </c>
      <c r="G263" s="6">
        <f t="shared" si="152"/>
        <v>4.8253718509303134</v>
      </c>
      <c r="H263" s="7">
        <v>6330</v>
      </c>
      <c r="I263" s="3">
        <f t="shared" si="139"/>
        <v>1311.816</v>
      </c>
      <c r="J263" s="3" t="str">
        <f t="shared" si="140"/>
        <v>0</v>
      </c>
      <c r="K263" s="3">
        <f t="shared" si="141"/>
        <v>1154.3980799999999</v>
      </c>
      <c r="L263" s="3" t="str">
        <f t="shared" si="142"/>
        <v>0</v>
      </c>
      <c r="M263" s="3">
        <f t="shared" si="143"/>
        <v>6646.5</v>
      </c>
      <c r="N263" s="3">
        <f t="shared" si="144"/>
        <v>0</v>
      </c>
      <c r="O263" s="3" t="str">
        <f t="shared" si="145"/>
        <v>0</v>
      </c>
      <c r="P263" s="3" t="str">
        <f t="shared" si="146"/>
        <v>0</v>
      </c>
      <c r="Q263" s="3" t="str">
        <f t="shared" si="147"/>
        <v>0</v>
      </c>
      <c r="R263" s="3" t="str">
        <f t="shared" si="148"/>
        <v>0</v>
      </c>
      <c r="S263" s="3">
        <f t="shared" si="149"/>
        <v>0</v>
      </c>
      <c r="T263" s="3" t="str">
        <f t="shared" si="150"/>
        <v>0</v>
      </c>
      <c r="U263" s="3"/>
      <c r="V263" s="3"/>
      <c r="W263" s="3"/>
      <c r="X263" s="3"/>
      <c r="Y263" s="3"/>
      <c r="Z263" s="3"/>
    </row>
    <row r="264" spans="1:26" x14ac:dyDescent="0.25">
      <c r="A264" s="2">
        <v>46146</v>
      </c>
      <c r="B264" s="3" t="s">
        <v>169</v>
      </c>
      <c r="C264" s="169" t="s">
        <v>243</v>
      </c>
      <c r="D264" s="4">
        <v>413.6</v>
      </c>
      <c r="E264" s="5">
        <v>0.88</v>
      </c>
      <c r="F264" s="6">
        <f t="shared" si="151"/>
        <v>363.96800000000002</v>
      </c>
      <c r="G264" s="6">
        <f t="shared" si="152"/>
        <v>9.0909090909090899</v>
      </c>
      <c r="H264" s="7">
        <v>3760</v>
      </c>
      <c r="I264" s="3">
        <f t="shared" si="139"/>
        <v>413.6</v>
      </c>
      <c r="J264" s="3" t="str">
        <f t="shared" si="140"/>
        <v>0</v>
      </c>
      <c r="K264" s="3">
        <f t="shared" si="141"/>
        <v>363.96800000000002</v>
      </c>
      <c r="L264" s="3" t="str">
        <f t="shared" si="142"/>
        <v>0</v>
      </c>
      <c r="M264" s="3">
        <f t="shared" si="143"/>
        <v>3948</v>
      </c>
      <c r="N264" s="3">
        <f t="shared" si="144"/>
        <v>0</v>
      </c>
      <c r="O264" s="3" t="str">
        <f t="shared" si="145"/>
        <v>0</v>
      </c>
      <c r="P264" s="3" t="str">
        <f t="shared" si="146"/>
        <v>0</v>
      </c>
      <c r="Q264" s="3" t="str">
        <f t="shared" si="147"/>
        <v>0</v>
      </c>
      <c r="R264" s="3" t="str">
        <f t="shared" si="148"/>
        <v>0</v>
      </c>
      <c r="S264" s="3">
        <f t="shared" si="149"/>
        <v>0</v>
      </c>
      <c r="T264" s="3" t="str">
        <f t="shared" si="150"/>
        <v>0</v>
      </c>
      <c r="U264" s="3"/>
      <c r="V264" s="3"/>
      <c r="W264" s="3"/>
      <c r="X264" s="3"/>
      <c r="Y264" s="3">
        <v>527.59</v>
      </c>
      <c r="Z264" s="3">
        <v>63.366</v>
      </c>
    </row>
    <row r="265" spans="1:26" x14ac:dyDescent="0.25">
      <c r="A265" s="2">
        <v>46146</v>
      </c>
      <c r="B265" s="3" t="s">
        <v>170</v>
      </c>
      <c r="C265" s="3" t="s">
        <v>230</v>
      </c>
      <c r="D265" s="4">
        <v>995</v>
      </c>
      <c r="E265" s="209">
        <v>0.995</v>
      </c>
      <c r="F265" s="184">
        <f t="shared" ref="F265:F267" si="153">D265*E265</f>
        <v>990.02499999999998</v>
      </c>
      <c r="G265" s="6">
        <f t="shared" si="133"/>
        <v>0</v>
      </c>
      <c r="H265" s="3"/>
      <c r="I265" s="3" t="str">
        <f t="shared" si="139"/>
        <v>0</v>
      </c>
      <c r="J265" s="3" t="str">
        <f t="shared" si="140"/>
        <v>0</v>
      </c>
      <c r="K265" s="3" t="str">
        <f t="shared" si="141"/>
        <v>0</v>
      </c>
      <c r="L265" s="3" t="str">
        <f t="shared" si="142"/>
        <v>0</v>
      </c>
      <c r="M265" s="3">
        <f t="shared" si="143"/>
        <v>0</v>
      </c>
      <c r="N265" s="3">
        <f t="shared" si="144"/>
        <v>0</v>
      </c>
      <c r="O265" s="3">
        <f t="shared" si="145"/>
        <v>995</v>
      </c>
      <c r="P265" s="3" t="str">
        <f t="shared" si="146"/>
        <v>0</v>
      </c>
      <c r="Q265" s="3">
        <f t="shared" si="147"/>
        <v>990.02499999999998</v>
      </c>
      <c r="R265" s="3" t="str">
        <f t="shared" si="148"/>
        <v>0</v>
      </c>
      <c r="S265" s="3">
        <f t="shared" si="149"/>
        <v>0</v>
      </c>
      <c r="T265" s="3" t="str">
        <f t="shared" si="150"/>
        <v>0</v>
      </c>
      <c r="U265" s="3"/>
      <c r="V265" s="3"/>
      <c r="W265" s="3"/>
      <c r="X265" s="3"/>
      <c r="Y265" s="3"/>
      <c r="Z265" s="3"/>
    </row>
    <row r="266" spans="1:26" x14ac:dyDescent="0.25">
      <c r="A266" s="2">
        <v>46146</v>
      </c>
      <c r="B266" s="3" t="s">
        <v>170</v>
      </c>
      <c r="C266" s="169" t="s">
        <v>229</v>
      </c>
      <c r="D266" s="4">
        <v>995</v>
      </c>
      <c r="E266" s="209">
        <v>0.995</v>
      </c>
      <c r="F266" s="184">
        <f t="shared" si="153"/>
        <v>990.02499999999998</v>
      </c>
      <c r="G266" s="6">
        <f t="shared" si="133"/>
        <v>0</v>
      </c>
      <c r="H266" s="3"/>
      <c r="I266" s="3" t="str">
        <f t="shared" si="139"/>
        <v>0</v>
      </c>
      <c r="J266" s="3" t="str">
        <f t="shared" si="140"/>
        <v>0</v>
      </c>
      <c r="K266" s="3" t="str">
        <f t="shared" si="141"/>
        <v>0</v>
      </c>
      <c r="L266" s="3" t="str">
        <f t="shared" si="142"/>
        <v>0</v>
      </c>
      <c r="M266" s="3">
        <f t="shared" si="143"/>
        <v>0</v>
      </c>
      <c r="N266" s="3">
        <f t="shared" si="144"/>
        <v>0</v>
      </c>
      <c r="O266" s="3">
        <f t="shared" si="145"/>
        <v>995</v>
      </c>
      <c r="P266" s="3" t="str">
        <f t="shared" si="146"/>
        <v>0</v>
      </c>
      <c r="Q266" s="3">
        <f t="shared" si="147"/>
        <v>990.02499999999998</v>
      </c>
      <c r="R266" s="3" t="str">
        <f t="shared" si="148"/>
        <v>0</v>
      </c>
      <c r="S266" s="3">
        <f t="shared" si="149"/>
        <v>0</v>
      </c>
      <c r="T266" s="3" t="str">
        <f t="shared" si="150"/>
        <v>0</v>
      </c>
      <c r="U266" s="3"/>
      <c r="V266" s="3"/>
      <c r="W266" s="3"/>
      <c r="X266" s="3"/>
      <c r="Y266" s="3"/>
      <c r="Z266" s="3"/>
    </row>
    <row r="267" spans="1:26" x14ac:dyDescent="0.25">
      <c r="A267" s="2">
        <v>46146</v>
      </c>
      <c r="B267" s="3" t="s">
        <v>170</v>
      </c>
      <c r="C267" s="3" t="s">
        <v>235</v>
      </c>
      <c r="D267" s="4">
        <v>348.79725000000002</v>
      </c>
      <c r="E267" s="209">
        <v>0.995</v>
      </c>
      <c r="F267" s="184">
        <f t="shared" si="153"/>
        <v>347.05326375000004</v>
      </c>
      <c r="G267" s="6">
        <f t="shared" si="133"/>
        <v>0</v>
      </c>
      <c r="H267" s="3"/>
      <c r="I267" s="3" t="str">
        <f t="shared" si="139"/>
        <v>0</v>
      </c>
      <c r="J267" s="3" t="str">
        <f t="shared" si="140"/>
        <v>0</v>
      </c>
      <c r="K267" s="3" t="str">
        <f t="shared" si="141"/>
        <v>0</v>
      </c>
      <c r="L267" s="3" t="str">
        <f t="shared" si="142"/>
        <v>0</v>
      </c>
      <c r="M267" s="3">
        <f t="shared" si="143"/>
        <v>0</v>
      </c>
      <c r="N267" s="3">
        <f t="shared" si="144"/>
        <v>0</v>
      </c>
      <c r="O267" s="3">
        <f t="shared" si="145"/>
        <v>348.79725000000002</v>
      </c>
      <c r="P267" s="3" t="str">
        <f t="shared" si="146"/>
        <v>0</v>
      </c>
      <c r="Q267" s="3">
        <f t="shared" si="147"/>
        <v>347.05326375000004</v>
      </c>
      <c r="R267" s="3" t="str">
        <f t="shared" si="148"/>
        <v>0</v>
      </c>
      <c r="S267" s="3">
        <f t="shared" si="149"/>
        <v>0</v>
      </c>
      <c r="T267" s="3" t="str">
        <f t="shared" si="150"/>
        <v>0</v>
      </c>
      <c r="U267" s="3"/>
      <c r="V267" s="3"/>
      <c r="W267" s="3"/>
      <c r="X267" s="3"/>
      <c r="Y267" s="3"/>
      <c r="Z267" s="3"/>
    </row>
    <row r="268" spans="1:26" x14ac:dyDescent="0.25">
      <c r="A268" s="2">
        <v>46146</v>
      </c>
      <c r="B268" s="3" t="s">
        <v>212</v>
      </c>
      <c r="C268" s="169" t="s">
        <v>228</v>
      </c>
      <c r="D268" s="4">
        <v>158.60300000000001</v>
      </c>
      <c r="E268" s="209">
        <v>0.88</v>
      </c>
      <c r="F268" s="184">
        <f>+D268*E268</f>
        <v>139.57064</v>
      </c>
      <c r="G268" s="184">
        <f>+H268/D268</f>
        <v>11.055276381909549</v>
      </c>
      <c r="H268" s="185">
        <v>1753.4</v>
      </c>
      <c r="I268" s="3" t="str">
        <f t="shared" si="139"/>
        <v>0</v>
      </c>
      <c r="J268" s="3">
        <f t="shared" si="140"/>
        <v>158.60300000000001</v>
      </c>
      <c r="K268" s="3" t="str">
        <f t="shared" si="141"/>
        <v>0</v>
      </c>
      <c r="L268" s="3">
        <f t="shared" si="142"/>
        <v>139.57064</v>
      </c>
      <c r="M268" s="3">
        <f t="shared" si="143"/>
        <v>0</v>
      </c>
      <c r="N268" s="3">
        <f t="shared" si="144"/>
        <v>1841.0700000000002</v>
      </c>
      <c r="O268" s="3" t="str">
        <f t="shared" si="145"/>
        <v>0</v>
      </c>
      <c r="P268" s="3" t="str">
        <f t="shared" si="146"/>
        <v>0</v>
      </c>
      <c r="Q268" s="3" t="str">
        <f t="shared" si="147"/>
        <v>0</v>
      </c>
      <c r="R268" s="3" t="str">
        <f t="shared" si="148"/>
        <v>0</v>
      </c>
      <c r="S268" s="3">
        <f t="shared" si="149"/>
        <v>0</v>
      </c>
      <c r="T268" s="3" t="str">
        <f t="shared" si="150"/>
        <v>0</v>
      </c>
      <c r="U268" s="3"/>
      <c r="V268" s="3"/>
      <c r="W268" s="3"/>
      <c r="X268" s="3"/>
      <c r="Y268" s="3"/>
      <c r="Z268" s="3"/>
    </row>
    <row r="269" spans="1:26" x14ac:dyDescent="0.25">
      <c r="A269" s="2">
        <v>46146</v>
      </c>
      <c r="B269" s="3" t="s">
        <v>171</v>
      </c>
      <c r="C269" s="169" t="s">
        <v>228</v>
      </c>
      <c r="D269" s="3"/>
      <c r="E269" s="3"/>
      <c r="F269" s="6">
        <f t="shared" si="138"/>
        <v>0</v>
      </c>
      <c r="G269" s="6" t="e">
        <f t="shared" si="133"/>
        <v>#DIV/0!</v>
      </c>
      <c r="H269" s="3"/>
      <c r="I269" s="3" t="str">
        <f t="shared" si="139"/>
        <v>0</v>
      </c>
      <c r="J269" s="3" t="str">
        <f t="shared" si="140"/>
        <v>0</v>
      </c>
      <c r="K269" s="3" t="str">
        <f t="shared" si="141"/>
        <v>0</v>
      </c>
      <c r="L269" s="3" t="str">
        <f t="shared" si="142"/>
        <v>0</v>
      </c>
      <c r="M269" s="3">
        <f t="shared" si="143"/>
        <v>0</v>
      </c>
      <c r="N269" s="3">
        <f t="shared" si="144"/>
        <v>0</v>
      </c>
      <c r="O269" s="3" t="str">
        <f t="shared" si="145"/>
        <v>0</v>
      </c>
      <c r="P269" s="3" t="str">
        <f t="shared" si="146"/>
        <v>0</v>
      </c>
      <c r="Q269" s="3" t="str">
        <f t="shared" si="147"/>
        <v>0</v>
      </c>
      <c r="R269" s="3" t="str">
        <f t="shared" si="148"/>
        <v>0</v>
      </c>
      <c r="S269" s="3">
        <f t="shared" si="149"/>
        <v>0</v>
      </c>
      <c r="T269" s="3" t="str">
        <f t="shared" si="150"/>
        <v>0</v>
      </c>
      <c r="U269" s="3">
        <v>50000</v>
      </c>
      <c r="V269" s="3"/>
      <c r="W269" s="3"/>
      <c r="X269" s="3"/>
      <c r="Y269" s="3"/>
      <c r="Z269" s="3"/>
    </row>
    <row r="270" spans="1:26" x14ac:dyDescent="0.25">
      <c r="A270" s="2">
        <v>46147</v>
      </c>
      <c r="B270" s="3" t="s">
        <v>169</v>
      </c>
      <c r="C270" s="169" t="s">
        <v>228</v>
      </c>
      <c r="D270" s="4">
        <v>321.12</v>
      </c>
      <c r="E270" s="5">
        <v>0.88</v>
      </c>
      <c r="F270" s="6">
        <f>+D270*E270</f>
        <v>282.5856</v>
      </c>
      <c r="G270" s="6">
        <f>+H270/D270</f>
        <v>25.391598156452417</v>
      </c>
      <c r="H270" s="7">
        <v>8153.75</v>
      </c>
      <c r="I270" s="3">
        <f t="shared" si="139"/>
        <v>321.12</v>
      </c>
      <c r="J270" s="3" t="str">
        <f t="shared" si="140"/>
        <v>0</v>
      </c>
      <c r="K270" s="3">
        <f t="shared" si="141"/>
        <v>282.5856</v>
      </c>
      <c r="L270" s="3" t="str">
        <f t="shared" si="142"/>
        <v>0</v>
      </c>
      <c r="M270" s="3">
        <f t="shared" si="143"/>
        <v>8561.4375</v>
      </c>
      <c r="N270" s="3">
        <f t="shared" si="144"/>
        <v>0</v>
      </c>
      <c r="O270" s="3" t="str">
        <f t="shared" si="145"/>
        <v>0</v>
      </c>
      <c r="P270" s="3" t="str">
        <f t="shared" si="146"/>
        <v>0</v>
      </c>
      <c r="Q270" s="3" t="str">
        <f t="shared" si="147"/>
        <v>0</v>
      </c>
      <c r="R270" s="3" t="str">
        <f t="shared" si="148"/>
        <v>0</v>
      </c>
      <c r="S270" s="3">
        <f t="shared" si="149"/>
        <v>0</v>
      </c>
      <c r="T270" s="3" t="str">
        <f t="shared" si="150"/>
        <v>0</v>
      </c>
      <c r="U270" s="3"/>
      <c r="V270" s="3"/>
      <c r="W270" s="3"/>
      <c r="X270" s="3"/>
      <c r="Y270" s="3"/>
      <c r="Z270" s="3"/>
    </row>
    <row r="271" spans="1:26" x14ac:dyDescent="0.25">
      <c r="A271" s="2">
        <v>46147</v>
      </c>
      <c r="B271" s="3" t="s">
        <v>170</v>
      </c>
      <c r="C271" s="169" t="s">
        <v>228</v>
      </c>
      <c r="D271" s="4">
        <v>1197.4000000000001</v>
      </c>
      <c r="E271" s="209">
        <v>0.995</v>
      </c>
      <c r="F271" s="184">
        <f t="shared" ref="F271:F274" si="154">D271*E271</f>
        <v>1191.413</v>
      </c>
      <c r="G271" s="6"/>
      <c r="H271" s="210"/>
      <c r="I271" s="3" t="str">
        <f t="shared" si="139"/>
        <v>0</v>
      </c>
      <c r="J271" s="3" t="str">
        <f t="shared" si="140"/>
        <v>0</v>
      </c>
      <c r="K271" s="3" t="str">
        <f t="shared" si="141"/>
        <v>0</v>
      </c>
      <c r="L271" s="3" t="str">
        <f t="shared" si="142"/>
        <v>0</v>
      </c>
      <c r="M271" s="3">
        <f t="shared" si="143"/>
        <v>0</v>
      </c>
      <c r="N271" s="3">
        <f t="shared" si="144"/>
        <v>0</v>
      </c>
      <c r="O271" s="3">
        <f t="shared" si="145"/>
        <v>1197.4000000000001</v>
      </c>
      <c r="P271" s="3" t="str">
        <f t="shared" si="146"/>
        <v>0</v>
      </c>
      <c r="Q271" s="3">
        <f t="shared" si="147"/>
        <v>1191.413</v>
      </c>
      <c r="R271" s="3" t="str">
        <f t="shared" si="148"/>
        <v>0</v>
      </c>
      <c r="S271" s="3">
        <f t="shared" si="149"/>
        <v>0</v>
      </c>
      <c r="T271" s="3" t="str">
        <f t="shared" si="150"/>
        <v>0</v>
      </c>
      <c r="U271" s="3"/>
      <c r="V271" s="3"/>
      <c r="W271" s="3"/>
      <c r="X271" s="3"/>
      <c r="Y271" s="3"/>
      <c r="Z271" s="3"/>
    </row>
    <row r="272" spans="1:26" x14ac:dyDescent="0.25">
      <c r="A272" s="2">
        <v>46147</v>
      </c>
      <c r="B272" s="3" t="s">
        <v>170</v>
      </c>
      <c r="C272" s="3" t="s">
        <v>235</v>
      </c>
      <c r="D272" s="4">
        <v>43.24</v>
      </c>
      <c r="E272" s="209">
        <v>0.995</v>
      </c>
      <c r="F272" s="184">
        <f t="shared" si="154"/>
        <v>43.023800000000001</v>
      </c>
      <c r="G272" s="6"/>
      <c r="H272" s="210"/>
      <c r="I272" s="3" t="str">
        <f t="shared" si="139"/>
        <v>0</v>
      </c>
      <c r="J272" s="3" t="str">
        <f t="shared" si="140"/>
        <v>0</v>
      </c>
      <c r="K272" s="3" t="str">
        <f t="shared" si="141"/>
        <v>0</v>
      </c>
      <c r="L272" s="3" t="str">
        <f t="shared" si="142"/>
        <v>0</v>
      </c>
      <c r="M272" s="3">
        <f t="shared" si="143"/>
        <v>0</v>
      </c>
      <c r="N272" s="3">
        <f t="shared" si="144"/>
        <v>0</v>
      </c>
      <c r="O272" s="3">
        <f t="shared" si="145"/>
        <v>43.24</v>
      </c>
      <c r="P272" s="3" t="str">
        <f t="shared" si="146"/>
        <v>0</v>
      </c>
      <c r="Q272" s="3">
        <f t="shared" si="147"/>
        <v>43.023800000000001</v>
      </c>
      <c r="R272" s="3" t="str">
        <f t="shared" si="148"/>
        <v>0</v>
      </c>
      <c r="S272" s="3">
        <f t="shared" si="149"/>
        <v>0</v>
      </c>
      <c r="T272" s="3" t="str">
        <f t="shared" si="150"/>
        <v>0</v>
      </c>
      <c r="U272" s="3"/>
      <c r="V272" s="3"/>
      <c r="W272" s="3"/>
      <c r="X272" s="3"/>
      <c r="Y272" s="3"/>
      <c r="Z272" s="3"/>
    </row>
    <row r="273" spans="1:26" x14ac:dyDescent="0.25">
      <c r="A273" s="2">
        <v>46147</v>
      </c>
      <c r="B273" s="3" t="s">
        <v>170</v>
      </c>
      <c r="C273" s="169" t="s">
        <v>233</v>
      </c>
      <c r="D273" s="4">
        <v>465.57</v>
      </c>
      <c r="E273" s="209">
        <v>0.995</v>
      </c>
      <c r="F273" s="184">
        <f t="shared" si="154"/>
        <v>463.24214999999998</v>
      </c>
      <c r="G273" s="6"/>
      <c r="H273" s="210"/>
      <c r="I273" s="3" t="str">
        <f t="shared" si="139"/>
        <v>0</v>
      </c>
      <c r="J273" s="3" t="str">
        <f t="shared" si="140"/>
        <v>0</v>
      </c>
      <c r="K273" s="3" t="str">
        <f t="shared" si="141"/>
        <v>0</v>
      </c>
      <c r="L273" s="3" t="str">
        <f t="shared" si="142"/>
        <v>0</v>
      </c>
      <c r="M273" s="3">
        <f t="shared" si="143"/>
        <v>0</v>
      </c>
      <c r="N273" s="3">
        <f t="shared" si="144"/>
        <v>0</v>
      </c>
      <c r="O273" s="3">
        <f t="shared" si="145"/>
        <v>465.57</v>
      </c>
      <c r="P273" s="3" t="str">
        <f t="shared" si="146"/>
        <v>0</v>
      </c>
      <c r="Q273" s="3">
        <f t="shared" si="147"/>
        <v>463.24214999999998</v>
      </c>
      <c r="R273" s="3" t="str">
        <f t="shared" si="148"/>
        <v>0</v>
      </c>
      <c r="S273" s="3">
        <f t="shared" si="149"/>
        <v>0</v>
      </c>
      <c r="T273" s="3" t="str">
        <f t="shared" si="150"/>
        <v>0</v>
      </c>
      <c r="U273" s="3"/>
      <c r="V273" s="3"/>
      <c r="W273" s="3"/>
      <c r="X273" s="3"/>
      <c r="Y273" s="3"/>
      <c r="Z273" s="3"/>
    </row>
    <row r="274" spans="1:26" x14ac:dyDescent="0.25">
      <c r="A274" s="2">
        <v>46147</v>
      </c>
      <c r="B274" s="3" t="s">
        <v>170</v>
      </c>
      <c r="C274" s="169" t="s">
        <v>239</v>
      </c>
      <c r="D274" s="4">
        <v>6412.6</v>
      </c>
      <c r="E274" s="209">
        <v>0.88</v>
      </c>
      <c r="F274" s="184">
        <f t="shared" si="154"/>
        <v>5643.0880000000006</v>
      </c>
      <c r="G274" s="6">
        <f>H274/D274</f>
        <v>0.13270592271465551</v>
      </c>
      <c r="H274" s="210">
        <v>850.99</v>
      </c>
      <c r="I274" s="3" t="str">
        <f t="shared" si="139"/>
        <v>0</v>
      </c>
      <c r="J274" s="3" t="str">
        <f t="shared" si="140"/>
        <v>0</v>
      </c>
      <c r="K274" s="3" t="str">
        <f t="shared" si="141"/>
        <v>0</v>
      </c>
      <c r="L274" s="3" t="str">
        <f t="shared" si="142"/>
        <v>0</v>
      </c>
      <c r="M274" s="3">
        <f t="shared" si="143"/>
        <v>0</v>
      </c>
      <c r="N274" s="3">
        <f t="shared" si="144"/>
        <v>0</v>
      </c>
      <c r="O274" s="3">
        <f t="shared" si="145"/>
        <v>6412.6</v>
      </c>
      <c r="P274" s="3" t="str">
        <f t="shared" si="146"/>
        <v>0</v>
      </c>
      <c r="Q274" s="3">
        <f t="shared" si="147"/>
        <v>5643.0880000000006</v>
      </c>
      <c r="R274" s="3" t="str">
        <f t="shared" si="148"/>
        <v>0</v>
      </c>
      <c r="S274" s="3">
        <f t="shared" si="149"/>
        <v>893.53949999999998</v>
      </c>
      <c r="T274" s="3" t="str">
        <f t="shared" si="150"/>
        <v>0</v>
      </c>
      <c r="U274" s="3"/>
      <c r="V274" s="3"/>
      <c r="W274" s="3"/>
      <c r="X274" s="3"/>
      <c r="Y274" s="3"/>
      <c r="Z274" s="3"/>
    </row>
    <row r="275" spans="1:26" x14ac:dyDescent="0.25">
      <c r="A275" s="2">
        <v>46148</v>
      </c>
      <c r="B275" s="3" t="s">
        <v>169</v>
      </c>
      <c r="C275" s="3" t="s">
        <v>235</v>
      </c>
      <c r="D275" s="4">
        <v>1490.7</v>
      </c>
      <c r="E275" s="5">
        <v>0.88</v>
      </c>
      <c r="F275" s="6">
        <f>+D275*E275</f>
        <v>1311.816</v>
      </c>
      <c r="G275" s="6">
        <f>+H275/D275</f>
        <v>0.67350908968940759</v>
      </c>
      <c r="H275" s="7">
        <v>1004</v>
      </c>
      <c r="I275" s="3">
        <f t="shared" si="139"/>
        <v>1490.7</v>
      </c>
      <c r="J275" s="3" t="str">
        <f t="shared" si="140"/>
        <v>0</v>
      </c>
      <c r="K275" s="3">
        <f t="shared" si="141"/>
        <v>1311.816</v>
      </c>
      <c r="L275" s="3" t="str">
        <f t="shared" si="142"/>
        <v>0</v>
      </c>
      <c r="M275" s="3">
        <f t="shared" si="143"/>
        <v>1054.2</v>
      </c>
      <c r="N275" s="3">
        <f t="shared" si="144"/>
        <v>0</v>
      </c>
      <c r="O275" s="3" t="str">
        <f t="shared" si="145"/>
        <v>0</v>
      </c>
      <c r="P275" s="3" t="str">
        <f t="shared" si="146"/>
        <v>0</v>
      </c>
      <c r="Q275" s="3" t="str">
        <f t="shared" si="147"/>
        <v>0</v>
      </c>
      <c r="R275" s="3" t="str">
        <f t="shared" si="148"/>
        <v>0</v>
      </c>
      <c r="S275" s="3">
        <f t="shared" si="149"/>
        <v>0</v>
      </c>
      <c r="T275" s="3" t="str">
        <f t="shared" si="150"/>
        <v>0</v>
      </c>
      <c r="U275" s="3"/>
      <c r="V275" s="3"/>
      <c r="W275" s="3"/>
      <c r="X275" s="3"/>
      <c r="Y275" s="3"/>
      <c r="Z275" s="3"/>
    </row>
    <row r="276" spans="1:26" x14ac:dyDescent="0.25">
      <c r="A276" s="2">
        <v>46148</v>
      </c>
      <c r="B276" s="3" t="s">
        <v>169</v>
      </c>
      <c r="C276" s="169" t="s">
        <v>228</v>
      </c>
      <c r="D276" s="4">
        <v>470</v>
      </c>
      <c r="E276" s="5">
        <v>0.88</v>
      </c>
      <c r="F276" s="6">
        <f t="shared" ref="F276" si="155">+D276*E276</f>
        <v>413.6</v>
      </c>
      <c r="G276" s="6">
        <f t="shared" ref="G276" si="156">+H276/D276</f>
        <v>40.882127659574465</v>
      </c>
      <c r="H276" s="7">
        <v>19214.599999999999</v>
      </c>
      <c r="I276" s="3">
        <f t="shared" si="139"/>
        <v>470</v>
      </c>
      <c r="J276" s="3" t="str">
        <f t="shared" si="140"/>
        <v>0</v>
      </c>
      <c r="K276" s="3">
        <f t="shared" si="141"/>
        <v>413.6</v>
      </c>
      <c r="L276" s="3" t="str">
        <f t="shared" si="142"/>
        <v>0</v>
      </c>
      <c r="M276" s="3">
        <f t="shared" si="143"/>
        <v>20175.329999999998</v>
      </c>
      <c r="N276" s="3">
        <f t="shared" si="144"/>
        <v>0</v>
      </c>
      <c r="O276" s="3" t="str">
        <f t="shared" si="145"/>
        <v>0</v>
      </c>
      <c r="P276" s="3" t="str">
        <f t="shared" si="146"/>
        <v>0</v>
      </c>
      <c r="Q276" s="3" t="str">
        <f t="shared" si="147"/>
        <v>0</v>
      </c>
      <c r="R276" s="3" t="str">
        <f t="shared" si="148"/>
        <v>0</v>
      </c>
      <c r="S276" s="3">
        <f t="shared" si="149"/>
        <v>0</v>
      </c>
      <c r="T276" s="3" t="str">
        <f t="shared" si="150"/>
        <v>0</v>
      </c>
      <c r="U276" s="3"/>
      <c r="V276" s="3"/>
      <c r="W276" s="3"/>
      <c r="X276" s="3"/>
      <c r="Y276" s="3"/>
      <c r="Z276" s="3"/>
    </row>
    <row r="277" spans="1:26" x14ac:dyDescent="0.25">
      <c r="A277" s="2">
        <v>46148</v>
      </c>
      <c r="B277" s="3" t="s">
        <v>170</v>
      </c>
      <c r="C277" s="3" t="s">
        <v>230</v>
      </c>
      <c r="D277" s="4">
        <v>1000</v>
      </c>
      <c r="E277" s="209">
        <v>0.995</v>
      </c>
      <c r="F277" s="184">
        <f t="shared" ref="F277:F280" si="157">D277*E277</f>
        <v>995</v>
      </c>
      <c r="G277" s="6">
        <f t="shared" si="133"/>
        <v>0</v>
      </c>
      <c r="H277" s="3"/>
      <c r="I277" s="3" t="str">
        <f t="shared" si="139"/>
        <v>0</v>
      </c>
      <c r="J277" s="3" t="str">
        <f t="shared" si="140"/>
        <v>0</v>
      </c>
      <c r="K277" s="3" t="str">
        <f t="shared" si="141"/>
        <v>0</v>
      </c>
      <c r="L277" s="3" t="str">
        <f t="shared" si="142"/>
        <v>0</v>
      </c>
      <c r="M277" s="3">
        <f t="shared" si="143"/>
        <v>0</v>
      </c>
      <c r="N277" s="3">
        <f t="shared" si="144"/>
        <v>0</v>
      </c>
      <c r="O277" s="3">
        <f t="shared" si="145"/>
        <v>1000</v>
      </c>
      <c r="P277" s="3" t="str">
        <f t="shared" si="146"/>
        <v>0</v>
      </c>
      <c r="Q277" s="3">
        <f t="shared" si="147"/>
        <v>995</v>
      </c>
      <c r="R277" s="3" t="str">
        <f t="shared" si="148"/>
        <v>0</v>
      </c>
      <c r="S277" s="3">
        <f t="shared" si="149"/>
        <v>0</v>
      </c>
      <c r="T277" s="3" t="str">
        <f t="shared" si="150"/>
        <v>0</v>
      </c>
      <c r="U277" s="3"/>
      <c r="V277" s="3"/>
      <c r="W277" s="3"/>
      <c r="X277" s="3"/>
      <c r="Y277" s="3"/>
      <c r="Z277" s="3"/>
    </row>
    <row r="278" spans="1:26" x14ac:dyDescent="0.25">
      <c r="A278" s="2">
        <v>46148</v>
      </c>
      <c r="B278" s="3" t="s">
        <v>170</v>
      </c>
      <c r="C278" s="169" t="s">
        <v>234</v>
      </c>
      <c r="D278" s="4">
        <v>1000</v>
      </c>
      <c r="E278" s="209">
        <v>0.995</v>
      </c>
      <c r="F278" s="184">
        <f t="shared" si="157"/>
        <v>995</v>
      </c>
      <c r="G278" s="6">
        <f t="shared" si="133"/>
        <v>0</v>
      </c>
      <c r="H278" s="3"/>
      <c r="I278" s="3" t="str">
        <f t="shared" si="139"/>
        <v>0</v>
      </c>
      <c r="J278" s="3" t="str">
        <f t="shared" si="140"/>
        <v>0</v>
      </c>
      <c r="K278" s="3" t="str">
        <f t="shared" si="141"/>
        <v>0</v>
      </c>
      <c r="L278" s="3" t="str">
        <f t="shared" si="142"/>
        <v>0</v>
      </c>
      <c r="M278" s="3">
        <f t="shared" si="143"/>
        <v>0</v>
      </c>
      <c r="N278" s="3">
        <f t="shared" si="144"/>
        <v>0</v>
      </c>
      <c r="O278" s="3">
        <f t="shared" si="145"/>
        <v>1000</v>
      </c>
      <c r="P278" s="3" t="str">
        <f t="shared" si="146"/>
        <v>0</v>
      </c>
      <c r="Q278" s="3">
        <f t="shared" si="147"/>
        <v>995</v>
      </c>
      <c r="R278" s="3" t="str">
        <f t="shared" si="148"/>
        <v>0</v>
      </c>
      <c r="S278" s="3">
        <f t="shared" si="149"/>
        <v>0</v>
      </c>
      <c r="T278" s="3" t="str">
        <f t="shared" si="150"/>
        <v>0</v>
      </c>
      <c r="U278" s="3"/>
      <c r="V278" s="3"/>
      <c r="W278" s="3"/>
      <c r="X278" s="3"/>
      <c r="Y278" s="3"/>
      <c r="Z278" s="3"/>
    </row>
    <row r="279" spans="1:26" x14ac:dyDescent="0.25">
      <c r="A279" s="2">
        <v>46148</v>
      </c>
      <c r="B279" s="3" t="s">
        <v>170</v>
      </c>
      <c r="C279" s="169" t="s">
        <v>228</v>
      </c>
      <c r="D279" s="4">
        <v>350.55</v>
      </c>
      <c r="E279" s="209">
        <v>0.995</v>
      </c>
      <c r="F279" s="184">
        <f t="shared" si="157"/>
        <v>348.79725000000002</v>
      </c>
      <c r="G279" s="6">
        <f t="shared" si="133"/>
        <v>0</v>
      </c>
      <c r="H279" s="3"/>
      <c r="I279" s="3" t="str">
        <f t="shared" si="139"/>
        <v>0</v>
      </c>
      <c r="J279" s="3" t="str">
        <f t="shared" si="140"/>
        <v>0</v>
      </c>
      <c r="K279" s="3" t="str">
        <f t="shared" si="141"/>
        <v>0</v>
      </c>
      <c r="L279" s="3" t="str">
        <f t="shared" si="142"/>
        <v>0</v>
      </c>
      <c r="M279" s="3">
        <f t="shared" si="143"/>
        <v>0</v>
      </c>
      <c r="N279" s="3">
        <f t="shared" si="144"/>
        <v>0</v>
      </c>
      <c r="O279" s="3">
        <f t="shared" si="145"/>
        <v>350.55</v>
      </c>
      <c r="P279" s="3" t="str">
        <f t="shared" si="146"/>
        <v>0</v>
      </c>
      <c r="Q279" s="3">
        <f t="shared" si="147"/>
        <v>348.79725000000002</v>
      </c>
      <c r="R279" s="3" t="str">
        <f t="shared" si="148"/>
        <v>0</v>
      </c>
      <c r="S279" s="3">
        <f t="shared" si="149"/>
        <v>0</v>
      </c>
      <c r="T279" s="3" t="str">
        <f t="shared" si="150"/>
        <v>0</v>
      </c>
      <c r="U279" s="3"/>
      <c r="V279" s="3"/>
      <c r="W279" s="3"/>
      <c r="X279" s="3"/>
      <c r="Y279" s="3"/>
      <c r="Z279" s="3"/>
    </row>
    <row r="280" spans="1:26" x14ac:dyDescent="0.25">
      <c r="A280" s="2">
        <v>46148</v>
      </c>
      <c r="B280" s="3" t="s">
        <v>170</v>
      </c>
      <c r="C280" s="169" t="s">
        <v>238</v>
      </c>
      <c r="D280" s="4">
        <v>159.4</v>
      </c>
      <c r="E280" s="209">
        <v>0.995</v>
      </c>
      <c r="F280" s="184">
        <f t="shared" si="157"/>
        <v>158.60300000000001</v>
      </c>
      <c r="G280" s="6">
        <f t="shared" si="133"/>
        <v>0</v>
      </c>
      <c r="H280" s="3"/>
      <c r="I280" s="3" t="str">
        <f t="shared" si="139"/>
        <v>0</v>
      </c>
      <c r="J280" s="3" t="str">
        <f t="shared" si="140"/>
        <v>0</v>
      </c>
      <c r="K280" s="3" t="str">
        <f t="shared" si="141"/>
        <v>0</v>
      </c>
      <c r="L280" s="3" t="str">
        <f t="shared" si="142"/>
        <v>0</v>
      </c>
      <c r="M280" s="3">
        <f t="shared" si="143"/>
        <v>0</v>
      </c>
      <c r="N280" s="3">
        <f t="shared" si="144"/>
        <v>0</v>
      </c>
      <c r="O280" s="3">
        <f t="shared" si="145"/>
        <v>159.4</v>
      </c>
      <c r="P280" s="3" t="str">
        <f t="shared" si="146"/>
        <v>0</v>
      </c>
      <c r="Q280" s="3">
        <f t="shared" si="147"/>
        <v>158.60300000000001</v>
      </c>
      <c r="R280" s="3" t="str">
        <f t="shared" si="148"/>
        <v>0</v>
      </c>
      <c r="S280" s="3">
        <f t="shared" si="149"/>
        <v>0</v>
      </c>
      <c r="T280" s="3" t="str">
        <f t="shared" si="150"/>
        <v>0</v>
      </c>
      <c r="U280" s="3"/>
      <c r="V280" s="3"/>
      <c r="W280" s="3"/>
      <c r="X280" s="3"/>
      <c r="Y280" s="3"/>
      <c r="Z280" s="3"/>
    </row>
    <row r="281" spans="1:26" x14ac:dyDescent="0.25">
      <c r="A281" s="2">
        <v>46148</v>
      </c>
      <c r="B281" s="3" t="s">
        <v>209</v>
      </c>
      <c r="C281" s="169" t="s">
        <v>239</v>
      </c>
      <c r="D281" s="4">
        <v>311.435</v>
      </c>
      <c r="E281" s="209">
        <v>0.995</v>
      </c>
      <c r="F281" s="184">
        <f>+D281*E281</f>
        <v>309.87782499999997</v>
      </c>
      <c r="G281" s="6">
        <f t="shared" si="133"/>
        <v>0</v>
      </c>
      <c r="H281" s="3"/>
      <c r="I281" s="3" t="str">
        <f t="shared" si="139"/>
        <v>0</v>
      </c>
      <c r="J281" s="3" t="str">
        <f t="shared" si="140"/>
        <v>0</v>
      </c>
      <c r="K281" s="3" t="str">
        <f t="shared" si="141"/>
        <v>0</v>
      </c>
      <c r="L281" s="3" t="str">
        <f t="shared" si="142"/>
        <v>0</v>
      </c>
      <c r="M281" s="3">
        <f t="shared" si="143"/>
        <v>0</v>
      </c>
      <c r="N281" s="3">
        <f t="shared" si="144"/>
        <v>0</v>
      </c>
      <c r="O281" s="3" t="str">
        <f t="shared" si="145"/>
        <v>0</v>
      </c>
      <c r="P281" s="3">
        <f t="shared" si="146"/>
        <v>311.435</v>
      </c>
      <c r="Q281" s="3" t="str">
        <f t="shared" si="147"/>
        <v>0</v>
      </c>
      <c r="R281" s="3">
        <f t="shared" si="148"/>
        <v>309.87782499999997</v>
      </c>
      <c r="S281" s="3">
        <f t="shared" si="149"/>
        <v>0</v>
      </c>
      <c r="T281" s="3">
        <f t="shared" si="150"/>
        <v>0</v>
      </c>
      <c r="U281" s="3"/>
      <c r="V281" s="3"/>
      <c r="W281" s="3"/>
      <c r="X281" s="3"/>
      <c r="Y281" s="3"/>
      <c r="Z281" s="3"/>
    </row>
    <row r="282" spans="1:26" x14ac:dyDescent="0.25">
      <c r="A282" s="2">
        <v>46149</v>
      </c>
      <c r="B282" s="3" t="s">
        <v>169</v>
      </c>
      <c r="C282" s="169" t="s">
        <v>229</v>
      </c>
      <c r="D282" s="4">
        <v>434.72</v>
      </c>
      <c r="E282" s="5">
        <v>0.88</v>
      </c>
      <c r="F282" s="6">
        <f>+D282*E282</f>
        <v>382.55360000000002</v>
      </c>
      <c r="G282" s="6">
        <f>+H282/D282</f>
        <v>11.434486566065512</v>
      </c>
      <c r="H282" s="7">
        <v>4970.8</v>
      </c>
      <c r="I282" s="3">
        <f t="shared" si="139"/>
        <v>434.72</v>
      </c>
      <c r="J282" s="3" t="str">
        <f t="shared" si="140"/>
        <v>0</v>
      </c>
      <c r="K282" s="3">
        <f t="shared" si="141"/>
        <v>382.55360000000002</v>
      </c>
      <c r="L282" s="3" t="str">
        <f t="shared" si="142"/>
        <v>0</v>
      </c>
      <c r="M282" s="3">
        <f t="shared" si="143"/>
        <v>5219.34</v>
      </c>
      <c r="N282" s="3">
        <f t="shared" si="144"/>
        <v>0</v>
      </c>
      <c r="O282" s="3" t="str">
        <f t="shared" si="145"/>
        <v>0</v>
      </c>
      <c r="P282" s="3" t="str">
        <f t="shared" si="146"/>
        <v>0</v>
      </c>
      <c r="Q282" s="3" t="str">
        <f t="shared" si="147"/>
        <v>0</v>
      </c>
      <c r="R282" s="3" t="str">
        <f t="shared" si="148"/>
        <v>0</v>
      </c>
      <c r="S282" s="3">
        <f t="shared" si="149"/>
        <v>0</v>
      </c>
      <c r="T282" s="3" t="str">
        <f t="shared" si="150"/>
        <v>0</v>
      </c>
      <c r="U282" s="3"/>
      <c r="V282" s="3"/>
      <c r="W282" s="3"/>
      <c r="X282" s="3"/>
      <c r="Y282" s="3"/>
      <c r="Z282" s="3"/>
    </row>
    <row r="283" spans="1:26" x14ac:dyDescent="0.25">
      <c r="A283" s="2">
        <v>46149</v>
      </c>
      <c r="B283" s="3" t="s">
        <v>169</v>
      </c>
      <c r="C283" s="169" t="s">
        <v>233</v>
      </c>
      <c r="D283" s="4">
        <v>297.26400000000001</v>
      </c>
      <c r="E283" s="5">
        <v>0.88</v>
      </c>
      <c r="F283" s="6">
        <f t="shared" ref="F283:F287" si="158">+D283*E283</f>
        <v>261.59232000000003</v>
      </c>
      <c r="G283" s="6">
        <f t="shared" ref="G283:G287" si="159">+H283/D283</f>
        <v>5.1136363636363633</v>
      </c>
      <c r="H283" s="7">
        <v>1520.1</v>
      </c>
      <c r="I283" s="3">
        <f t="shared" si="139"/>
        <v>297.26400000000001</v>
      </c>
      <c r="J283" s="3" t="str">
        <f t="shared" si="140"/>
        <v>0</v>
      </c>
      <c r="K283" s="3">
        <f t="shared" si="141"/>
        <v>261.59232000000003</v>
      </c>
      <c r="L283" s="3" t="str">
        <f t="shared" si="142"/>
        <v>0</v>
      </c>
      <c r="M283" s="3">
        <f t="shared" si="143"/>
        <v>1596.105</v>
      </c>
      <c r="N283" s="3">
        <f t="shared" si="144"/>
        <v>0</v>
      </c>
      <c r="O283" s="3" t="str">
        <f t="shared" si="145"/>
        <v>0</v>
      </c>
      <c r="P283" s="3" t="str">
        <f t="shared" si="146"/>
        <v>0</v>
      </c>
      <c r="Q283" s="3" t="str">
        <f t="shared" si="147"/>
        <v>0</v>
      </c>
      <c r="R283" s="3" t="str">
        <f t="shared" si="148"/>
        <v>0</v>
      </c>
      <c r="S283" s="3">
        <f t="shared" si="149"/>
        <v>0</v>
      </c>
      <c r="T283" s="3" t="str">
        <f t="shared" si="150"/>
        <v>0</v>
      </c>
      <c r="U283" s="3"/>
      <c r="V283" s="3"/>
      <c r="W283" s="3"/>
      <c r="X283" s="3"/>
      <c r="Y283" s="3"/>
      <c r="Z283" s="3"/>
    </row>
    <row r="284" spans="1:26" x14ac:dyDescent="0.25">
      <c r="A284" s="2">
        <v>46149</v>
      </c>
      <c r="B284" s="3" t="s">
        <v>169</v>
      </c>
      <c r="C284" s="169" t="s">
        <v>228</v>
      </c>
      <c r="D284" s="4">
        <v>2101.1759999999999</v>
      </c>
      <c r="E284" s="5">
        <v>0.88</v>
      </c>
      <c r="F284" s="6">
        <f t="shared" si="158"/>
        <v>1849.0348799999999</v>
      </c>
      <c r="G284" s="6">
        <f t="shared" si="159"/>
        <v>11.821380027184777</v>
      </c>
      <c r="H284" s="7">
        <v>24838.799999999999</v>
      </c>
      <c r="I284" s="3">
        <f t="shared" si="139"/>
        <v>2101.1759999999999</v>
      </c>
      <c r="J284" s="3" t="str">
        <f t="shared" si="140"/>
        <v>0</v>
      </c>
      <c r="K284" s="3">
        <f t="shared" si="141"/>
        <v>1849.0348799999999</v>
      </c>
      <c r="L284" s="3" t="str">
        <f t="shared" si="142"/>
        <v>0</v>
      </c>
      <c r="M284" s="3">
        <f t="shared" si="143"/>
        <v>26080.739999999998</v>
      </c>
      <c r="N284" s="3">
        <f t="shared" si="144"/>
        <v>0</v>
      </c>
      <c r="O284" s="3" t="str">
        <f t="shared" si="145"/>
        <v>0</v>
      </c>
      <c r="P284" s="3" t="str">
        <f t="shared" si="146"/>
        <v>0</v>
      </c>
      <c r="Q284" s="3" t="str">
        <f t="shared" si="147"/>
        <v>0</v>
      </c>
      <c r="R284" s="3" t="str">
        <f t="shared" si="148"/>
        <v>0</v>
      </c>
      <c r="S284" s="3">
        <f t="shared" si="149"/>
        <v>0</v>
      </c>
      <c r="T284" s="3" t="str">
        <f t="shared" si="150"/>
        <v>0</v>
      </c>
      <c r="U284" s="3"/>
      <c r="V284" s="3"/>
      <c r="W284" s="3"/>
      <c r="X284" s="3"/>
      <c r="Y284" s="3"/>
      <c r="Z284" s="3"/>
    </row>
    <row r="285" spans="1:26" x14ac:dyDescent="0.25">
      <c r="A285" s="2">
        <v>46149</v>
      </c>
      <c r="B285" s="3" t="s">
        <v>169</v>
      </c>
      <c r="C285" s="169" t="s">
        <v>247</v>
      </c>
      <c r="D285" s="4">
        <v>123.37599999999999</v>
      </c>
      <c r="E285" s="5">
        <v>0.88</v>
      </c>
      <c r="F285" s="6">
        <f t="shared" si="158"/>
        <v>108.57087999999999</v>
      </c>
      <c r="G285" s="6">
        <f t="shared" si="159"/>
        <v>8.5227272727272734</v>
      </c>
      <c r="H285" s="7">
        <v>1051.5</v>
      </c>
      <c r="I285" s="3">
        <f t="shared" si="139"/>
        <v>123.37599999999999</v>
      </c>
      <c r="J285" s="3" t="str">
        <f t="shared" si="140"/>
        <v>0</v>
      </c>
      <c r="K285" s="3">
        <f t="shared" si="141"/>
        <v>108.57087999999999</v>
      </c>
      <c r="L285" s="3" t="str">
        <f t="shared" si="142"/>
        <v>0</v>
      </c>
      <c r="M285" s="3">
        <f t="shared" si="143"/>
        <v>1104.075</v>
      </c>
      <c r="N285" s="3">
        <f t="shared" si="144"/>
        <v>0</v>
      </c>
      <c r="O285" s="3" t="str">
        <f t="shared" si="145"/>
        <v>0</v>
      </c>
      <c r="P285" s="3" t="str">
        <f t="shared" si="146"/>
        <v>0</v>
      </c>
      <c r="Q285" s="3" t="str">
        <f t="shared" si="147"/>
        <v>0</v>
      </c>
      <c r="R285" s="3" t="str">
        <f t="shared" si="148"/>
        <v>0</v>
      </c>
      <c r="S285" s="3">
        <f t="shared" si="149"/>
        <v>0</v>
      </c>
      <c r="T285" s="3" t="str">
        <f t="shared" si="150"/>
        <v>0</v>
      </c>
      <c r="U285" s="3"/>
      <c r="V285" s="3"/>
      <c r="W285" s="3"/>
      <c r="X285" s="3"/>
      <c r="Y285" s="3"/>
      <c r="Z285" s="3"/>
    </row>
    <row r="286" spans="1:26" x14ac:dyDescent="0.25">
      <c r="A286" s="2">
        <v>46149</v>
      </c>
      <c r="B286" s="3" t="s">
        <v>169</v>
      </c>
      <c r="C286" s="3" t="s">
        <v>235</v>
      </c>
      <c r="D286" s="4">
        <v>1095.0720000000001</v>
      </c>
      <c r="E286" s="5">
        <v>0.88</v>
      </c>
      <c r="F286" s="6">
        <f t="shared" si="158"/>
        <v>963.66336000000013</v>
      </c>
      <c r="G286" s="6">
        <f t="shared" si="159"/>
        <v>4.8295454545454541</v>
      </c>
      <c r="H286" s="7">
        <v>5288.7</v>
      </c>
      <c r="I286" s="3">
        <f t="shared" si="139"/>
        <v>1095.0720000000001</v>
      </c>
      <c r="J286" s="3" t="str">
        <f t="shared" si="140"/>
        <v>0</v>
      </c>
      <c r="K286" s="3">
        <f t="shared" si="141"/>
        <v>963.66336000000013</v>
      </c>
      <c r="L286" s="3" t="str">
        <f t="shared" si="142"/>
        <v>0</v>
      </c>
      <c r="M286" s="3">
        <f t="shared" si="143"/>
        <v>5553.1350000000002</v>
      </c>
      <c r="N286" s="3">
        <f t="shared" si="144"/>
        <v>0</v>
      </c>
      <c r="O286" s="3" t="str">
        <f t="shared" si="145"/>
        <v>0</v>
      </c>
      <c r="P286" s="3" t="str">
        <f t="shared" si="146"/>
        <v>0</v>
      </c>
      <c r="Q286" s="3" t="str">
        <f t="shared" si="147"/>
        <v>0</v>
      </c>
      <c r="R286" s="3" t="str">
        <f t="shared" si="148"/>
        <v>0</v>
      </c>
      <c r="S286" s="3">
        <f t="shared" si="149"/>
        <v>0</v>
      </c>
      <c r="T286" s="3" t="str">
        <f t="shared" si="150"/>
        <v>0</v>
      </c>
      <c r="U286" s="3"/>
      <c r="V286" s="3"/>
      <c r="W286" s="3"/>
      <c r="X286" s="3"/>
      <c r="Y286" s="3"/>
      <c r="Z286" s="3"/>
    </row>
    <row r="287" spans="1:26" x14ac:dyDescent="0.25">
      <c r="A287" s="2">
        <v>46149</v>
      </c>
      <c r="B287" s="3" t="s">
        <v>169</v>
      </c>
      <c r="C287" s="169" t="s">
        <v>233</v>
      </c>
      <c r="D287" s="4">
        <v>214.28</v>
      </c>
      <c r="E287" s="5">
        <v>0.88</v>
      </c>
      <c r="F287" s="6">
        <f t="shared" si="158"/>
        <v>188.56640000000002</v>
      </c>
      <c r="G287" s="6">
        <f t="shared" si="159"/>
        <v>6.4427384730259467</v>
      </c>
      <c r="H287" s="7">
        <v>1380.55</v>
      </c>
      <c r="I287" s="3">
        <f t="shared" si="139"/>
        <v>214.28</v>
      </c>
      <c r="J287" s="3" t="str">
        <f t="shared" si="140"/>
        <v>0</v>
      </c>
      <c r="K287" s="3">
        <f t="shared" si="141"/>
        <v>188.56640000000002</v>
      </c>
      <c r="L287" s="3" t="str">
        <f t="shared" si="142"/>
        <v>0</v>
      </c>
      <c r="M287" s="3">
        <f t="shared" si="143"/>
        <v>1449.5774999999999</v>
      </c>
      <c r="N287" s="3">
        <f t="shared" si="144"/>
        <v>0</v>
      </c>
      <c r="O287" s="3" t="str">
        <f t="shared" si="145"/>
        <v>0</v>
      </c>
      <c r="P287" s="3" t="str">
        <f t="shared" si="146"/>
        <v>0</v>
      </c>
      <c r="Q287" s="3" t="str">
        <f t="shared" si="147"/>
        <v>0</v>
      </c>
      <c r="R287" s="3" t="str">
        <f t="shared" si="148"/>
        <v>0</v>
      </c>
      <c r="S287" s="3">
        <f t="shared" si="149"/>
        <v>0</v>
      </c>
      <c r="T287" s="3" t="str">
        <f t="shared" si="150"/>
        <v>0</v>
      </c>
      <c r="U287" s="3"/>
      <c r="V287" s="3"/>
      <c r="W287" s="3"/>
      <c r="X287" s="3"/>
      <c r="Y287" s="3"/>
      <c r="Z287" s="3"/>
    </row>
    <row r="288" spans="1:26" x14ac:dyDescent="0.25">
      <c r="A288" s="2">
        <v>46149</v>
      </c>
      <c r="B288" s="3" t="s">
        <v>170</v>
      </c>
      <c r="C288" s="169" t="s">
        <v>229</v>
      </c>
      <c r="D288" s="4">
        <v>1256.4859999999999</v>
      </c>
      <c r="E288" s="209">
        <v>0.995</v>
      </c>
      <c r="F288" s="184">
        <f t="shared" ref="F288:F292" si="160">D288*E288</f>
        <v>1250.2035699999999</v>
      </c>
      <c r="G288" s="6">
        <f t="shared" si="133"/>
        <v>0</v>
      </c>
      <c r="H288" s="3"/>
      <c r="I288" s="3" t="str">
        <f t="shared" si="139"/>
        <v>0</v>
      </c>
      <c r="J288" s="3" t="str">
        <f t="shared" si="140"/>
        <v>0</v>
      </c>
      <c r="K288" s="3" t="str">
        <f t="shared" si="141"/>
        <v>0</v>
      </c>
      <c r="L288" s="3" t="str">
        <f t="shared" si="142"/>
        <v>0</v>
      </c>
      <c r="M288" s="3">
        <f t="shared" si="143"/>
        <v>0</v>
      </c>
      <c r="N288" s="3">
        <f t="shared" si="144"/>
        <v>0</v>
      </c>
      <c r="O288" s="3">
        <f t="shared" si="145"/>
        <v>1256.4859999999999</v>
      </c>
      <c r="P288" s="3" t="str">
        <f t="shared" si="146"/>
        <v>0</v>
      </c>
      <c r="Q288" s="3">
        <f t="shared" si="147"/>
        <v>1250.2035699999999</v>
      </c>
      <c r="R288" s="3" t="str">
        <f t="shared" si="148"/>
        <v>0</v>
      </c>
      <c r="S288" s="3">
        <f t="shared" si="149"/>
        <v>0</v>
      </c>
      <c r="T288" s="3" t="str">
        <f t="shared" si="150"/>
        <v>0</v>
      </c>
      <c r="U288" s="3"/>
      <c r="V288" s="3"/>
      <c r="W288" s="3"/>
      <c r="X288" s="3"/>
      <c r="Y288" s="3"/>
      <c r="Z288" s="3"/>
    </row>
    <row r="289" spans="1:26" x14ac:dyDescent="0.25">
      <c r="A289" s="2">
        <v>46149</v>
      </c>
      <c r="B289" s="3" t="s">
        <v>170</v>
      </c>
      <c r="C289" s="169" t="s">
        <v>228</v>
      </c>
      <c r="D289" s="4">
        <v>1990</v>
      </c>
      <c r="E289" s="209">
        <v>0.995</v>
      </c>
      <c r="F289" s="184">
        <f t="shared" si="160"/>
        <v>1980.05</v>
      </c>
      <c r="G289" s="6">
        <f t="shared" si="133"/>
        <v>0</v>
      </c>
      <c r="H289" s="3"/>
      <c r="I289" s="3" t="str">
        <f t="shared" si="139"/>
        <v>0</v>
      </c>
      <c r="J289" s="3" t="str">
        <f t="shared" si="140"/>
        <v>0</v>
      </c>
      <c r="K289" s="3" t="str">
        <f t="shared" si="141"/>
        <v>0</v>
      </c>
      <c r="L289" s="3" t="str">
        <f t="shared" si="142"/>
        <v>0</v>
      </c>
      <c r="M289" s="3">
        <f t="shared" si="143"/>
        <v>0</v>
      </c>
      <c r="N289" s="3">
        <f t="shared" si="144"/>
        <v>0</v>
      </c>
      <c r="O289" s="3">
        <f t="shared" si="145"/>
        <v>1990</v>
      </c>
      <c r="P289" s="3" t="str">
        <f t="shared" si="146"/>
        <v>0</v>
      </c>
      <c r="Q289" s="3">
        <f t="shared" si="147"/>
        <v>1980.05</v>
      </c>
      <c r="R289" s="3" t="str">
        <f t="shared" si="148"/>
        <v>0</v>
      </c>
      <c r="S289" s="3">
        <f t="shared" si="149"/>
        <v>0</v>
      </c>
      <c r="T289" s="3" t="str">
        <f t="shared" si="150"/>
        <v>0</v>
      </c>
      <c r="U289" s="3"/>
      <c r="V289" s="3"/>
      <c r="W289" s="3"/>
      <c r="X289" s="3"/>
      <c r="Y289" s="3"/>
      <c r="Z289" s="3"/>
    </row>
    <row r="290" spans="1:26" x14ac:dyDescent="0.25">
      <c r="A290" s="2">
        <v>46149</v>
      </c>
      <c r="B290" s="3" t="s">
        <v>170</v>
      </c>
      <c r="C290" s="3" t="s">
        <v>235</v>
      </c>
      <c r="D290" s="4">
        <v>995</v>
      </c>
      <c r="E290" s="209">
        <v>0.995</v>
      </c>
      <c r="F290" s="184">
        <f t="shared" si="160"/>
        <v>990.02499999999998</v>
      </c>
      <c r="G290" s="6">
        <f t="shared" si="133"/>
        <v>0</v>
      </c>
      <c r="H290" s="3"/>
      <c r="I290" s="3" t="str">
        <f t="shared" si="139"/>
        <v>0</v>
      </c>
      <c r="J290" s="3" t="str">
        <f t="shared" si="140"/>
        <v>0</v>
      </c>
      <c r="K290" s="3" t="str">
        <f t="shared" si="141"/>
        <v>0</v>
      </c>
      <c r="L290" s="3" t="str">
        <f t="shared" si="142"/>
        <v>0</v>
      </c>
      <c r="M290" s="3">
        <f t="shared" si="143"/>
        <v>0</v>
      </c>
      <c r="N290" s="3">
        <f t="shared" si="144"/>
        <v>0</v>
      </c>
      <c r="O290" s="3">
        <f t="shared" si="145"/>
        <v>995</v>
      </c>
      <c r="P290" s="3" t="str">
        <f t="shared" si="146"/>
        <v>0</v>
      </c>
      <c r="Q290" s="3">
        <f t="shared" si="147"/>
        <v>990.02499999999998</v>
      </c>
      <c r="R290" s="3" t="str">
        <f t="shared" si="148"/>
        <v>0</v>
      </c>
      <c r="S290" s="3">
        <f t="shared" si="149"/>
        <v>0</v>
      </c>
      <c r="T290" s="3" t="str">
        <f t="shared" si="150"/>
        <v>0</v>
      </c>
      <c r="U290" s="3"/>
      <c r="V290" s="3"/>
      <c r="W290" s="3"/>
      <c r="X290" s="3"/>
      <c r="Y290" s="3"/>
      <c r="Z290" s="3"/>
    </row>
    <row r="291" spans="1:26" x14ac:dyDescent="0.25">
      <c r="A291" s="2">
        <v>46149</v>
      </c>
      <c r="B291" s="3" t="s">
        <v>170</v>
      </c>
      <c r="C291" s="169" t="s">
        <v>232</v>
      </c>
      <c r="D291" s="4">
        <v>231.53649999999999</v>
      </c>
      <c r="E291" s="209">
        <v>0.995</v>
      </c>
      <c r="F291" s="184">
        <f t="shared" si="160"/>
        <v>230.3788175</v>
      </c>
      <c r="G291" s="6">
        <f t="shared" si="133"/>
        <v>0</v>
      </c>
      <c r="H291" s="3"/>
      <c r="I291" s="3" t="str">
        <f t="shared" si="139"/>
        <v>0</v>
      </c>
      <c r="J291" s="3" t="str">
        <f t="shared" si="140"/>
        <v>0</v>
      </c>
      <c r="K291" s="3" t="str">
        <f t="shared" si="141"/>
        <v>0</v>
      </c>
      <c r="L291" s="3" t="str">
        <f t="shared" si="142"/>
        <v>0</v>
      </c>
      <c r="M291" s="3">
        <f t="shared" si="143"/>
        <v>0</v>
      </c>
      <c r="N291" s="3">
        <f t="shared" si="144"/>
        <v>0</v>
      </c>
      <c r="O291" s="3">
        <f t="shared" si="145"/>
        <v>231.53649999999999</v>
      </c>
      <c r="P291" s="3" t="str">
        <f t="shared" si="146"/>
        <v>0</v>
      </c>
      <c r="Q291" s="3">
        <f t="shared" si="147"/>
        <v>230.3788175</v>
      </c>
      <c r="R291" s="3" t="str">
        <f t="shared" si="148"/>
        <v>0</v>
      </c>
      <c r="S291" s="3">
        <f t="shared" si="149"/>
        <v>0</v>
      </c>
      <c r="T291" s="3" t="str">
        <f t="shared" si="150"/>
        <v>0</v>
      </c>
      <c r="U291" s="3"/>
      <c r="V291" s="3"/>
      <c r="W291" s="3"/>
      <c r="X291" s="3"/>
      <c r="Y291" s="3"/>
      <c r="Z291" s="3"/>
    </row>
    <row r="292" spans="1:26" x14ac:dyDescent="0.25">
      <c r="A292" s="2">
        <v>46149</v>
      </c>
      <c r="B292" s="3" t="s">
        <v>170</v>
      </c>
      <c r="C292" s="3" t="s">
        <v>230</v>
      </c>
      <c r="D292" s="4">
        <v>571.13</v>
      </c>
      <c r="E292" s="209">
        <v>0.995</v>
      </c>
      <c r="F292" s="184">
        <f t="shared" si="160"/>
        <v>568.27435000000003</v>
      </c>
      <c r="G292" s="6">
        <f t="shared" si="133"/>
        <v>0</v>
      </c>
      <c r="H292" s="3"/>
      <c r="I292" s="3" t="str">
        <f t="shared" si="139"/>
        <v>0</v>
      </c>
      <c r="J292" s="3" t="str">
        <f t="shared" si="140"/>
        <v>0</v>
      </c>
      <c r="K292" s="3" t="str">
        <f t="shared" si="141"/>
        <v>0</v>
      </c>
      <c r="L292" s="3" t="str">
        <f t="shared" si="142"/>
        <v>0</v>
      </c>
      <c r="M292" s="3">
        <f t="shared" si="143"/>
        <v>0</v>
      </c>
      <c r="N292" s="3">
        <f t="shared" si="144"/>
        <v>0</v>
      </c>
      <c r="O292" s="3">
        <f t="shared" si="145"/>
        <v>571.13</v>
      </c>
      <c r="P292" s="3" t="str">
        <f t="shared" si="146"/>
        <v>0</v>
      </c>
      <c r="Q292" s="3">
        <f t="shared" si="147"/>
        <v>568.27435000000003</v>
      </c>
      <c r="R292" s="3" t="str">
        <f t="shared" si="148"/>
        <v>0</v>
      </c>
      <c r="S292" s="3">
        <f t="shared" si="149"/>
        <v>0</v>
      </c>
      <c r="T292" s="3" t="str">
        <f t="shared" si="150"/>
        <v>0</v>
      </c>
      <c r="U292" s="3"/>
      <c r="V292" s="3"/>
      <c r="W292" s="3"/>
      <c r="X292" s="3"/>
      <c r="Y292" s="3"/>
      <c r="Z292" s="3"/>
    </row>
    <row r="293" spans="1:26" x14ac:dyDescent="0.25">
      <c r="A293" s="2">
        <v>46150</v>
      </c>
      <c r="B293" s="3" t="s">
        <v>169</v>
      </c>
      <c r="C293" s="169" t="s">
        <v>228</v>
      </c>
      <c r="D293" s="4">
        <v>2283.6880000000001</v>
      </c>
      <c r="E293" s="5">
        <v>0.88</v>
      </c>
      <c r="F293" s="6">
        <f>+D293*E293</f>
        <v>2009.64544</v>
      </c>
      <c r="G293" s="6">
        <f>+H293/D293</f>
        <v>10.418761231832018</v>
      </c>
      <c r="H293" s="7">
        <v>23793.200000000001</v>
      </c>
      <c r="I293" s="3">
        <f t="shared" si="139"/>
        <v>2283.6880000000001</v>
      </c>
      <c r="J293" s="3" t="str">
        <f t="shared" si="140"/>
        <v>0</v>
      </c>
      <c r="K293" s="3">
        <f t="shared" si="141"/>
        <v>2009.64544</v>
      </c>
      <c r="L293" s="3" t="str">
        <f t="shared" si="142"/>
        <v>0</v>
      </c>
      <c r="M293" s="3">
        <f t="shared" si="143"/>
        <v>24982.86</v>
      </c>
      <c r="N293" s="3">
        <f t="shared" si="144"/>
        <v>0</v>
      </c>
      <c r="O293" s="3" t="str">
        <f t="shared" si="145"/>
        <v>0</v>
      </c>
      <c r="P293" s="3" t="str">
        <f t="shared" si="146"/>
        <v>0</v>
      </c>
      <c r="Q293" s="3" t="str">
        <f t="shared" si="147"/>
        <v>0</v>
      </c>
      <c r="R293" s="3" t="str">
        <f t="shared" si="148"/>
        <v>0</v>
      </c>
      <c r="S293" s="3">
        <f t="shared" si="149"/>
        <v>0</v>
      </c>
      <c r="T293" s="3" t="str">
        <f t="shared" si="150"/>
        <v>0</v>
      </c>
      <c r="U293" s="3"/>
      <c r="V293" s="3"/>
      <c r="W293" s="3"/>
      <c r="X293" s="3"/>
      <c r="Y293" s="3"/>
      <c r="Z293" s="3"/>
    </row>
    <row r="294" spans="1:26" x14ac:dyDescent="0.25">
      <c r="A294" s="2">
        <v>46150</v>
      </c>
      <c r="B294" s="3" t="s">
        <v>169</v>
      </c>
      <c r="C294" s="3" t="s">
        <v>235</v>
      </c>
      <c r="D294" s="4">
        <v>432.7928</v>
      </c>
      <c r="E294" s="5">
        <v>0.88</v>
      </c>
      <c r="F294" s="6">
        <f t="shared" ref="F294:F295" si="161">+D294*E294</f>
        <v>380.857664</v>
      </c>
      <c r="G294" s="6">
        <f t="shared" ref="G294" si="162">+H294/D294</f>
        <v>5.6818181818181825</v>
      </c>
      <c r="H294" s="7">
        <v>2459.0500000000002</v>
      </c>
      <c r="I294" s="3">
        <f t="shared" si="139"/>
        <v>432.7928</v>
      </c>
      <c r="J294" s="3" t="str">
        <f t="shared" si="140"/>
        <v>0</v>
      </c>
      <c r="K294" s="3">
        <f t="shared" si="141"/>
        <v>380.857664</v>
      </c>
      <c r="L294" s="3" t="str">
        <f t="shared" si="142"/>
        <v>0</v>
      </c>
      <c r="M294" s="3">
        <f t="shared" si="143"/>
        <v>2582.0025000000001</v>
      </c>
      <c r="N294" s="3">
        <f t="shared" si="144"/>
        <v>0</v>
      </c>
      <c r="O294" s="3" t="str">
        <f t="shared" si="145"/>
        <v>0</v>
      </c>
      <c r="P294" s="3" t="str">
        <f t="shared" si="146"/>
        <v>0</v>
      </c>
      <c r="Q294" s="3" t="str">
        <f t="shared" si="147"/>
        <v>0</v>
      </c>
      <c r="R294" s="3" t="str">
        <f t="shared" si="148"/>
        <v>0</v>
      </c>
      <c r="S294" s="3">
        <f t="shared" si="149"/>
        <v>0</v>
      </c>
      <c r="T294" s="3" t="str">
        <f t="shared" si="150"/>
        <v>0</v>
      </c>
      <c r="U294" s="3"/>
      <c r="V294" s="3"/>
      <c r="W294" s="3"/>
      <c r="X294" s="3"/>
      <c r="Y294" s="3"/>
      <c r="Z294" s="3"/>
    </row>
    <row r="295" spans="1:26" x14ac:dyDescent="0.25">
      <c r="A295" s="2">
        <v>46150</v>
      </c>
      <c r="B295" s="3" t="s">
        <v>170</v>
      </c>
      <c r="C295" s="169" t="s">
        <v>228</v>
      </c>
      <c r="D295" s="4">
        <v>1990</v>
      </c>
      <c r="E295" s="209">
        <v>0.995</v>
      </c>
      <c r="F295" s="6">
        <f t="shared" si="161"/>
        <v>1980.05</v>
      </c>
      <c r="G295" s="6">
        <f t="shared" si="133"/>
        <v>0</v>
      </c>
      <c r="H295" s="3"/>
      <c r="I295" s="3" t="str">
        <f t="shared" si="139"/>
        <v>0</v>
      </c>
      <c r="J295" s="3" t="str">
        <f t="shared" si="140"/>
        <v>0</v>
      </c>
      <c r="K295" s="3" t="str">
        <f t="shared" si="141"/>
        <v>0</v>
      </c>
      <c r="L295" s="3" t="str">
        <f t="shared" si="142"/>
        <v>0</v>
      </c>
      <c r="M295" s="3">
        <f t="shared" si="143"/>
        <v>0</v>
      </c>
      <c r="N295" s="3">
        <f t="shared" si="144"/>
        <v>0</v>
      </c>
      <c r="O295" s="3">
        <f t="shared" si="145"/>
        <v>1990</v>
      </c>
      <c r="P295" s="3" t="str">
        <f t="shared" si="146"/>
        <v>0</v>
      </c>
      <c r="Q295" s="3">
        <f t="shared" si="147"/>
        <v>1980.05</v>
      </c>
      <c r="R295" s="3" t="str">
        <f t="shared" si="148"/>
        <v>0</v>
      </c>
      <c r="S295" s="3">
        <f t="shared" si="149"/>
        <v>0</v>
      </c>
      <c r="T295" s="3" t="str">
        <f t="shared" si="150"/>
        <v>0</v>
      </c>
      <c r="U295" s="3"/>
      <c r="V295" s="3"/>
      <c r="W295" s="3"/>
      <c r="X295" s="3"/>
      <c r="Y295" s="3"/>
      <c r="Z295" s="3"/>
    </row>
    <row r="296" spans="1:26" x14ac:dyDescent="0.25">
      <c r="A296" s="2">
        <v>46151</v>
      </c>
      <c r="B296" s="3" t="s">
        <v>169</v>
      </c>
      <c r="C296" s="3" t="s">
        <v>235</v>
      </c>
      <c r="D296" s="4">
        <v>679.16639999999995</v>
      </c>
      <c r="E296" s="5">
        <v>0.88</v>
      </c>
      <c r="F296" s="6">
        <f>+D296*E296</f>
        <v>597.66643199999999</v>
      </c>
      <c r="G296" s="6">
        <f>+H296/D296</f>
        <v>14.772727272727273</v>
      </c>
      <c r="H296" s="7">
        <v>10033.14</v>
      </c>
      <c r="I296" s="3">
        <f t="shared" si="139"/>
        <v>679.16639999999995</v>
      </c>
      <c r="J296" s="3" t="str">
        <f t="shared" si="140"/>
        <v>0</v>
      </c>
      <c r="K296" s="3">
        <f t="shared" si="141"/>
        <v>597.66643199999999</v>
      </c>
      <c r="L296" s="3" t="str">
        <f t="shared" si="142"/>
        <v>0</v>
      </c>
      <c r="M296" s="3">
        <f t="shared" si="143"/>
        <v>10534.796999999999</v>
      </c>
      <c r="N296" s="3">
        <f t="shared" si="144"/>
        <v>0</v>
      </c>
      <c r="O296" s="3" t="str">
        <f t="shared" si="145"/>
        <v>0</v>
      </c>
      <c r="P296" s="3" t="str">
        <f t="shared" si="146"/>
        <v>0</v>
      </c>
      <c r="Q296" s="3" t="str">
        <f t="shared" si="147"/>
        <v>0</v>
      </c>
      <c r="R296" s="3" t="str">
        <f t="shared" si="148"/>
        <v>0</v>
      </c>
      <c r="S296" s="3">
        <f t="shared" si="149"/>
        <v>0</v>
      </c>
      <c r="T296" s="3" t="str">
        <f t="shared" si="150"/>
        <v>0</v>
      </c>
      <c r="U296" s="3"/>
      <c r="V296" s="3"/>
      <c r="W296" s="3"/>
      <c r="X296" s="3"/>
      <c r="Y296" s="3"/>
      <c r="Z296" s="3"/>
    </row>
    <row r="297" spans="1:26" x14ac:dyDescent="0.25">
      <c r="A297" s="2">
        <v>46151</v>
      </c>
      <c r="B297" s="3" t="s">
        <v>169</v>
      </c>
      <c r="C297" s="169" t="s">
        <v>227</v>
      </c>
      <c r="D297" s="4">
        <v>1146.288</v>
      </c>
      <c r="E297" s="5">
        <v>0.88</v>
      </c>
      <c r="F297" s="6">
        <f t="shared" ref="F297:F299" si="163">+D297*E297</f>
        <v>1008.73344</v>
      </c>
      <c r="G297" s="6">
        <f t="shared" ref="G297:G299" si="164">+H297/D297</f>
        <v>9.2772496964113724</v>
      </c>
      <c r="H297" s="7">
        <v>10634.4</v>
      </c>
      <c r="I297" s="3">
        <f t="shared" si="139"/>
        <v>1146.288</v>
      </c>
      <c r="J297" s="3" t="str">
        <f t="shared" si="140"/>
        <v>0</v>
      </c>
      <c r="K297" s="3">
        <f t="shared" si="141"/>
        <v>1008.73344</v>
      </c>
      <c r="L297" s="3" t="str">
        <f t="shared" si="142"/>
        <v>0</v>
      </c>
      <c r="M297" s="3">
        <f t="shared" si="143"/>
        <v>11166.119999999999</v>
      </c>
      <c r="N297" s="3">
        <f t="shared" si="144"/>
        <v>0</v>
      </c>
      <c r="O297" s="3" t="str">
        <f t="shared" si="145"/>
        <v>0</v>
      </c>
      <c r="P297" s="3" t="str">
        <f t="shared" si="146"/>
        <v>0</v>
      </c>
      <c r="Q297" s="3" t="str">
        <f t="shared" si="147"/>
        <v>0</v>
      </c>
      <c r="R297" s="3" t="str">
        <f t="shared" si="148"/>
        <v>0</v>
      </c>
      <c r="S297" s="3">
        <f t="shared" si="149"/>
        <v>0</v>
      </c>
      <c r="T297" s="3" t="str">
        <f t="shared" si="150"/>
        <v>0</v>
      </c>
      <c r="U297" s="3"/>
      <c r="V297" s="3"/>
      <c r="W297" s="3"/>
      <c r="X297" s="3"/>
      <c r="Y297" s="3"/>
      <c r="Z297" s="3"/>
    </row>
    <row r="298" spans="1:26" x14ac:dyDescent="0.25">
      <c r="A298" s="2">
        <v>46151</v>
      </c>
      <c r="B298" s="3" t="s">
        <v>169</v>
      </c>
      <c r="C298" s="169" t="s">
        <v>228</v>
      </c>
      <c r="D298" s="4">
        <v>2300.672</v>
      </c>
      <c r="E298" s="5">
        <v>0.88</v>
      </c>
      <c r="F298" s="6">
        <f t="shared" si="163"/>
        <v>2024.5913600000001</v>
      </c>
      <c r="G298" s="6">
        <f t="shared" si="164"/>
        <v>10.370448286413708</v>
      </c>
      <c r="H298" s="7">
        <v>23859</v>
      </c>
      <c r="I298" s="3">
        <f t="shared" si="139"/>
        <v>2300.672</v>
      </c>
      <c r="J298" s="3" t="str">
        <f t="shared" si="140"/>
        <v>0</v>
      </c>
      <c r="K298" s="3">
        <f t="shared" si="141"/>
        <v>2024.5913600000001</v>
      </c>
      <c r="L298" s="3" t="str">
        <f t="shared" si="142"/>
        <v>0</v>
      </c>
      <c r="M298" s="3">
        <f t="shared" si="143"/>
        <v>25051.95</v>
      </c>
      <c r="N298" s="3">
        <f t="shared" si="144"/>
        <v>0</v>
      </c>
      <c r="O298" s="3" t="str">
        <f t="shared" si="145"/>
        <v>0</v>
      </c>
      <c r="P298" s="3" t="str">
        <f t="shared" si="146"/>
        <v>0</v>
      </c>
      <c r="Q298" s="3" t="str">
        <f t="shared" si="147"/>
        <v>0</v>
      </c>
      <c r="R298" s="3" t="str">
        <f t="shared" si="148"/>
        <v>0</v>
      </c>
      <c r="S298" s="3">
        <f t="shared" si="149"/>
        <v>0</v>
      </c>
      <c r="T298" s="3" t="str">
        <f t="shared" si="150"/>
        <v>0</v>
      </c>
      <c r="U298" s="3"/>
      <c r="V298" s="3"/>
      <c r="W298" s="3"/>
      <c r="X298" s="3"/>
      <c r="Y298" s="3"/>
      <c r="Z298" s="3"/>
    </row>
    <row r="299" spans="1:26" x14ac:dyDescent="0.25">
      <c r="A299" s="2">
        <v>46151</v>
      </c>
      <c r="B299" s="3" t="s">
        <v>169</v>
      </c>
      <c r="C299" s="169" t="s">
        <v>229</v>
      </c>
      <c r="D299" s="4">
        <v>647.84720000000004</v>
      </c>
      <c r="E299" s="5">
        <v>0.88</v>
      </c>
      <c r="F299" s="6">
        <f t="shared" si="163"/>
        <v>570.10553600000003</v>
      </c>
      <c r="G299" s="6">
        <f t="shared" si="164"/>
        <v>9.0909090909090917</v>
      </c>
      <c r="H299" s="7">
        <v>5889.52</v>
      </c>
      <c r="I299" s="3">
        <f t="shared" si="139"/>
        <v>647.84720000000004</v>
      </c>
      <c r="J299" s="3" t="str">
        <f t="shared" si="140"/>
        <v>0</v>
      </c>
      <c r="K299" s="3">
        <f t="shared" si="141"/>
        <v>570.10553600000003</v>
      </c>
      <c r="L299" s="3" t="str">
        <f t="shared" si="142"/>
        <v>0</v>
      </c>
      <c r="M299" s="3">
        <f t="shared" si="143"/>
        <v>6183.9960000000001</v>
      </c>
      <c r="N299" s="3">
        <f t="shared" si="144"/>
        <v>0</v>
      </c>
      <c r="O299" s="3" t="str">
        <f t="shared" si="145"/>
        <v>0</v>
      </c>
      <c r="P299" s="3" t="str">
        <f t="shared" si="146"/>
        <v>0</v>
      </c>
      <c r="Q299" s="3" t="str">
        <f t="shared" si="147"/>
        <v>0</v>
      </c>
      <c r="R299" s="3" t="str">
        <f t="shared" si="148"/>
        <v>0</v>
      </c>
      <c r="S299" s="3">
        <f t="shared" si="149"/>
        <v>0</v>
      </c>
      <c r="T299" s="3" t="str">
        <f t="shared" si="150"/>
        <v>0</v>
      </c>
      <c r="U299" s="3"/>
      <c r="V299" s="3"/>
      <c r="W299" s="3"/>
      <c r="X299" s="3"/>
      <c r="Y299" s="3"/>
      <c r="Z299" s="3"/>
    </row>
    <row r="300" spans="1:26" x14ac:dyDescent="0.25">
      <c r="A300" s="2">
        <v>46151</v>
      </c>
      <c r="B300" s="3" t="s">
        <v>170</v>
      </c>
      <c r="C300" s="169" t="s">
        <v>227</v>
      </c>
      <c r="D300" s="4">
        <v>565.12020000000007</v>
      </c>
      <c r="E300" s="209">
        <v>0.995</v>
      </c>
      <c r="F300" s="184">
        <f t="shared" ref="F300:F304" si="165">D300*E300</f>
        <v>562.29459900000006</v>
      </c>
      <c r="G300" s="6">
        <f t="shared" si="133"/>
        <v>0</v>
      </c>
      <c r="H300" s="3"/>
      <c r="I300" s="3" t="str">
        <f t="shared" si="139"/>
        <v>0</v>
      </c>
      <c r="J300" s="3" t="str">
        <f t="shared" si="140"/>
        <v>0</v>
      </c>
      <c r="K300" s="3" t="str">
        <f t="shared" si="141"/>
        <v>0</v>
      </c>
      <c r="L300" s="3" t="str">
        <f t="shared" si="142"/>
        <v>0</v>
      </c>
      <c r="M300" s="3">
        <f t="shared" si="143"/>
        <v>0</v>
      </c>
      <c r="N300" s="3">
        <f t="shared" si="144"/>
        <v>0</v>
      </c>
      <c r="O300" s="3">
        <f t="shared" si="145"/>
        <v>565.12020000000007</v>
      </c>
      <c r="P300" s="3" t="str">
        <f t="shared" si="146"/>
        <v>0</v>
      </c>
      <c r="Q300" s="3">
        <f t="shared" si="147"/>
        <v>562.29459900000006</v>
      </c>
      <c r="R300" s="3" t="str">
        <f t="shared" si="148"/>
        <v>0</v>
      </c>
      <c r="S300" s="3">
        <f t="shared" si="149"/>
        <v>0</v>
      </c>
      <c r="T300" s="3" t="str">
        <f t="shared" si="150"/>
        <v>0</v>
      </c>
      <c r="U300" s="3"/>
      <c r="V300" s="3"/>
      <c r="W300" s="3"/>
      <c r="X300" s="3"/>
      <c r="Y300" s="3"/>
      <c r="Z300" s="3"/>
    </row>
    <row r="301" spans="1:26" x14ac:dyDescent="0.25">
      <c r="A301" s="2">
        <v>46151</v>
      </c>
      <c r="B301" s="3" t="s">
        <v>170</v>
      </c>
      <c r="C301" s="169" t="s">
        <v>228</v>
      </c>
      <c r="D301" s="4">
        <v>1990</v>
      </c>
      <c r="E301" s="209">
        <v>0.995</v>
      </c>
      <c r="F301" s="184">
        <f t="shared" si="165"/>
        <v>1980.05</v>
      </c>
      <c r="G301" s="6">
        <f t="shared" si="133"/>
        <v>0</v>
      </c>
      <c r="H301" s="3"/>
      <c r="I301" s="3" t="str">
        <f t="shared" si="139"/>
        <v>0</v>
      </c>
      <c r="J301" s="3" t="str">
        <f t="shared" si="140"/>
        <v>0</v>
      </c>
      <c r="K301" s="3" t="str">
        <f t="shared" si="141"/>
        <v>0</v>
      </c>
      <c r="L301" s="3" t="str">
        <f t="shared" si="142"/>
        <v>0</v>
      </c>
      <c r="M301" s="3">
        <f t="shared" si="143"/>
        <v>0</v>
      </c>
      <c r="N301" s="3">
        <f t="shared" si="144"/>
        <v>0</v>
      </c>
      <c r="O301" s="3">
        <f t="shared" si="145"/>
        <v>1990</v>
      </c>
      <c r="P301" s="3" t="str">
        <f t="shared" si="146"/>
        <v>0</v>
      </c>
      <c r="Q301" s="3">
        <f t="shared" si="147"/>
        <v>1980.05</v>
      </c>
      <c r="R301" s="3" t="str">
        <f t="shared" si="148"/>
        <v>0</v>
      </c>
      <c r="S301" s="3">
        <f t="shared" si="149"/>
        <v>0</v>
      </c>
      <c r="T301" s="3" t="str">
        <f t="shared" si="150"/>
        <v>0</v>
      </c>
      <c r="U301" s="3"/>
      <c r="V301" s="3"/>
      <c r="W301" s="3"/>
      <c r="X301" s="3"/>
      <c r="Y301" s="3"/>
      <c r="Z301" s="3"/>
    </row>
    <row r="302" spans="1:26" x14ac:dyDescent="0.25">
      <c r="A302" s="2">
        <v>46151</v>
      </c>
      <c r="B302" s="3" t="s">
        <v>170</v>
      </c>
      <c r="C302" s="3" t="s">
        <v>230</v>
      </c>
      <c r="D302" s="4">
        <v>558.59299999999996</v>
      </c>
      <c r="E302" s="209">
        <v>0.995</v>
      </c>
      <c r="F302" s="184">
        <f t="shared" si="165"/>
        <v>555.80003499999998</v>
      </c>
      <c r="G302" s="6">
        <f t="shared" si="133"/>
        <v>0</v>
      </c>
      <c r="H302" s="3"/>
      <c r="I302" s="3" t="str">
        <f t="shared" si="139"/>
        <v>0</v>
      </c>
      <c r="J302" s="3" t="str">
        <f t="shared" si="140"/>
        <v>0</v>
      </c>
      <c r="K302" s="3" t="str">
        <f t="shared" si="141"/>
        <v>0</v>
      </c>
      <c r="L302" s="3" t="str">
        <f t="shared" si="142"/>
        <v>0</v>
      </c>
      <c r="M302" s="3">
        <f t="shared" si="143"/>
        <v>0</v>
      </c>
      <c r="N302" s="3">
        <f t="shared" si="144"/>
        <v>0</v>
      </c>
      <c r="O302" s="3">
        <f t="shared" si="145"/>
        <v>558.59299999999996</v>
      </c>
      <c r="P302" s="3" t="str">
        <f t="shared" si="146"/>
        <v>0</v>
      </c>
      <c r="Q302" s="3">
        <f t="shared" si="147"/>
        <v>555.80003499999998</v>
      </c>
      <c r="R302" s="3" t="str">
        <f t="shared" si="148"/>
        <v>0</v>
      </c>
      <c r="S302" s="3">
        <f t="shared" si="149"/>
        <v>0</v>
      </c>
      <c r="T302" s="3" t="str">
        <f t="shared" si="150"/>
        <v>0</v>
      </c>
      <c r="U302" s="3"/>
      <c r="V302" s="3"/>
      <c r="W302" s="3"/>
      <c r="X302" s="3"/>
      <c r="Y302" s="3"/>
      <c r="Z302" s="3"/>
    </row>
    <row r="303" spans="1:26" x14ac:dyDescent="0.25">
      <c r="A303" s="2">
        <v>46151</v>
      </c>
      <c r="B303" s="3" t="s">
        <v>170</v>
      </c>
      <c r="C303" s="169" t="s">
        <v>243</v>
      </c>
      <c r="D303" s="4">
        <v>454.21749999999997</v>
      </c>
      <c r="E303" s="209">
        <v>0.995</v>
      </c>
      <c r="F303" s="184">
        <f t="shared" si="165"/>
        <v>451.94641249999995</v>
      </c>
      <c r="G303" s="6">
        <f t="shared" si="133"/>
        <v>0</v>
      </c>
      <c r="H303" s="3"/>
      <c r="I303" s="3" t="str">
        <f t="shared" si="139"/>
        <v>0</v>
      </c>
      <c r="J303" s="3" t="str">
        <f t="shared" si="140"/>
        <v>0</v>
      </c>
      <c r="K303" s="3" t="str">
        <f t="shared" si="141"/>
        <v>0</v>
      </c>
      <c r="L303" s="3" t="str">
        <f t="shared" si="142"/>
        <v>0</v>
      </c>
      <c r="M303" s="3">
        <f t="shared" si="143"/>
        <v>0</v>
      </c>
      <c r="N303" s="3">
        <f t="shared" si="144"/>
        <v>0</v>
      </c>
      <c r="O303" s="3">
        <f t="shared" si="145"/>
        <v>454.21749999999997</v>
      </c>
      <c r="P303" s="3" t="str">
        <f t="shared" si="146"/>
        <v>0</v>
      </c>
      <c r="Q303" s="3">
        <f t="shared" si="147"/>
        <v>451.94641249999995</v>
      </c>
      <c r="R303" s="3" t="str">
        <f t="shared" si="148"/>
        <v>0</v>
      </c>
      <c r="S303" s="3">
        <f t="shared" si="149"/>
        <v>0</v>
      </c>
      <c r="T303" s="3" t="str">
        <f t="shared" si="150"/>
        <v>0</v>
      </c>
      <c r="U303" s="3"/>
      <c r="V303" s="3"/>
      <c r="W303" s="3"/>
      <c r="X303" s="3"/>
      <c r="Y303" s="3"/>
      <c r="Z303" s="3"/>
    </row>
    <row r="304" spans="1:26" x14ac:dyDescent="0.25">
      <c r="A304" s="2">
        <v>46151</v>
      </c>
      <c r="B304" s="3" t="s">
        <v>170</v>
      </c>
      <c r="C304" s="169" t="s">
        <v>233</v>
      </c>
      <c r="D304" s="4">
        <v>537.101</v>
      </c>
      <c r="E304" s="209">
        <v>0.995</v>
      </c>
      <c r="F304" s="184">
        <f t="shared" si="165"/>
        <v>534.41549499999996</v>
      </c>
      <c r="G304" s="6">
        <f t="shared" si="133"/>
        <v>0</v>
      </c>
      <c r="H304" s="3"/>
      <c r="I304" s="3" t="str">
        <f t="shared" si="139"/>
        <v>0</v>
      </c>
      <c r="J304" s="3" t="str">
        <f t="shared" si="140"/>
        <v>0</v>
      </c>
      <c r="K304" s="3" t="str">
        <f t="shared" si="141"/>
        <v>0</v>
      </c>
      <c r="L304" s="3" t="str">
        <f t="shared" si="142"/>
        <v>0</v>
      </c>
      <c r="M304" s="3">
        <f t="shared" si="143"/>
        <v>0</v>
      </c>
      <c r="N304" s="3">
        <f t="shared" si="144"/>
        <v>0</v>
      </c>
      <c r="O304" s="3">
        <f t="shared" si="145"/>
        <v>537.101</v>
      </c>
      <c r="P304" s="3" t="str">
        <f t="shared" si="146"/>
        <v>0</v>
      </c>
      <c r="Q304" s="3">
        <f t="shared" si="147"/>
        <v>534.41549499999996</v>
      </c>
      <c r="R304" s="3" t="str">
        <f t="shared" si="148"/>
        <v>0</v>
      </c>
      <c r="S304" s="3">
        <f t="shared" si="149"/>
        <v>0</v>
      </c>
      <c r="T304" s="3" t="str">
        <f t="shared" si="150"/>
        <v>0</v>
      </c>
      <c r="U304" s="3"/>
      <c r="V304" s="3"/>
      <c r="W304" s="3"/>
      <c r="X304" s="3"/>
      <c r="Y304" s="3"/>
      <c r="Z304" s="3"/>
    </row>
    <row r="305" spans="1:26" x14ac:dyDescent="0.25">
      <c r="A305" s="2">
        <v>46151</v>
      </c>
      <c r="B305" s="3" t="s">
        <v>212</v>
      </c>
      <c r="C305" s="169" t="s">
        <v>247</v>
      </c>
      <c r="D305" s="4">
        <v>547.096</v>
      </c>
      <c r="E305" s="209">
        <v>0.88</v>
      </c>
      <c r="F305" s="184">
        <f>+D305*E305</f>
        <v>481.44448</v>
      </c>
      <c r="G305" s="184">
        <f>+H305/D305</f>
        <v>7.7593329141503506</v>
      </c>
      <c r="H305" s="185">
        <v>4245.1000000000004</v>
      </c>
      <c r="I305" s="3" t="str">
        <f t="shared" si="139"/>
        <v>0</v>
      </c>
      <c r="J305" s="3">
        <f t="shared" si="140"/>
        <v>547.096</v>
      </c>
      <c r="K305" s="3" t="str">
        <f t="shared" si="141"/>
        <v>0</v>
      </c>
      <c r="L305" s="3">
        <f t="shared" si="142"/>
        <v>481.44448</v>
      </c>
      <c r="M305" s="3">
        <f t="shared" si="143"/>
        <v>0</v>
      </c>
      <c r="N305" s="3">
        <f t="shared" si="144"/>
        <v>4457.3550000000005</v>
      </c>
      <c r="O305" s="3" t="str">
        <f t="shared" si="145"/>
        <v>0</v>
      </c>
      <c r="P305" s="3" t="str">
        <f t="shared" si="146"/>
        <v>0</v>
      </c>
      <c r="Q305" s="3" t="str">
        <f t="shared" si="147"/>
        <v>0</v>
      </c>
      <c r="R305" s="3" t="str">
        <f t="shared" si="148"/>
        <v>0</v>
      </c>
      <c r="S305" s="3">
        <f t="shared" si="149"/>
        <v>0</v>
      </c>
      <c r="T305" s="3" t="str">
        <f t="shared" si="150"/>
        <v>0</v>
      </c>
      <c r="U305" s="3"/>
      <c r="V305" s="3"/>
      <c r="W305" s="3"/>
      <c r="X305" s="3"/>
      <c r="Y305" s="3"/>
      <c r="Z305" s="3"/>
    </row>
    <row r="306" spans="1:26" x14ac:dyDescent="0.25">
      <c r="A306" s="2">
        <v>46152</v>
      </c>
      <c r="B306" s="3" t="s">
        <v>218</v>
      </c>
      <c r="C306" s="3"/>
      <c r="D306" s="3"/>
      <c r="E306" s="3"/>
      <c r="F306" s="6">
        <f t="shared" si="138"/>
        <v>0</v>
      </c>
      <c r="G306" s="6" t="e">
        <f t="shared" si="133"/>
        <v>#DIV/0!</v>
      </c>
      <c r="H306" s="3"/>
      <c r="I306" s="3" t="str">
        <f t="shared" si="139"/>
        <v>0</v>
      </c>
      <c r="J306" s="3" t="str">
        <f t="shared" si="140"/>
        <v>0</v>
      </c>
      <c r="K306" s="3" t="str">
        <f t="shared" si="141"/>
        <v>0</v>
      </c>
      <c r="L306" s="3" t="str">
        <f t="shared" si="142"/>
        <v>0</v>
      </c>
      <c r="M306" s="3">
        <f t="shared" si="143"/>
        <v>0</v>
      </c>
      <c r="N306" s="3">
        <f t="shared" si="144"/>
        <v>0</v>
      </c>
      <c r="O306" s="3" t="str">
        <f t="shared" si="145"/>
        <v>0</v>
      </c>
      <c r="P306" s="3" t="str">
        <f t="shared" si="146"/>
        <v>0</v>
      </c>
      <c r="Q306" s="3" t="str">
        <f t="shared" si="147"/>
        <v>0</v>
      </c>
      <c r="R306" s="3" t="str">
        <f t="shared" si="148"/>
        <v>0</v>
      </c>
      <c r="S306" s="3">
        <f t="shared" si="149"/>
        <v>0</v>
      </c>
      <c r="T306" s="3" t="str">
        <f t="shared" si="150"/>
        <v>0</v>
      </c>
      <c r="U306" s="3"/>
      <c r="V306" s="3"/>
      <c r="W306" s="3"/>
      <c r="X306" s="3"/>
      <c r="Y306" s="3"/>
      <c r="Z306" s="3"/>
    </row>
    <row r="307" spans="1:26" x14ac:dyDescent="0.25">
      <c r="A307" s="2">
        <v>46153</v>
      </c>
      <c r="B307" s="3" t="s">
        <v>169</v>
      </c>
      <c r="C307" s="169" t="s">
        <v>228</v>
      </c>
      <c r="D307" s="4">
        <v>986.65600000000006</v>
      </c>
      <c r="E307" s="5">
        <v>0.88</v>
      </c>
      <c r="F307" s="6">
        <f>+D307*E307</f>
        <v>868.25728000000004</v>
      </c>
      <c r="G307" s="6">
        <f>+H307/D307</f>
        <v>10.652953004897348</v>
      </c>
      <c r="H307" s="7">
        <v>10510.8</v>
      </c>
      <c r="I307" s="3">
        <f t="shared" si="139"/>
        <v>986.65600000000006</v>
      </c>
      <c r="J307" s="3" t="str">
        <f t="shared" si="140"/>
        <v>0</v>
      </c>
      <c r="K307" s="3">
        <f t="shared" si="141"/>
        <v>868.25728000000004</v>
      </c>
      <c r="L307" s="3" t="str">
        <f t="shared" si="142"/>
        <v>0</v>
      </c>
      <c r="M307" s="3">
        <f t="shared" si="143"/>
        <v>11036.34</v>
      </c>
      <c r="N307" s="3">
        <f t="shared" si="144"/>
        <v>0</v>
      </c>
      <c r="O307" s="3" t="str">
        <f t="shared" si="145"/>
        <v>0</v>
      </c>
      <c r="P307" s="3" t="str">
        <f t="shared" si="146"/>
        <v>0</v>
      </c>
      <c r="Q307" s="3" t="str">
        <f t="shared" si="147"/>
        <v>0</v>
      </c>
      <c r="R307" s="3" t="str">
        <f t="shared" si="148"/>
        <v>0</v>
      </c>
      <c r="S307" s="3">
        <f t="shared" si="149"/>
        <v>0</v>
      </c>
      <c r="T307" s="3" t="str">
        <f t="shared" si="150"/>
        <v>0</v>
      </c>
      <c r="U307" s="3"/>
      <c r="V307" s="3"/>
      <c r="W307" s="3"/>
      <c r="X307" s="3"/>
      <c r="Y307" s="3"/>
      <c r="Z307" s="3"/>
    </row>
    <row r="308" spans="1:26" x14ac:dyDescent="0.25">
      <c r="A308" s="2">
        <v>46153</v>
      </c>
      <c r="B308" s="3" t="s">
        <v>169</v>
      </c>
      <c r="C308" s="3" t="s">
        <v>230</v>
      </c>
      <c r="D308" s="4">
        <v>258.98400000000004</v>
      </c>
      <c r="E308" s="5">
        <v>0.88</v>
      </c>
      <c r="F308" s="6">
        <f t="shared" ref="F308:F309" si="166">+D308*E308</f>
        <v>227.90592000000004</v>
      </c>
      <c r="G308" s="6">
        <f t="shared" ref="G308:G322" si="167">+H308/D308</f>
        <v>9.0909090909090899</v>
      </c>
      <c r="H308" s="7">
        <v>2354.4</v>
      </c>
      <c r="I308" s="3">
        <f t="shared" si="139"/>
        <v>258.98400000000004</v>
      </c>
      <c r="J308" s="3" t="str">
        <f t="shared" si="140"/>
        <v>0</v>
      </c>
      <c r="K308" s="3">
        <f t="shared" si="141"/>
        <v>227.90592000000004</v>
      </c>
      <c r="L308" s="3" t="str">
        <f t="shared" si="142"/>
        <v>0</v>
      </c>
      <c r="M308" s="3">
        <f t="shared" si="143"/>
        <v>2472.12</v>
      </c>
      <c r="N308" s="3">
        <f t="shared" si="144"/>
        <v>0</v>
      </c>
      <c r="O308" s="3" t="str">
        <f t="shared" si="145"/>
        <v>0</v>
      </c>
      <c r="P308" s="3" t="str">
        <f t="shared" si="146"/>
        <v>0</v>
      </c>
      <c r="Q308" s="3" t="str">
        <f t="shared" si="147"/>
        <v>0</v>
      </c>
      <c r="R308" s="3" t="str">
        <f t="shared" si="148"/>
        <v>0</v>
      </c>
      <c r="S308" s="3">
        <f t="shared" si="149"/>
        <v>0</v>
      </c>
      <c r="T308" s="3" t="str">
        <f t="shared" si="150"/>
        <v>0</v>
      </c>
      <c r="U308" s="3"/>
      <c r="V308" s="3"/>
      <c r="W308" s="3"/>
      <c r="X308" s="3"/>
      <c r="Y308" s="3"/>
      <c r="Z308" s="3"/>
    </row>
    <row r="309" spans="1:26" x14ac:dyDescent="0.25">
      <c r="A309" s="2">
        <v>46153</v>
      </c>
      <c r="B309" s="3" t="s">
        <v>169</v>
      </c>
      <c r="C309" s="169" t="s">
        <v>246</v>
      </c>
      <c r="D309" s="4">
        <v>63.254399999999997</v>
      </c>
      <c r="E309" s="5">
        <v>0.88</v>
      </c>
      <c r="F309" s="6">
        <f t="shared" si="166"/>
        <v>55.663871999999998</v>
      </c>
      <c r="G309" s="6">
        <f t="shared" si="167"/>
        <v>9.0909090909090899</v>
      </c>
      <c r="H309" s="7">
        <v>575.04</v>
      </c>
      <c r="I309" s="3">
        <f t="shared" si="139"/>
        <v>63.254399999999997</v>
      </c>
      <c r="J309" s="3" t="str">
        <f t="shared" si="140"/>
        <v>0</v>
      </c>
      <c r="K309" s="3">
        <f t="shared" si="141"/>
        <v>55.663871999999998</v>
      </c>
      <c r="L309" s="3" t="str">
        <f t="shared" si="142"/>
        <v>0</v>
      </c>
      <c r="M309" s="3">
        <f t="shared" si="143"/>
        <v>603.79199999999992</v>
      </c>
      <c r="N309" s="3">
        <f t="shared" si="144"/>
        <v>0</v>
      </c>
      <c r="O309" s="3" t="str">
        <f t="shared" si="145"/>
        <v>0</v>
      </c>
      <c r="P309" s="3" t="str">
        <f t="shared" si="146"/>
        <v>0</v>
      </c>
      <c r="Q309" s="3" t="str">
        <f t="shared" si="147"/>
        <v>0</v>
      </c>
      <c r="R309" s="3" t="str">
        <f t="shared" si="148"/>
        <v>0</v>
      </c>
      <c r="S309" s="3">
        <f t="shared" si="149"/>
        <v>0</v>
      </c>
      <c r="T309" s="3" t="str">
        <f t="shared" si="150"/>
        <v>0</v>
      </c>
      <c r="U309" s="3"/>
      <c r="V309" s="3"/>
      <c r="W309" s="3"/>
      <c r="X309" s="3"/>
      <c r="Y309" s="3"/>
      <c r="Z309" s="3"/>
    </row>
    <row r="310" spans="1:26" x14ac:dyDescent="0.25">
      <c r="A310" s="2">
        <v>46153</v>
      </c>
      <c r="B310" s="3" t="s">
        <v>170</v>
      </c>
      <c r="C310" s="3" t="s">
        <v>231</v>
      </c>
      <c r="D310" s="4">
        <v>699.93000000000006</v>
      </c>
      <c r="E310" s="209">
        <v>0.99990000000000001</v>
      </c>
      <c r="F310" s="184">
        <f t="shared" ref="F310:F314" si="168">D310*E310</f>
        <v>699.86000700000011</v>
      </c>
      <c r="G310" s="6">
        <f t="shared" si="167"/>
        <v>0</v>
      </c>
      <c r="H310" s="3"/>
      <c r="I310" s="3" t="str">
        <f t="shared" si="139"/>
        <v>0</v>
      </c>
      <c r="J310" s="3" t="str">
        <f t="shared" si="140"/>
        <v>0</v>
      </c>
      <c r="K310" s="3" t="str">
        <f t="shared" si="141"/>
        <v>0</v>
      </c>
      <c r="L310" s="3" t="str">
        <f t="shared" si="142"/>
        <v>0</v>
      </c>
      <c r="M310" s="3">
        <f t="shared" si="143"/>
        <v>0</v>
      </c>
      <c r="N310" s="3">
        <f t="shared" si="144"/>
        <v>0</v>
      </c>
      <c r="O310" s="3">
        <f t="shared" si="145"/>
        <v>699.93000000000006</v>
      </c>
      <c r="P310" s="3" t="str">
        <f t="shared" si="146"/>
        <v>0</v>
      </c>
      <c r="Q310" s="3">
        <f t="shared" si="147"/>
        <v>699.86000700000011</v>
      </c>
      <c r="R310" s="3" t="str">
        <f t="shared" si="148"/>
        <v>0</v>
      </c>
      <c r="S310" s="3">
        <f t="shared" si="149"/>
        <v>0</v>
      </c>
      <c r="T310" s="3" t="str">
        <f t="shared" si="150"/>
        <v>0</v>
      </c>
      <c r="U310" s="3"/>
      <c r="V310" s="3"/>
      <c r="W310" s="3"/>
      <c r="X310" s="3"/>
      <c r="Y310" s="3"/>
      <c r="Z310" s="3"/>
    </row>
    <row r="311" spans="1:26" x14ac:dyDescent="0.25">
      <c r="A311" s="2">
        <v>46153</v>
      </c>
      <c r="B311" s="3" t="s">
        <v>170</v>
      </c>
      <c r="C311" s="169" t="s">
        <v>228</v>
      </c>
      <c r="D311" s="4">
        <v>995</v>
      </c>
      <c r="E311" s="209">
        <v>0.995</v>
      </c>
      <c r="F311" s="184">
        <f t="shared" si="168"/>
        <v>990.02499999999998</v>
      </c>
      <c r="G311" s="6">
        <f t="shared" si="167"/>
        <v>0</v>
      </c>
      <c r="H311" s="3"/>
      <c r="I311" s="3" t="str">
        <f t="shared" si="139"/>
        <v>0</v>
      </c>
      <c r="J311" s="3" t="str">
        <f t="shared" si="140"/>
        <v>0</v>
      </c>
      <c r="K311" s="3" t="str">
        <f t="shared" si="141"/>
        <v>0</v>
      </c>
      <c r="L311" s="3" t="str">
        <f t="shared" si="142"/>
        <v>0</v>
      </c>
      <c r="M311" s="3">
        <f t="shared" si="143"/>
        <v>0</v>
      </c>
      <c r="N311" s="3">
        <f t="shared" si="144"/>
        <v>0</v>
      </c>
      <c r="O311" s="3">
        <f t="shared" si="145"/>
        <v>995</v>
      </c>
      <c r="P311" s="3" t="str">
        <f t="shared" si="146"/>
        <v>0</v>
      </c>
      <c r="Q311" s="3">
        <f t="shared" si="147"/>
        <v>990.02499999999998</v>
      </c>
      <c r="R311" s="3" t="str">
        <f t="shared" si="148"/>
        <v>0</v>
      </c>
      <c r="S311" s="3">
        <f t="shared" si="149"/>
        <v>0</v>
      </c>
      <c r="T311" s="3" t="str">
        <f t="shared" si="150"/>
        <v>0</v>
      </c>
      <c r="U311" s="3"/>
      <c r="V311" s="3"/>
      <c r="W311" s="3"/>
      <c r="X311" s="3"/>
      <c r="Y311" s="3"/>
      <c r="Z311" s="3"/>
    </row>
    <row r="312" spans="1:26" x14ac:dyDescent="0.25">
      <c r="A312" s="2">
        <v>46153</v>
      </c>
      <c r="B312" s="3" t="s">
        <v>170</v>
      </c>
      <c r="C312" s="169" t="s">
        <v>229</v>
      </c>
      <c r="D312" s="4">
        <v>1000</v>
      </c>
      <c r="E312" s="209">
        <v>1</v>
      </c>
      <c r="F312" s="184">
        <f t="shared" si="168"/>
        <v>1000</v>
      </c>
      <c r="G312" s="6">
        <f t="shared" si="167"/>
        <v>0</v>
      </c>
      <c r="H312" s="3"/>
      <c r="I312" s="3" t="str">
        <f t="shared" si="139"/>
        <v>0</v>
      </c>
      <c r="J312" s="3" t="str">
        <f t="shared" si="140"/>
        <v>0</v>
      </c>
      <c r="K312" s="3" t="str">
        <f t="shared" si="141"/>
        <v>0</v>
      </c>
      <c r="L312" s="3" t="str">
        <f t="shared" si="142"/>
        <v>0</v>
      </c>
      <c r="M312" s="3">
        <f t="shared" si="143"/>
        <v>0</v>
      </c>
      <c r="N312" s="3">
        <f t="shared" si="144"/>
        <v>0</v>
      </c>
      <c r="O312" s="3">
        <f t="shared" si="145"/>
        <v>1000</v>
      </c>
      <c r="P312" s="3" t="str">
        <f t="shared" si="146"/>
        <v>0</v>
      </c>
      <c r="Q312" s="3">
        <f t="shared" si="147"/>
        <v>1000</v>
      </c>
      <c r="R312" s="3" t="str">
        <f t="shared" si="148"/>
        <v>0</v>
      </c>
      <c r="S312" s="3">
        <f t="shared" si="149"/>
        <v>0</v>
      </c>
      <c r="T312" s="3" t="str">
        <f t="shared" si="150"/>
        <v>0</v>
      </c>
      <c r="U312" s="3"/>
      <c r="V312" s="3"/>
      <c r="W312" s="3"/>
      <c r="X312" s="3"/>
      <c r="Y312" s="3"/>
      <c r="Z312" s="3"/>
    </row>
    <row r="313" spans="1:26" x14ac:dyDescent="0.25">
      <c r="A313" s="2">
        <v>46153</v>
      </c>
      <c r="B313" s="3" t="s">
        <v>170</v>
      </c>
      <c r="C313" s="3" t="s">
        <v>235</v>
      </c>
      <c r="D313" s="4">
        <v>499.9676</v>
      </c>
      <c r="E313" s="209">
        <v>0.995</v>
      </c>
      <c r="F313" s="184">
        <f t="shared" si="168"/>
        <v>497.46776199999999</v>
      </c>
      <c r="G313" s="6">
        <f t="shared" si="167"/>
        <v>0</v>
      </c>
      <c r="H313" s="3"/>
      <c r="I313" s="3" t="str">
        <f t="shared" si="139"/>
        <v>0</v>
      </c>
      <c r="J313" s="3" t="str">
        <f t="shared" si="140"/>
        <v>0</v>
      </c>
      <c r="K313" s="3" t="str">
        <f t="shared" si="141"/>
        <v>0</v>
      </c>
      <c r="L313" s="3" t="str">
        <f t="shared" si="142"/>
        <v>0</v>
      </c>
      <c r="M313" s="3">
        <f t="shared" si="143"/>
        <v>0</v>
      </c>
      <c r="N313" s="3">
        <f t="shared" si="144"/>
        <v>0</v>
      </c>
      <c r="O313" s="3">
        <f t="shared" si="145"/>
        <v>499.9676</v>
      </c>
      <c r="P313" s="3" t="str">
        <f t="shared" si="146"/>
        <v>0</v>
      </c>
      <c r="Q313" s="3">
        <f t="shared" si="147"/>
        <v>497.46776199999999</v>
      </c>
      <c r="R313" s="3" t="str">
        <f t="shared" si="148"/>
        <v>0</v>
      </c>
      <c r="S313" s="3">
        <f t="shared" si="149"/>
        <v>0</v>
      </c>
      <c r="T313" s="3" t="str">
        <f t="shared" si="150"/>
        <v>0</v>
      </c>
      <c r="U313" s="3"/>
      <c r="V313" s="3"/>
      <c r="W313" s="3"/>
      <c r="X313" s="3"/>
      <c r="Y313" s="3"/>
      <c r="Z313" s="3"/>
    </row>
    <row r="314" spans="1:26" x14ac:dyDescent="0.25">
      <c r="A314" s="2">
        <v>46153</v>
      </c>
      <c r="B314" s="3" t="s">
        <v>170</v>
      </c>
      <c r="C314" s="169" t="s">
        <v>246</v>
      </c>
      <c r="D314" s="4">
        <v>225.27795</v>
      </c>
      <c r="E314" s="209">
        <v>0.995</v>
      </c>
      <c r="F314" s="184">
        <f t="shared" si="168"/>
        <v>224.15156025000002</v>
      </c>
      <c r="G314" s="6">
        <f t="shared" si="167"/>
        <v>0</v>
      </c>
      <c r="H314" s="3"/>
      <c r="I314" s="3" t="str">
        <f t="shared" si="139"/>
        <v>0</v>
      </c>
      <c r="J314" s="3" t="str">
        <f t="shared" si="140"/>
        <v>0</v>
      </c>
      <c r="K314" s="3" t="str">
        <f t="shared" si="141"/>
        <v>0</v>
      </c>
      <c r="L314" s="3" t="str">
        <f t="shared" si="142"/>
        <v>0</v>
      </c>
      <c r="M314" s="3">
        <f t="shared" si="143"/>
        <v>0</v>
      </c>
      <c r="N314" s="3">
        <f t="shared" si="144"/>
        <v>0</v>
      </c>
      <c r="O314" s="3">
        <f t="shared" si="145"/>
        <v>225.27795</v>
      </c>
      <c r="P314" s="3" t="str">
        <f t="shared" si="146"/>
        <v>0</v>
      </c>
      <c r="Q314" s="3">
        <f t="shared" si="147"/>
        <v>224.15156025000002</v>
      </c>
      <c r="R314" s="3" t="str">
        <f t="shared" si="148"/>
        <v>0</v>
      </c>
      <c r="S314" s="3">
        <f t="shared" si="149"/>
        <v>0</v>
      </c>
      <c r="T314" s="3" t="str">
        <f t="shared" si="150"/>
        <v>0</v>
      </c>
      <c r="U314" s="3"/>
      <c r="V314" s="3"/>
      <c r="W314" s="3"/>
      <c r="X314" s="3"/>
      <c r="Y314" s="3"/>
      <c r="Z314" s="3"/>
    </row>
    <row r="315" spans="1:26" x14ac:dyDescent="0.25">
      <c r="A315" s="2">
        <v>46153</v>
      </c>
      <c r="B315" s="3" t="s">
        <v>212</v>
      </c>
      <c r="C315" s="169" t="s">
        <v>228</v>
      </c>
      <c r="D315" s="4">
        <v>1111.616</v>
      </c>
      <c r="E315" s="209">
        <v>0.88</v>
      </c>
      <c r="F315" s="184">
        <f>+D315*E315</f>
        <v>978.22208000000001</v>
      </c>
      <c r="G315" s="184">
        <f t="shared" si="167"/>
        <v>11.363636363636363</v>
      </c>
      <c r="H315" s="185">
        <v>12632</v>
      </c>
      <c r="I315" s="3" t="str">
        <f t="shared" si="139"/>
        <v>0</v>
      </c>
      <c r="J315" s="3">
        <f t="shared" si="140"/>
        <v>1111.616</v>
      </c>
      <c r="K315" s="3" t="str">
        <f t="shared" si="141"/>
        <v>0</v>
      </c>
      <c r="L315" s="3">
        <f t="shared" si="142"/>
        <v>978.22208000000001</v>
      </c>
      <c r="M315" s="3">
        <f t="shared" si="143"/>
        <v>0</v>
      </c>
      <c r="N315" s="3">
        <f t="shared" si="144"/>
        <v>13263.6</v>
      </c>
      <c r="O315" s="3" t="str">
        <f t="shared" si="145"/>
        <v>0</v>
      </c>
      <c r="P315" s="3" t="str">
        <f t="shared" si="146"/>
        <v>0</v>
      </c>
      <c r="Q315" s="3" t="str">
        <f t="shared" si="147"/>
        <v>0</v>
      </c>
      <c r="R315" s="3" t="str">
        <f t="shared" si="148"/>
        <v>0</v>
      </c>
      <c r="S315" s="3">
        <f t="shared" si="149"/>
        <v>0</v>
      </c>
      <c r="T315" s="3" t="str">
        <f t="shared" si="150"/>
        <v>0</v>
      </c>
      <c r="U315" s="3"/>
      <c r="V315" s="3"/>
      <c r="W315" s="3"/>
      <c r="X315" s="3"/>
      <c r="Y315" s="3"/>
      <c r="Z315" s="3"/>
    </row>
    <row r="316" spans="1:26" x14ac:dyDescent="0.25">
      <c r="A316" s="2">
        <v>46153</v>
      </c>
      <c r="B316" s="3" t="s">
        <v>212</v>
      </c>
      <c r="C316" s="169" t="s">
        <v>228</v>
      </c>
      <c r="D316" s="4">
        <v>362</v>
      </c>
      <c r="E316" s="209">
        <v>0.88</v>
      </c>
      <c r="F316" s="184">
        <f>+D316*E316</f>
        <v>318.56</v>
      </c>
      <c r="G316" s="184">
        <f t="shared" si="167"/>
        <v>0.89944751381215471</v>
      </c>
      <c r="H316" s="185">
        <v>325.60000000000002</v>
      </c>
      <c r="I316" s="3" t="str">
        <f t="shared" si="139"/>
        <v>0</v>
      </c>
      <c r="J316" s="3">
        <f t="shared" si="140"/>
        <v>362</v>
      </c>
      <c r="K316" s="3" t="str">
        <f t="shared" si="141"/>
        <v>0</v>
      </c>
      <c r="L316" s="3">
        <f t="shared" si="142"/>
        <v>318.56</v>
      </c>
      <c r="M316" s="3">
        <f t="shared" si="143"/>
        <v>0</v>
      </c>
      <c r="N316" s="3">
        <f t="shared" si="144"/>
        <v>341.88</v>
      </c>
      <c r="O316" s="3" t="str">
        <f t="shared" si="145"/>
        <v>0</v>
      </c>
      <c r="P316" s="3" t="str">
        <f t="shared" si="146"/>
        <v>0</v>
      </c>
      <c r="Q316" s="3" t="str">
        <f t="shared" si="147"/>
        <v>0</v>
      </c>
      <c r="R316" s="3" t="str">
        <f t="shared" si="148"/>
        <v>0</v>
      </c>
      <c r="S316" s="3">
        <f t="shared" si="149"/>
        <v>0</v>
      </c>
      <c r="T316" s="3" t="str">
        <f t="shared" si="150"/>
        <v>0</v>
      </c>
      <c r="U316" s="3"/>
      <c r="V316" s="3"/>
      <c r="W316" s="3"/>
      <c r="X316" s="3"/>
      <c r="Y316" s="3"/>
      <c r="Z316" s="3"/>
    </row>
    <row r="317" spans="1:26" x14ac:dyDescent="0.25">
      <c r="A317" s="2">
        <v>46153</v>
      </c>
      <c r="B317" s="3" t="s">
        <v>171</v>
      </c>
      <c r="C317" s="169" t="s">
        <v>247</v>
      </c>
      <c r="D317" s="3"/>
      <c r="E317" s="3"/>
      <c r="F317" s="6">
        <f>+D317*E317</f>
        <v>0</v>
      </c>
      <c r="G317" s="6" t="e">
        <f t="shared" si="167"/>
        <v>#DIV/0!</v>
      </c>
      <c r="H317" s="3"/>
      <c r="I317" s="3" t="str">
        <f t="shared" si="139"/>
        <v>0</v>
      </c>
      <c r="J317" s="3" t="str">
        <f t="shared" si="140"/>
        <v>0</v>
      </c>
      <c r="K317" s="3" t="str">
        <f t="shared" si="141"/>
        <v>0</v>
      </c>
      <c r="L317" s="3" t="str">
        <f t="shared" si="142"/>
        <v>0</v>
      </c>
      <c r="M317" s="3">
        <f t="shared" si="143"/>
        <v>0</v>
      </c>
      <c r="N317" s="3">
        <f t="shared" si="144"/>
        <v>0</v>
      </c>
      <c r="O317" s="3" t="str">
        <f t="shared" si="145"/>
        <v>0</v>
      </c>
      <c r="P317" s="3" t="str">
        <f t="shared" si="146"/>
        <v>0</v>
      </c>
      <c r="Q317" s="3" t="str">
        <f t="shared" si="147"/>
        <v>0</v>
      </c>
      <c r="R317" s="3" t="str">
        <f t="shared" si="148"/>
        <v>0</v>
      </c>
      <c r="S317" s="3">
        <f t="shared" si="149"/>
        <v>0</v>
      </c>
      <c r="T317" s="3" t="str">
        <f t="shared" si="150"/>
        <v>0</v>
      </c>
      <c r="U317" s="3">
        <v>50000</v>
      </c>
      <c r="V317" s="3"/>
      <c r="W317" s="3"/>
      <c r="X317" s="3"/>
      <c r="Y317" s="3"/>
      <c r="Z317" s="3"/>
    </row>
    <row r="318" spans="1:26" x14ac:dyDescent="0.25">
      <c r="A318" s="2">
        <v>46154</v>
      </c>
      <c r="B318" s="3" t="s">
        <v>169</v>
      </c>
      <c r="C318" s="3" t="s">
        <v>230</v>
      </c>
      <c r="D318" s="4">
        <v>39.951999999999998</v>
      </c>
      <c r="E318" s="5">
        <v>0.88</v>
      </c>
      <c r="F318" s="6">
        <f>+D318*E318</f>
        <v>35.157759999999996</v>
      </c>
      <c r="G318" s="6">
        <f t="shared" si="167"/>
        <v>12.5</v>
      </c>
      <c r="H318" s="7">
        <v>499.4</v>
      </c>
      <c r="I318" s="3">
        <f t="shared" si="139"/>
        <v>39.951999999999998</v>
      </c>
      <c r="J318" s="3" t="str">
        <f t="shared" si="140"/>
        <v>0</v>
      </c>
      <c r="K318" s="3">
        <f t="shared" si="141"/>
        <v>35.157759999999996</v>
      </c>
      <c r="L318" s="3" t="str">
        <f t="shared" si="142"/>
        <v>0</v>
      </c>
      <c r="M318" s="3">
        <f t="shared" si="143"/>
        <v>524.37</v>
      </c>
      <c r="N318" s="3">
        <f t="shared" si="144"/>
        <v>0</v>
      </c>
      <c r="O318" s="3" t="str">
        <f t="shared" si="145"/>
        <v>0</v>
      </c>
      <c r="P318" s="3" t="str">
        <f t="shared" si="146"/>
        <v>0</v>
      </c>
      <c r="Q318" s="3" t="str">
        <f t="shared" si="147"/>
        <v>0</v>
      </c>
      <c r="R318" s="3" t="str">
        <f t="shared" si="148"/>
        <v>0</v>
      </c>
      <c r="S318" s="3">
        <f t="shared" si="149"/>
        <v>0</v>
      </c>
      <c r="T318" s="3" t="str">
        <f t="shared" si="150"/>
        <v>0</v>
      </c>
      <c r="U318" s="3"/>
      <c r="V318" s="3"/>
      <c r="W318" s="3"/>
      <c r="X318" s="3"/>
      <c r="Y318" s="3"/>
      <c r="Z318" s="3"/>
    </row>
    <row r="319" spans="1:26" x14ac:dyDescent="0.25">
      <c r="A319" s="2">
        <v>46154</v>
      </c>
      <c r="B319" s="3" t="s">
        <v>169</v>
      </c>
      <c r="C319" s="169" t="s">
        <v>228</v>
      </c>
      <c r="D319" s="4">
        <v>870.32</v>
      </c>
      <c r="E319" s="5">
        <v>0.88</v>
      </c>
      <c r="F319" s="6">
        <f t="shared" ref="F319:F322" si="169">+D319*E319</f>
        <v>765.88160000000005</v>
      </c>
      <c r="G319" s="6">
        <f t="shared" si="167"/>
        <v>13.824225572203327</v>
      </c>
      <c r="H319" s="7">
        <v>12031.5</v>
      </c>
      <c r="I319" s="3">
        <f t="shared" si="139"/>
        <v>870.32</v>
      </c>
      <c r="J319" s="3" t="str">
        <f t="shared" si="140"/>
        <v>0</v>
      </c>
      <c r="K319" s="3">
        <f t="shared" si="141"/>
        <v>765.88160000000005</v>
      </c>
      <c r="L319" s="3" t="str">
        <f t="shared" si="142"/>
        <v>0</v>
      </c>
      <c r="M319" s="3">
        <f t="shared" si="143"/>
        <v>12633.075000000001</v>
      </c>
      <c r="N319" s="3">
        <f t="shared" si="144"/>
        <v>0</v>
      </c>
      <c r="O319" s="3" t="str">
        <f t="shared" si="145"/>
        <v>0</v>
      </c>
      <c r="P319" s="3" t="str">
        <f t="shared" si="146"/>
        <v>0</v>
      </c>
      <c r="Q319" s="3" t="str">
        <f t="shared" si="147"/>
        <v>0</v>
      </c>
      <c r="R319" s="3" t="str">
        <f t="shared" si="148"/>
        <v>0</v>
      </c>
      <c r="S319" s="3">
        <f t="shared" si="149"/>
        <v>0</v>
      </c>
      <c r="T319" s="3" t="str">
        <f t="shared" si="150"/>
        <v>0</v>
      </c>
      <c r="U319" s="3"/>
      <c r="V319" s="3"/>
      <c r="W319" s="3"/>
      <c r="X319" s="3"/>
      <c r="Y319" s="3"/>
      <c r="Z319" s="3"/>
    </row>
    <row r="320" spans="1:26" x14ac:dyDescent="0.25">
      <c r="A320" s="2">
        <v>46154</v>
      </c>
      <c r="B320" s="3" t="s">
        <v>169</v>
      </c>
      <c r="C320" s="3" t="s">
        <v>231</v>
      </c>
      <c r="D320" s="4">
        <v>1110.296</v>
      </c>
      <c r="E320" s="5">
        <v>0.88</v>
      </c>
      <c r="F320" s="6">
        <f t="shared" si="169"/>
        <v>977.0604800000001</v>
      </c>
      <c r="G320" s="6">
        <f t="shared" si="167"/>
        <v>13.636363636363635</v>
      </c>
      <c r="H320" s="7">
        <v>15140.4</v>
      </c>
      <c r="I320" s="3">
        <f t="shared" si="139"/>
        <v>1110.296</v>
      </c>
      <c r="J320" s="3" t="str">
        <f t="shared" si="140"/>
        <v>0</v>
      </c>
      <c r="K320" s="3">
        <f t="shared" si="141"/>
        <v>977.0604800000001</v>
      </c>
      <c r="L320" s="3" t="str">
        <f t="shared" si="142"/>
        <v>0</v>
      </c>
      <c r="M320" s="3">
        <f t="shared" si="143"/>
        <v>15897.42</v>
      </c>
      <c r="N320" s="3">
        <f t="shared" si="144"/>
        <v>0</v>
      </c>
      <c r="O320" s="3" t="str">
        <f t="shared" si="145"/>
        <v>0</v>
      </c>
      <c r="P320" s="3" t="str">
        <f t="shared" si="146"/>
        <v>0</v>
      </c>
      <c r="Q320" s="3" t="str">
        <f t="shared" si="147"/>
        <v>0</v>
      </c>
      <c r="R320" s="3" t="str">
        <f t="shared" si="148"/>
        <v>0</v>
      </c>
      <c r="S320" s="3">
        <f t="shared" si="149"/>
        <v>0</v>
      </c>
      <c r="T320" s="3" t="str">
        <f t="shared" si="150"/>
        <v>0</v>
      </c>
      <c r="U320" s="3"/>
      <c r="V320" s="3"/>
      <c r="W320" s="3"/>
      <c r="X320" s="3"/>
      <c r="Y320" s="3"/>
      <c r="Z320" s="3"/>
    </row>
    <row r="321" spans="1:26" x14ac:dyDescent="0.25">
      <c r="A321" s="2">
        <v>46154</v>
      </c>
      <c r="B321" s="3" t="s">
        <v>169</v>
      </c>
      <c r="C321" s="169" t="s">
        <v>233</v>
      </c>
      <c r="D321" s="4">
        <v>202.136</v>
      </c>
      <c r="E321" s="5">
        <v>0.88</v>
      </c>
      <c r="F321" s="6">
        <f t="shared" si="169"/>
        <v>177.87968000000001</v>
      </c>
      <c r="G321" s="6">
        <f t="shared" si="167"/>
        <v>9.0909090909090899</v>
      </c>
      <c r="H321" s="7">
        <v>1837.6</v>
      </c>
      <c r="I321" s="3">
        <f t="shared" si="139"/>
        <v>202.136</v>
      </c>
      <c r="J321" s="3" t="str">
        <f t="shared" si="140"/>
        <v>0</v>
      </c>
      <c r="K321" s="3">
        <f t="shared" si="141"/>
        <v>177.87968000000001</v>
      </c>
      <c r="L321" s="3" t="str">
        <f t="shared" si="142"/>
        <v>0</v>
      </c>
      <c r="M321" s="3">
        <f t="shared" si="143"/>
        <v>1929.48</v>
      </c>
      <c r="N321" s="3">
        <f t="shared" si="144"/>
        <v>0</v>
      </c>
      <c r="O321" s="3" t="str">
        <f t="shared" si="145"/>
        <v>0</v>
      </c>
      <c r="P321" s="3" t="str">
        <f t="shared" si="146"/>
        <v>0</v>
      </c>
      <c r="Q321" s="3" t="str">
        <f t="shared" si="147"/>
        <v>0</v>
      </c>
      <c r="R321" s="3" t="str">
        <f t="shared" si="148"/>
        <v>0</v>
      </c>
      <c r="S321" s="3">
        <f t="shared" si="149"/>
        <v>0</v>
      </c>
      <c r="T321" s="3" t="str">
        <f t="shared" si="150"/>
        <v>0</v>
      </c>
      <c r="U321" s="3"/>
      <c r="V321" s="3"/>
      <c r="W321" s="3"/>
      <c r="X321" s="3"/>
      <c r="Y321" s="3"/>
      <c r="Z321" s="3"/>
    </row>
    <row r="322" spans="1:26" x14ac:dyDescent="0.25">
      <c r="A322" s="2">
        <v>46154</v>
      </c>
      <c r="B322" s="3" t="s">
        <v>169</v>
      </c>
      <c r="C322" s="3" t="s">
        <v>235</v>
      </c>
      <c r="D322" s="4">
        <v>862.54959999999994</v>
      </c>
      <c r="E322" s="5">
        <v>0.88</v>
      </c>
      <c r="F322" s="6">
        <f t="shared" si="169"/>
        <v>759.04364799999996</v>
      </c>
      <c r="G322" s="6">
        <f t="shared" si="167"/>
        <v>6.2935279316111208</v>
      </c>
      <c r="H322" s="7">
        <v>5428.48</v>
      </c>
      <c r="I322" s="3">
        <f t="shared" ref="I322:I385" si="170">IF(B322="SALES",D322,"0")</f>
        <v>862.54959999999994</v>
      </c>
      <c r="J322" s="3" t="str">
        <f t="shared" ref="J322:J385" si="171">IF(B322="SALES RETURN",D322,"0")</f>
        <v>0</v>
      </c>
      <c r="K322" s="3">
        <f t="shared" ref="K322:K385" si="172">IF(B322="SALES",F322,"0")</f>
        <v>759.04364799999996</v>
      </c>
      <c r="L322" s="3" t="str">
        <f t="shared" ref="L322:L385" si="173">IF(B322="SALES RETURN",F322,"0")</f>
        <v>0</v>
      </c>
      <c r="M322" s="3">
        <f t="shared" ref="M322:M385" si="174">IF(B322="SALES",H322,"0")+IF(B322="SALES",H322,"0")*5%</f>
        <v>5699.9039999999995</v>
      </c>
      <c r="N322" s="3">
        <f t="shared" ref="N322:N385" si="175">IF(B322="SALES RETURN",H322,"0")+IF(B322="SALES RETURN",H322,"0")*5%</f>
        <v>0</v>
      </c>
      <c r="O322" s="3" t="str">
        <f t="shared" ref="O322:O385" si="176">IF(B322="PURCHASE",D322,"0")</f>
        <v>0</v>
      </c>
      <c r="P322" s="3" t="str">
        <f t="shared" ref="P322:P385" si="177">IF(B322="METAL PAYMENT",D322,"0")</f>
        <v>0</v>
      </c>
      <c r="Q322" s="3" t="str">
        <f t="shared" ref="Q322:Q385" si="178">IF(B322="PURCHASE",F322,"0")</f>
        <v>0</v>
      </c>
      <c r="R322" s="3" t="str">
        <f t="shared" ref="R322:R385" si="179">IF(B322="METAL PAYMENT",F322,"0")</f>
        <v>0</v>
      </c>
      <c r="S322" s="3">
        <f t="shared" ref="S322:S385" si="180">IF(B322="PURCHASE",H322,"0")+IF(B322="PURCHASE",H322,"0")*5%</f>
        <v>0</v>
      </c>
      <c r="T322" s="3" t="str">
        <f t="shared" ref="T322:T385" si="181">IF(B322="METAL PAYMENT",H322,"0")</f>
        <v>0</v>
      </c>
      <c r="U322" s="3"/>
      <c r="V322" s="3"/>
      <c r="W322" s="3"/>
      <c r="X322" s="3"/>
      <c r="Y322" s="3"/>
      <c r="Z322" s="3"/>
    </row>
    <row r="323" spans="1:26" x14ac:dyDescent="0.25">
      <c r="A323" s="2">
        <v>46154</v>
      </c>
      <c r="B323" s="3" t="s">
        <v>170</v>
      </c>
      <c r="C323" s="3" t="s">
        <v>235</v>
      </c>
      <c r="D323" s="4">
        <v>412.36</v>
      </c>
      <c r="E323" s="209">
        <v>1</v>
      </c>
      <c r="F323" s="184">
        <f t="shared" ref="F323:F326" si="182">D323*E323</f>
        <v>412.36</v>
      </c>
      <c r="G323" s="6">
        <f>+H323/D323</f>
        <v>0</v>
      </c>
      <c r="H323" s="3"/>
      <c r="I323" s="3" t="str">
        <f t="shared" si="170"/>
        <v>0</v>
      </c>
      <c r="J323" s="3" t="str">
        <f t="shared" si="171"/>
        <v>0</v>
      </c>
      <c r="K323" s="3" t="str">
        <f t="shared" si="172"/>
        <v>0</v>
      </c>
      <c r="L323" s="3" t="str">
        <f t="shared" si="173"/>
        <v>0</v>
      </c>
      <c r="M323" s="3">
        <f t="shared" si="174"/>
        <v>0</v>
      </c>
      <c r="N323" s="3">
        <f t="shared" si="175"/>
        <v>0</v>
      </c>
      <c r="O323" s="3">
        <f t="shared" si="176"/>
        <v>412.36</v>
      </c>
      <c r="P323" s="3" t="str">
        <f t="shared" si="177"/>
        <v>0</v>
      </c>
      <c r="Q323" s="3">
        <f t="shared" si="178"/>
        <v>412.36</v>
      </c>
      <c r="R323" s="3" t="str">
        <f t="shared" si="179"/>
        <v>0</v>
      </c>
      <c r="S323" s="3">
        <f t="shared" si="180"/>
        <v>0</v>
      </c>
      <c r="T323" s="3" t="str">
        <f t="shared" si="181"/>
        <v>0</v>
      </c>
      <c r="U323" s="3"/>
      <c r="V323" s="3"/>
      <c r="W323" s="3"/>
      <c r="X323" s="3"/>
      <c r="Y323" s="3"/>
      <c r="Z323" s="3"/>
    </row>
    <row r="324" spans="1:26" x14ac:dyDescent="0.25">
      <c r="A324" s="2">
        <v>46154</v>
      </c>
      <c r="B324" s="3" t="s">
        <v>170</v>
      </c>
      <c r="C324" s="169" t="s">
        <v>228</v>
      </c>
      <c r="D324" s="4">
        <v>995</v>
      </c>
      <c r="E324" s="209">
        <v>0.995</v>
      </c>
      <c r="F324" s="184">
        <f t="shared" si="182"/>
        <v>990.02499999999998</v>
      </c>
      <c r="G324" s="6">
        <f>+H324/D324</f>
        <v>0</v>
      </c>
      <c r="H324" s="3"/>
      <c r="I324" s="3" t="str">
        <f t="shared" si="170"/>
        <v>0</v>
      </c>
      <c r="J324" s="3" t="str">
        <f t="shared" si="171"/>
        <v>0</v>
      </c>
      <c r="K324" s="3" t="str">
        <f t="shared" si="172"/>
        <v>0</v>
      </c>
      <c r="L324" s="3" t="str">
        <f t="shared" si="173"/>
        <v>0</v>
      </c>
      <c r="M324" s="3">
        <f t="shared" si="174"/>
        <v>0</v>
      </c>
      <c r="N324" s="3">
        <f t="shared" si="175"/>
        <v>0</v>
      </c>
      <c r="O324" s="3">
        <f t="shared" si="176"/>
        <v>995</v>
      </c>
      <c r="P324" s="3" t="str">
        <f t="shared" si="177"/>
        <v>0</v>
      </c>
      <c r="Q324" s="3">
        <f t="shared" si="178"/>
        <v>990.02499999999998</v>
      </c>
      <c r="R324" s="3" t="str">
        <f t="shared" si="179"/>
        <v>0</v>
      </c>
      <c r="S324" s="3">
        <f t="shared" si="180"/>
        <v>0</v>
      </c>
      <c r="T324" s="3" t="str">
        <f t="shared" si="181"/>
        <v>0</v>
      </c>
      <c r="U324" s="3"/>
      <c r="V324" s="3"/>
      <c r="W324" s="3"/>
      <c r="X324" s="3"/>
      <c r="Y324" s="3"/>
      <c r="Z324" s="3"/>
    </row>
    <row r="325" spans="1:26" x14ac:dyDescent="0.25">
      <c r="A325" s="2">
        <v>46154</v>
      </c>
      <c r="B325" s="3" t="s">
        <v>170</v>
      </c>
      <c r="C325" s="3" t="s">
        <v>230</v>
      </c>
      <c r="D325" s="4">
        <v>525.36</v>
      </c>
      <c r="E325" s="209">
        <v>0.995</v>
      </c>
      <c r="F325" s="184">
        <f t="shared" si="182"/>
        <v>522.73320000000001</v>
      </c>
      <c r="G325" s="6">
        <f>+H325/D325</f>
        <v>0</v>
      </c>
      <c r="H325" s="3"/>
      <c r="I325" s="3" t="str">
        <f t="shared" si="170"/>
        <v>0</v>
      </c>
      <c r="J325" s="3" t="str">
        <f t="shared" si="171"/>
        <v>0</v>
      </c>
      <c r="K325" s="3" t="str">
        <f t="shared" si="172"/>
        <v>0</v>
      </c>
      <c r="L325" s="3" t="str">
        <f t="shared" si="173"/>
        <v>0</v>
      </c>
      <c r="M325" s="3">
        <f t="shared" si="174"/>
        <v>0</v>
      </c>
      <c r="N325" s="3">
        <f t="shared" si="175"/>
        <v>0</v>
      </c>
      <c r="O325" s="3">
        <f t="shared" si="176"/>
        <v>525.36</v>
      </c>
      <c r="P325" s="3" t="str">
        <f t="shared" si="177"/>
        <v>0</v>
      </c>
      <c r="Q325" s="3">
        <f t="shared" si="178"/>
        <v>522.73320000000001</v>
      </c>
      <c r="R325" s="3" t="str">
        <f t="shared" si="179"/>
        <v>0</v>
      </c>
      <c r="S325" s="3">
        <f t="shared" si="180"/>
        <v>0</v>
      </c>
      <c r="T325" s="3" t="str">
        <f t="shared" si="181"/>
        <v>0</v>
      </c>
      <c r="U325" s="3"/>
      <c r="V325" s="3"/>
      <c r="W325" s="3"/>
      <c r="X325" s="3"/>
      <c r="Y325" s="3"/>
      <c r="Z325" s="3"/>
    </row>
    <row r="326" spans="1:26" x14ac:dyDescent="0.25">
      <c r="A326" s="2">
        <v>46154</v>
      </c>
      <c r="B326" s="3" t="s">
        <v>170</v>
      </c>
      <c r="C326" s="169" t="s">
        <v>227</v>
      </c>
      <c r="D326" s="4">
        <v>580.04520000000002</v>
      </c>
      <c r="E326" s="209">
        <v>0.995</v>
      </c>
      <c r="F326" s="184">
        <f t="shared" si="182"/>
        <v>577.14497400000005</v>
      </c>
      <c r="G326" s="6">
        <f>+H326/D326</f>
        <v>0</v>
      </c>
      <c r="H326" s="3"/>
      <c r="I326" s="3" t="str">
        <f t="shared" si="170"/>
        <v>0</v>
      </c>
      <c r="J326" s="3" t="str">
        <f t="shared" si="171"/>
        <v>0</v>
      </c>
      <c r="K326" s="3" t="str">
        <f t="shared" si="172"/>
        <v>0</v>
      </c>
      <c r="L326" s="3" t="str">
        <f t="shared" si="173"/>
        <v>0</v>
      </c>
      <c r="M326" s="3">
        <f t="shared" si="174"/>
        <v>0</v>
      </c>
      <c r="N326" s="3">
        <f t="shared" si="175"/>
        <v>0</v>
      </c>
      <c r="O326" s="3">
        <f t="shared" si="176"/>
        <v>580.04520000000002</v>
      </c>
      <c r="P326" s="3" t="str">
        <f t="shared" si="177"/>
        <v>0</v>
      </c>
      <c r="Q326" s="3">
        <f t="shared" si="178"/>
        <v>577.14497400000005</v>
      </c>
      <c r="R326" s="3" t="str">
        <f t="shared" si="179"/>
        <v>0</v>
      </c>
      <c r="S326" s="3">
        <f t="shared" si="180"/>
        <v>0</v>
      </c>
      <c r="T326" s="3" t="str">
        <f t="shared" si="181"/>
        <v>0</v>
      </c>
      <c r="U326" s="3"/>
      <c r="V326" s="3"/>
      <c r="W326" s="3"/>
      <c r="X326" s="3"/>
      <c r="Y326" s="3"/>
      <c r="Z326" s="3"/>
    </row>
    <row r="327" spans="1:26" x14ac:dyDescent="0.25">
      <c r="A327" s="2">
        <v>46155</v>
      </c>
      <c r="B327" s="3" t="s">
        <v>169</v>
      </c>
      <c r="C327" s="169" t="s">
        <v>246</v>
      </c>
      <c r="D327" s="4">
        <v>331.67199999999997</v>
      </c>
      <c r="E327" s="5">
        <v>0.88</v>
      </c>
      <c r="F327" s="6">
        <f>+D327*E327</f>
        <v>291.87135999999998</v>
      </c>
      <c r="G327" s="6">
        <f>+H327/D327</f>
        <v>5.1136363636363642</v>
      </c>
      <c r="H327" s="7">
        <v>1696.05</v>
      </c>
      <c r="I327" s="3">
        <f t="shared" si="170"/>
        <v>331.67199999999997</v>
      </c>
      <c r="J327" s="3" t="str">
        <f t="shared" si="171"/>
        <v>0</v>
      </c>
      <c r="K327" s="3">
        <f t="shared" si="172"/>
        <v>291.87135999999998</v>
      </c>
      <c r="L327" s="3" t="str">
        <f t="shared" si="173"/>
        <v>0</v>
      </c>
      <c r="M327" s="3">
        <f t="shared" si="174"/>
        <v>1780.8525</v>
      </c>
      <c r="N327" s="3">
        <f t="shared" si="175"/>
        <v>0</v>
      </c>
      <c r="O327" s="3" t="str">
        <f t="shared" si="176"/>
        <v>0</v>
      </c>
      <c r="P327" s="3" t="str">
        <f t="shared" si="177"/>
        <v>0</v>
      </c>
      <c r="Q327" s="3" t="str">
        <f t="shared" si="178"/>
        <v>0</v>
      </c>
      <c r="R327" s="3" t="str">
        <f t="shared" si="179"/>
        <v>0</v>
      </c>
      <c r="S327" s="3">
        <f t="shared" si="180"/>
        <v>0</v>
      </c>
      <c r="T327" s="3" t="str">
        <f t="shared" si="181"/>
        <v>0</v>
      </c>
      <c r="U327" s="3"/>
      <c r="V327" s="3"/>
      <c r="W327" s="3"/>
      <c r="X327" s="3"/>
      <c r="Y327" s="3"/>
      <c r="Z327" s="3"/>
    </row>
    <row r="328" spans="1:26" x14ac:dyDescent="0.25">
      <c r="A328" s="2">
        <v>46155</v>
      </c>
      <c r="B328" s="3" t="s">
        <v>169</v>
      </c>
      <c r="C328" s="169" t="s">
        <v>228</v>
      </c>
      <c r="D328" s="4">
        <v>1065.856</v>
      </c>
      <c r="E328" s="5">
        <v>0.88</v>
      </c>
      <c r="F328" s="6">
        <f t="shared" ref="F328:F329" si="183">+D328*E328</f>
        <v>937.95327999999995</v>
      </c>
      <c r="G328" s="6">
        <f t="shared" ref="G328:G329" si="184">+H328/D328</f>
        <v>10.251431713101956</v>
      </c>
      <c r="H328" s="7">
        <v>10926.55</v>
      </c>
      <c r="I328" s="3">
        <f t="shared" si="170"/>
        <v>1065.856</v>
      </c>
      <c r="J328" s="3" t="str">
        <f t="shared" si="171"/>
        <v>0</v>
      </c>
      <c r="K328" s="3">
        <f t="shared" si="172"/>
        <v>937.95327999999995</v>
      </c>
      <c r="L328" s="3" t="str">
        <f t="shared" si="173"/>
        <v>0</v>
      </c>
      <c r="M328" s="3">
        <f t="shared" si="174"/>
        <v>11472.877499999999</v>
      </c>
      <c r="N328" s="3">
        <f t="shared" si="175"/>
        <v>0</v>
      </c>
      <c r="O328" s="3" t="str">
        <f t="shared" si="176"/>
        <v>0</v>
      </c>
      <c r="P328" s="3" t="str">
        <f t="shared" si="177"/>
        <v>0</v>
      </c>
      <c r="Q328" s="3" t="str">
        <f t="shared" si="178"/>
        <v>0</v>
      </c>
      <c r="R328" s="3" t="str">
        <f t="shared" si="179"/>
        <v>0</v>
      </c>
      <c r="S328" s="3">
        <f t="shared" si="180"/>
        <v>0</v>
      </c>
      <c r="T328" s="3" t="str">
        <f t="shared" si="181"/>
        <v>0</v>
      </c>
      <c r="U328" s="3"/>
      <c r="V328" s="3"/>
      <c r="W328" s="3"/>
      <c r="X328" s="3"/>
      <c r="Y328" s="3"/>
      <c r="Z328" s="3"/>
    </row>
    <row r="329" spans="1:26" x14ac:dyDescent="0.25">
      <c r="A329" s="2">
        <v>46155</v>
      </c>
      <c r="B329" s="3" t="s">
        <v>169</v>
      </c>
      <c r="C329" s="169" t="s">
        <v>234</v>
      </c>
      <c r="D329" s="4">
        <v>922.4248</v>
      </c>
      <c r="E329" s="5">
        <v>0.88</v>
      </c>
      <c r="F329" s="6">
        <f t="shared" si="183"/>
        <v>811.73382400000003</v>
      </c>
      <c r="G329" s="6">
        <f t="shared" si="184"/>
        <v>9.250618587011104</v>
      </c>
      <c r="H329" s="7">
        <v>8533</v>
      </c>
      <c r="I329" s="3">
        <f t="shared" si="170"/>
        <v>922.4248</v>
      </c>
      <c r="J329" s="3" t="str">
        <f t="shared" si="171"/>
        <v>0</v>
      </c>
      <c r="K329" s="3">
        <f t="shared" si="172"/>
        <v>811.73382400000003</v>
      </c>
      <c r="L329" s="3" t="str">
        <f t="shared" si="173"/>
        <v>0</v>
      </c>
      <c r="M329" s="3">
        <f t="shared" si="174"/>
        <v>8959.65</v>
      </c>
      <c r="N329" s="3">
        <f t="shared" si="175"/>
        <v>0</v>
      </c>
      <c r="O329" s="3" t="str">
        <f t="shared" si="176"/>
        <v>0</v>
      </c>
      <c r="P329" s="3" t="str">
        <f t="shared" si="177"/>
        <v>0</v>
      </c>
      <c r="Q329" s="3" t="str">
        <f t="shared" si="178"/>
        <v>0</v>
      </c>
      <c r="R329" s="3" t="str">
        <f t="shared" si="179"/>
        <v>0</v>
      </c>
      <c r="S329" s="3">
        <f t="shared" si="180"/>
        <v>0</v>
      </c>
      <c r="T329" s="3" t="str">
        <f t="shared" si="181"/>
        <v>0</v>
      </c>
      <c r="U329" s="3"/>
      <c r="V329" s="3"/>
      <c r="W329" s="3"/>
      <c r="X329" s="3"/>
      <c r="Y329" s="3"/>
      <c r="Z329" s="3"/>
    </row>
    <row r="330" spans="1:26" x14ac:dyDescent="0.25">
      <c r="A330" s="2">
        <v>46155</v>
      </c>
      <c r="B330" s="3" t="s">
        <v>170</v>
      </c>
      <c r="C330" s="169" t="s">
        <v>246</v>
      </c>
      <c r="D330" s="4">
        <v>336.32989999999995</v>
      </c>
      <c r="E330" s="209">
        <v>0.995</v>
      </c>
      <c r="F330" s="184">
        <f t="shared" ref="F330:F332" si="185">D330*E330</f>
        <v>334.64825049999996</v>
      </c>
      <c r="G330" s="6">
        <f>+H330/D330</f>
        <v>0</v>
      </c>
      <c r="H330" s="3"/>
      <c r="I330" s="3" t="str">
        <f t="shared" si="170"/>
        <v>0</v>
      </c>
      <c r="J330" s="3" t="str">
        <f t="shared" si="171"/>
        <v>0</v>
      </c>
      <c r="K330" s="3" t="str">
        <f t="shared" si="172"/>
        <v>0</v>
      </c>
      <c r="L330" s="3" t="str">
        <f t="shared" si="173"/>
        <v>0</v>
      </c>
      <c r="M330" s="3">
        <f t="shared" si="174"/>
        <v>0</v>
      </c>
      <c r="N330" s="3">
        <f t="shared" si="175"/>
        <v>0</v>
      </c>
      <c r="O330" s="3">
        <f t="shared" si="176"/>
        <v>336.32989999999995</v>
      </c>
      <c r="P330" s="3" t="str">
        <f t="shared" si="177"/>
        <v>0</v>
      </c>
      <c r="Q330" s="3">
        <f t="shared" si="178"/>
        <v>334.64825049999996</v>
      </c>
      <c r="R330" s="3" t="str">
        <f t="shared" si="179"/>
        <v>0</v>
      </c>
      <c r="S330" s="3">
        <f t="shared" si="180"/>
        <v>0</v>
      </c>
      <c r="T330" s="3" t="str">
        <f t="shared" si="181"/>
        <v>0</v>
      </c>
      <c r="U330" s="3"/>
      <c r="V330" s="3"/>
      <c r="W330" s="3"/>
      <c r="X330" s="3"/>
      <c r="Y330" s="3"/>
      <c r="Z330" s="3"/>
    </row>
    <row r="331" spans="1:26" x14ac:dyDescent="0.25">
      <c r="A331" s="2">
        <v>46155</v>
      </c>
      <c r="B331" s="3" t="s">
        <v>170</v>
      </c>
      <c r="C331" s="169" t="s">
        <v>233</v>
      </c>
      <c r="D331" s="4">
        <v>199.77610000000001</v>
      </c>
      <c r="E331" s="209">
        <v>0.995</v>
      </c>
      <c r="F331" s="184">
        <f t="shared" si="185"/>
        <v>198.7772195</v>
      </c>
      <c r="G331" s="6">
        <f>+H331/D331</f>
        <v>0</v>
      </c>
      <c r="H331" s="3"/>
      <c r="I331" s="3" t="str">
        <f t="shared" si="170"/>
        <v>0</v>
      </c>
      <c r="J331" s="3" t="str">
        <f t="shared" si="171"/>
        <v>0</v>
      </c>
      <c r="K331" s="3" t="str">
        <f t="shared" si="172"/>
        <v>0</v>
      </c>
      <c r="L331" s="3" t="str">
        <f t="shared" si="173"/>
        <v>0</v>
      </c>
      <c r="M331" s="3">
        <f t="shared" si="174"/>
        <v>0</v>
      </c>
      <c r="N331" s="3">
        <f t="shared" si="175"/>
        <v>0</v>
      </c>
      <c r="O331" s="3">
        <f t="shared" si="176"/>
        <v>199.77610000000001</v>
      </c>
      <c r="P331" s="3" t="str">
        <f t="shared" si="177"/>
        <v>0</v>
      </c>
      <c r="Q331" s="3">
        <f t="shared" si="178"/>
        <v>198.7772195</v>
      </c>
      <c r="R331" s="3" t="str">
        <f t="shared" si="179"/>
        <v>0</v>
      </c>
      <c r="S331" s="3">
        <f t="shared" si="180"/>
        <v>0</v>
      </c>
      <c r="T331" s="3" t="str">
        <f t="shared" si="181"/>
        <v>0</v>
      </c>
      <c r="U331" s="3"/>
      <c r="V331" s="3"/>
      <c r="W331" s="3"/>
      <c r="X331" s="3"/>
      <c r="Y331" s="3"/>
      <c r="Z331" s="3"/>
    </row>
    <row r="332" spans="1:26" x14ac:dyDescent="0.25">
      <c r="A332" s="2">
        <v>46155</v>
      </c>
      <c r="B332" s="3" t="s">
        <v>170</v>
      </c>
      <c r="C332" s="169" t="s">
        <v>228</v>
      </c>
      <c r="D332" s="4">
        <v>995</v>
      </c>
      <c r="E332" s="209">
        <v>0.995</v>
      </c>
      <c r="F332" s="184">
        <f t="shared" si="185"/>
        <v>990.02499999999998</v>
      </c>
      <c r="G332" s="6">
        <f>+H332/D332</f>
        <v>0</v>
      </c>
      <c r="H332" s="3"/>
      <c r="I332" s="3" t="str">
        <f t="shared" si="170"/>
        <v>0</v>
      </c>
      <c r="J332" s="3" t="str">
        <f t="shared" si="171"/>
        <v>0</v>
      </c>
      <c r="K332" s="3" t="str">
        <f t="shared" si="172"/>
        <v>0</v>
      </c>
      <c r="L332" s="3" t="str">
        <f t="shared" si="173"/>
        <v>0</v>
      </c>
      <c r="M332" s="3">
        <f t="shared" si="174"/>
        <v>0</v>
      </c>
      <c r="N332" s="3">
        <f t="shared" si="175"/>
        <v>0</v>
      </c>
      <c r="O332" s="3">
        <f t="shared" si="176"/>
        <v>995</v>
      </c>
      <c r="P332" s="3" t="str">
        <f t="shared" si="177"/>
        <v>0</v>
      </c>
      <c r="Q332" s="3">
        <f t="shared" si="178"/>
        <v>990.02499999999998</v>
      </c>
      <c r="R332" s="3" t="str">
        <f t="shared" si="179"/>
        <v>0</v>
      </c>
      <c r="S332" s="3">
        <f t="shared" si="180"/>
        <v>0</v>
      </c>
      <c r="T332" s="3" t="str">
        <f t="shared" si="181"/>
        <v>0</v>
      </c>
      <c r="U332" s="3"/>
      <c r="V332" s="3"/>
      <c r="W332" s="3"/>
      <c r="X332" s="3"/>
      <c r="Y332" s="3"/>
      <c r="Z332" s="3"/>
    </row>
    <row r="333" spans="1:26" x14ac:dyDescent="0.25">
      <c r="A333" s="2">
        <v>46156</v>
      </c>
      <c r="B333" s="3" t="s">
        <v>169</v>
      </c>
      <c r="C333" s="169" t="s">
        <v>233</v>
      </c>
      <c r="D333" s="4">
        <v>219.29599999999999</v>
      </c>
      <c r="E333" s="5">
        <v>0.88</v>
      </c>
      <c r="F333" s="6">
        <f>+D333*E333</f>
        <v>192.98048</v>
      </c>
      <c r="G333" s="6">
        <f>+H333/D333</f>
        <v>10.227272727272728</v>
      </c>
      <c r="H333" s="7">
        <v>2242.8000000000002</v>
      </c>
      <c r="I333" s="3">
        <f t="shared" si="170"/>
        <v>219.29599999999999</v>
      </c>
      <c r="J333" s="3" t="str">
        <f t="shared" si="171"/>
        <v>0</v>
      </c>
      <c r="K333" s="3">
        <f t="shared" si="172"/>
        <v>192.98048</v>
      </c>
      <c r="L333" s="3" t="str">
        <f t="shared" si="173"/>
        <v>0</v>
      </c>
      <c r="M333" s="3">
        <f t="shared" si="174"/>
        <v>2354.94</v>
      </c>
      <c r="N333" s="3">
        <f t="shared" si="175"/>
        <v>0</v>
      </c>
      <c r="O333" s="3" t="str">
        <f t="shared" si="176"/>
        <v>0</v>
      </c>
      <c r="P333" s="3" t="str">
        <f t="shared" si="177"/>
        <v>0</v>
      </c>
      <c r="Q333" s="3" t="str">
        <f t="shared" si="178"/>
        <v>0</v>
      </c>
      <c r="R333" s="3" t="str">
        <f t="shared" si="179"/>
        <v>0</v>
      </c>
      <c r="S333" s="3">
        <f t="shared" si="180"/>
        <v>0</v>
      </c>
      <c r="T333" s="3" t="str">
        <f t="shared" si="181"/>
        <v>0</v>
      </c>
      <c r="U333" s="3"/>
      <c r="V333" s="3"/>
      <c r="W333" s="3"/>
      <c r="X333" s="3"/>
      <c r="Y333" s="3"/>
      <c r="Z333" s="3"/>
    </row>
    <row r="334" spans="1:26" x14ac:dyDescent="0.25">
      <c r="A334" s="2">
        <v>46156</v>
      </c>
      <c r="B334" s="3" t="s">
        <v>169</v>
      </c>
      <c r="C334" s="169" t="s">
        <v>228</v>
      </c>
      <c r="D334" s="4">
        <v>1943.8320000000001</v>
      </c>
      <c r="E334" s="5">
        <v>0.88</v>
      </c>
      <c r="F334" s="6">
        <f t="shared" ref="F334:F336" si="186">+D334*E334</f>
        <v>1710.5721600000002</v>
      </c>
      <c r="G334" s="6">
        <f t="shared" ref="G334:G336" si="187">+H334/D334</f>
        <v>12.049163713736577</v>
      </c>
      <c r="H334" s="7">
        <v>23421.55</v>
      </c>
      <c r="I334" s="3">
        <f t="shared" si="170"/>
        <v>1943.8320000000001</v>
      </c>
      <c r="J334" s="3" t="str">
        <f t="shared" si="171"/>
        <v>0</v>
      </c>
      <c r="K334" s="3">
        <f t="shared" si="172"/>
        <v>1710.5721600000002</v>
      </c>
      <c r="L334" s="3" t="str">
        <f t="shared" si="173"/>
        <v>0</v>
      </c>
      <c r="M334" s="3">
        <f t="shared" si="174"/>
        <v>24592.627499999999</v>
      </c>
      <c r="N334" s="3">
        <f t="shared" si="175"/>
        <v>0</v>
      </c>
      <c r="O334" s="3" t="str">
        <f t="shared" si="176"/>
        <v>0</v>
      </c>
      <c r="P334" s="3" t="str">
        <f t="shared" si="177"/>
        <v>0</v>
      </c>
      <c r="Q334" s="3" t="str">
        <f t="shared" si="178"/>
        <v>0</v>
      </c>
      <c r="R334" s="3" t="str">
        <f t="shared" si="179"/>
        <v>0</v>
      </c>
      <c r="S334" s="3">
        <f t="shared" si="180"/>
        <v>0</v>
      </c>
      <c r="T334" s="3" t="str">
        <f t="shared" si="181"/>
        <v>0</v>
      </c>
      <c r="U334" s="3"/>
      <c r="V334" s="3"/>
      <c r="W334" s="3"/>
      <c r="X334" s="3"/>
      <c r="Y334" s="3"/>
      <c r="Z334" s="3"/>
    </row>
    <row r="335" spans="1:26" x14ac:dyDescent="0.25">
      <c r="A335" s="2">
        <v>46156</v>
      </c>
      <c r="B335" s="3" t="s">
        <v>169</v>
      </c>
      <c r="C335" s="169" t="s">
        <v>236</v>
      </c>
      <c r="D335" s="4">
        <v>1040.8144</v>
      </c>
      <c r="E335" s="5">
        <v>0.92</v>
      </c>
      <c r="F335" s="6">
        <f t="shared" si="186"/>
        <v>957.54924800000003</v>
      </c>
      <c r="G335" s="6">
        <f t="shared" si="187"/>
        <v>4.3478260869565215</v>
      </c>
      <c r="H335" s="7">
        <v>4525.28</v>
      </c>
      <c r="I335" s="3">
        <f t="shared" si="170"/>
        <v>1040.8144</v>
      </c>
      <c r="J335" s="3" t="str">
        <f t="shared" si="171"/>
        <v>0</v>
      </c>
      <c r="K335" s="3">
        <f t="shared" si="172"/>
        <v>957.54924800000003</v>
      </c>
      <c r="L335" s="3" t="str">
        <f t="shared" si="173"/>
        <v>0</v>
      </c>
      <c r="M335" s="3">
        <f t="shared" si="174"/>
        <v>4751.5439999999999</v>
      </c>
      <c r="N335" s="3">
        <f t="shared" si="175"/>
        <v>0</v>
      </c>
      <c r="O335" s="3" t="str">
        <f t="shared" si="176"/>
        <v>0</v>
      </c>
      <c r="P335" s="3" t="str">
        <f t="shared" si="177"/>
        <v>0</v>
      </c>
      <c r="Q335" s="3" t="str">
        <f t="shared" si="178"/>
        <v>0</v>
      </c>
      <c r="R335" s="3" t="str">
        <f t="shared" si="179"/>
        <v>0</v>
      </c>
      <c r="S335" s="3">
        <f t="shared" si="180"/>
        <v>0</v>
      </c>
      <c r="T335" s="3" t="str">
        <f t="shared" si="181"/>
        <v>0</v>
      </c>
      <c r="U335" s="3"/>
      <c r="V335" s="3"/>
      <c r="W335" s="3"/>
      <c r="X335" s="3"/>
      <c r="Y335" s="3"/>
      <c r="Z335" s="3"/>
    </row>
    <row r="336" spans="1:26" x14ac:dyDescent="0.25">
      <c r="A336" s="2">
        <v>46156</v>
      </c>
      <c r="B336" s="3" t="s">
        <v>169</v>
      </c>
      <c r="C336" s="169" t="s">
        <v>229</v>
      </c>
      <c r="D336" s="4">
        <v>554.048</v>
      </c>
      <c r="E336" s="5">
        <v>0.88</v>
      </c>
      <c r="F336" s="6">
        <f t="shared" si="186"/>
        <v>487.56224000000003</v>
      </c>
      <c r="G336" s="6">
        <f t="shared" si="187"/>
        <v>13.636363636363637</v>
      </c>
      <c r="H336" s="7">
        <v>7555.2</v>
      </c>
      <c r="I336" s="3">
        <f t="shared" si="170"/>
        <v>554.048</v>
      </c>
      <c r="J336" s="3" t="str">
        <f t="shared" si="171"/>
        <v>0</v>
      </c>
      <c r="K336" s="3">
        <f t="shared" si="172"/>
        <v>487.56224000000003</v>
      </c>
      <c r="L336" s="3" t="str">
        <f t="shared" si="173"/>
        <v>0</v>
      </c>
      <c r="M336" s="3">
        <f t="shared" si="174"/>
        <v>7932.96</v>
      </c>
      <c r="N336" s="3">
        <f t="shared" si="175"/>
        <v>0</v>
      </c>
      <c r="O336" s="3" t="str">
        <f t="shared" si="176"/>
        <v>0</v>
      </c>
      <c r="P336" s="3" t="str">
        <f t="shared" si="177"/>
        <v>0</v>
      </c>
      <c r="Q336" s="3" t="str">
        <f t="shared" si="178"/>
        <v>0</v>
      </c>
      <c r="R336" s="3" t="str">
        <f t="shared" si="179"/>
        <v>0</v>
      </c>
      <c r="S336" s="3">
        <f t="shared" si="180"/>
        <v>0</v>
      </c>
      <c r="T336" s="3" t="str">
        <f t="shared" si="181"/>
        <v>0</v>
      </c>
      <c r="U336" s="3"/>
      <c r="V336" s="3"/>
      <c r="W336" s="3"/>
      <c r="X336" s="3"/>
      <c r="Y336" s="3"/>
      <c r="Z336" s="3"/>
    </row>
    <row r="337" spans="1:26" x14ac:dyDescent="0.25">
      <c r="A337" s="2">
        <v>46156</v>
      </c>
      <c r="B337" s="3" t="s">
        <v>170</v>
      </c>
      <c r="C337" s="169" t="s">
        <v>234</v>
      </c>
      <c r="D337" s="4">
        <v>907.91759999999999</v>
      </c>
      <c r="E337" s="209">
        <v>0.995</v>
      </c>
      <c r="F337" s="184">
        <f t="shared" ref="F337:F342" si="188">D337*E337</f>
        <v>903.37801200000001</v>
      </c>
      <c r="G337" s="6"/>
      <c r="H337" s="7"/>
      <c r="I337" s="3" t="str">
        <f t="shared" si="170"/>
        <v>0</v>
      </c>
      <c r="J337" s="3" t="str">
        <f t="shared" si="171"/>
        <v>0</v>
      </c>
      <c r="K337" s="3" t="str">
        <f t="shared" si="172"/>
        <v>0</v>
      </c>
      <c r="L337" s="3" t="str">
        <f t="shared" si="173"/>
        <v>0</v>
      </c>
      <c r="M337" s="3">
        <f t="shared" si="174"/>
        <v>0</v>
      </c>
      <c r="N337" s="3">
        <f t="shared" si="175"/>
        <v>0</v>
      </c>
      <c r="O337" s="3">
        <f t="shared" si="176"/>
        <v>907.91759999999999</v>
      </c>
      <c r="P337" s="3" t="str">
        <f t="shared" si="177"/>
        <v>0</v>
      </c>
      <c r="Q337" s="3">
        <f t="shared" si="178"/>
        <v>903.37801200000001</v>
      </c>
      <c r="R337" s="3" t="str">
        <f t="shared" si="179"/>
        <v>0</v>
      </c>
      <c r="S337" s="3">
        <f t="shared" si="180"/>
        <v>0</v>
      </c>
      <c r="T337" s="3" t="str">
        <f t="shared" si="181"/>
        <v>0</v>
      </c>
      <c r="U337" s="3"/>
      <c r="V337" s="3"/>
      <c r="W337" s="3"/>
      <c r="X337" s="3"/>
      <c r="Y337" s="3"/>
      <c r="Z337" s="3"/>
    </row>
    <row r="338" spans="1:26" x14ac:dyDescent="0.25">
      <c r="A338" s="2">
        <v>46156</v>
      </c>
      <c r="B338" s="3" t="s">
        <v>170</v>
      </c>
      <c r="C338" s="3" t="s">
        <v>235</v>
      </c>
      <c r="D338" s="4">
        <v>755.22489999999993</v>
      </c>
      <c r="E338" s="209">
        <v>0.995</v>
      </c>
      <c r="F338" s="184">
        <f t="shared" si="188"/>
        <v>751.4487754999999</v>
      </c>
      <c r="G338" s="6"/>
      <c r="H338" s="7"/>
      <c r="I338" s="3" t="str">
        <f t="shared" si="170"/>
        <v>0</v>
      </c>
      <c r="J338" s="3" t="str">
        <f t="shared" si="171"/>
        <v>0</v>
      </c>
      <c r="K338" s="3" t="str">
        <f t="shared" si="172"/>
        <v>0</v>
      </c>
      <c r="L338" s="3" t="str">
        <f t="shared" si="173"/>
        <v>0</v>
      </c>
      <c r="M338" s="3">
        <f t="shared" si="174"/>
        <v>0</v>
      </c>
      <c r="N338" s="3">
        <f t="shared" si="175"/>
        <v>0</v>
      </c>
      <c r="O338" s="3">
        <f t="shared" si="176"/>
        <v>755.22489999999993</v>
      </c>
      <c r="P338" s="3" t="str">
        <f t="shared" si="177"/>
        <v>0</v>
      </c>
      <c r="Q338" s="3">
        <f t="shared" si="178"/>
        <v>751.4487754999999</v>
      </c>
      <c r="R338" s="3" t="str">
        <f t="shared" si="179"/>
        <v>0</v>
      </c>
      <c r="S338" s="3">
        <f t="shared" si="180"/>
        <v>0</v>
      </c>
      <c r="T338" s="3" t="str">
        <f t="shared" si="181"/>
        <v>0</v>
      </c>
      <c r="U338" s="3"/>
      <c r="V338" s="3"/>
      <c r="W338" s="3"/>
      <c r="X338" s="3"/>
      <c r="Y338" s="3"/>
      <c r="Z338" s="3"/>
    </row>
    <row r="339" spans="1:26" x14ac:dyDescent="0.25">
      <c r="A339" s="2">
        <v>46156</v>
      </c>
      <c r="B339" s="3" t="s">
        <v>170</v>
      </c>
      <c r="C339" s="3" t="s">
        <v>230</v>
      </c>
      <c r="D339" s="4">
        <v>617.79549999999995</v>
      </c>
      <c r="E339" s="209">
        <v>0.995</v>
      </c>
      <c r="F339" s="184">
        <f t="shared" si="188"/>
        <v>614.70652249999989</v>
      </c>
      <c r="G339" s="6"/>
      <c r="H339" s="7"/>
      <c r="I339" s="3" t="str">
        <f t="shared" si="170"/>
        <v>0</v>
      </c>
      <c r="J339" s="3" t="str">
        <f t="shared" si="171"/>
        <v>0</v>
      </c>
      <c r="K339" s="3" t="str">
        <f t="shared" si="172"/>
        <v>0</v>
      </c>
      <c r="L339" s="3" t="str">
        <f t="shared" si="173"/>
        <v>0</v>
      </c>
      <c r="M339" s="3">
        <f t="shared" si="174"/>
        <v>0</v>
      </c>
      <c r="N339" s="3">
        <f t="shared" si="175"/>
        <v>0</v>
      </c>
      <c r="O339" s="3">
        <f t="shared" si="176"/>
        <v>617.79549999999995</v>
      </c>
      <c r="P339" s="3" t="str">
        <f t="shared" si="177"/>
        <v>0</v>
      </c>
      <c r="Q339" s="3">
        <f t="shared" si="178"/>
        <v>614.70652249999989</v>
      </c>
      <c r="R339" s="3" t="str">
        <f t="shared" si="179"/>
        <v>0</v>
      </c>
      <c r="S339" s="3">
        <f t="shared" si="180"/>
        <v>0</v>
      </c>
      <c r="T339" s="3" t="str">
        <f t="shared" si="181"/>
        <v>0</v>
      </c>
      <c r="U339" s="3"/>
      <c r="V339" s="3"/>
      <c r="W339" s="3"/>
      <c r="X339" s="3"/>
      <c r="Y339" s="3"/>
      <c r="Z339" s="3"/>
    </row>
    <row r="340" spans="1:26" x14ac:dyDescent="0.25">
      <c r="A340" s="2">
        <v>46156</v>
      </c>
      <c r="B340" s="3" t="s">
        <v>170</v>
      </c>
      <c r="C340" s="169" t="s">
        <v>228</v>
      </c>
      <c r="D340" s="4">
        <v>1990</v>
      </c>
      <c r="E340" s="209">
        <v>0.995</v>
      </c>
      <c r="F340" s="184">
        <f t="shared" si="188"/>
        <v>1980.05</v>
      </c>
      <c r="G340" s="6"/>
      <c r="H340" s="7"/>
      <c r="I340" s="3" t="str">
        <f t="shared" si="170"/>
        <v>0</v>
      </c>
      <c r="J340" s="3" t="str">
        <f t="shared" si="171"/>
        <v>0</v>
      </c>
      <c r="K340" s="3" t="str">
        <f t="shared" si="172"/>
        <v>0</v>
      </c>
      <c r="L340" s="3" t="str">
        <f t="shared" si="173"/>
        <v>0</v>
      </c>
      <c r="M340" s="3">
        <f t="shared" si="174"/>
        <v>0</v>
      </c>
      <c r="N340" s="3">
        <f t="shared" si="175"/>
        <v>0</v>
      </c>
      <c r="O340" s="3">
        <f t="shared" si="176"/>
        <v>1990</v>
      </c>
      <c r="P340" s="3" t="str">
        <f t="shared" si="177"/>
        <v>0</v>
      </c>
      <c r="Q340" s="3">
        <f t="shared" si="178"/>
        <v>1980.05</v>
      </c>
      <c r="R340" s="3" t="str">
        <f t="shared" si="179"/>
        <v>0</v>
      </c>
      <c r="S340" s="3">
        <f t="shared" si="180"/>
        <v>0</v>
      </c>
      <c r="T340" s="3" t="str">
        <f t="shared" si="181"/>
        <v>0</v>
      </c>
      <c r="U340" s="3"/>
      <c r="V340" s="3"/>
      <c r="W340" s="3"/>
      <c r="X340" s="3"/>
      <c r="Y340" s="3"/>
      <c r="Z340" s="3"/>
    </row>
    <row r="341" spans="1:26" x14ac:dyDescent="0.25">
      <c r="A341" s="2">
        <v>46156</v>
      </c>
      <c r="B341" s="3" t="s">
        <v>170</v>
      </c>
      <c r="C341" s="169" t="s">
        <v>236</v>
      </c>
      <c r="D341" s="4">
        <v>1040.8098</v>
      </c>
      <c r="E341" s="209">
        <v>0.995</v>
      </c>
      <c r="F341" s="184">
        <f t="shared" si="188"/>
        <v>1035.6057510000001</v>
      </c>
      <c r="G341" s="6"/>
      <c r="H341" s="7"/>
      <c r="I341" s="3" t="str">
        <f t="shared" si="170"/>
        <v>0</v>
      </c>
      <c r="J341" s="3" t="str">
        <f t="shared" si="171"/>
        <v>0</v>
      </c>
      <c r="K341" s="3" t="str">
        <f t="shared" si="172"/>
        <v>0</v>
      </c>
      <c r="L341" s="3" t="str">
        <f t="shared" si="173"/>
        <v>0</v>
      </c>
      <c r="M341" s="3">
        <f t="shared" si="174"/>
        <v>0</v>
      </c>
      <c r="N341" s="3">
        <f t="shared" si="175"/>
        <v>0</v>
      </c>
      <c r="O341" s="3">
        <f t="shared" si="176"/>
        <v>1040.8098</v>
      </c>
      <c r="P341" s="3" t="str">
        <f t="shared" si="177"/>
        <v>0</v>
      </c>
      <c r="Q341" s="3">
        <f t="shared" si="178"/>
        <v>1035.6057510000001</v>
      </c>
      <c r="R341" s="3" t="str">
        <f t="shared" si="179"/>
        <v>0</v>
      </c>
      <c r="S341" s="3">
        <f t="shared" si="180"/>
        <v>0</v>
      </c>
      <c r="T341" s="3" t="str">
        <f t="shared" si="181"/>
        <v>0</v>
      </c>
      <c r="U341" s="3"/>
      <c r="V341" s="3"/>
      <c r="W341" s="3"/>
      <c r="X341" s="3"/>
      <c r="Y341" s="3"/>
      <c r="Z341" s="3"/>
    </row>
    <row r="342" spans="1:26" x14ac:dyDescent="0.25">
      <c r="A342" s="2">
        <v>46156</v>
      </c>
      <c r="B342" s="3" t="s">
        <v>170</v>
      </c>
      <c r="C342" s="169" t="s">
        <v>239</v>
      </c>
      <c r="D342" s="4">
        <v>268.6728</v>
      </c>
      <c r="E342" s="209">
        <v>0.88</v>
      </c>
      <c r="F342" s="184">
        <f t="shared" si="188"/>
        <v>236.432064</v>
      </c>
      <c r="G342" s="6">
        <f>H342/D342</f>
        <v>3.1249906950015038</v>
      </c>
      <c r="H342" s="7">
        <v>839.6</v>
      </c>
      <c r="I342" s="3" t="str">
        <f t="shared" si="170"/>
        <v>0</v>
      </c>
      <c r="J342" s="3" t="str">
        <f t="shared" si="171"/>
        <v>0</v>
      </c>
      <c r="K342" s="3" t="str">
        <f t="shared" si="172"/>
        <v>0</v>
      </c>
      <c r="L342" s="3" t="str">
        <f t="shared" si="173"/>
        <v>0</v>
      </c>
      <c r="M342" s="3">
        <f t="shared" si="174"/>
        <v>0</v>
      </c>
      <c r="N342" s="3">
        <f t="shared" si="175"/>
        <v>0</v>
      </c>
      <c r="O342" s="3">
        <f t="shared" si="176"/>
        <v>268.6728</v>
      </c>
      <c r="P342" s="3" t="str">
        <f t="shared" si="177"/>
        <v>0</v>
      </c>
      <c r="Q342" s="3">
        <f t="shared" si="178"/>
        <v>236.432064</v>
      </c>
      <c r="R342" s="3" t="str">
        <f t="shared" si="179"/>
        <v>0</v>
      </c>
      <c r="S342" s="3">
        <f t="shared" si="180"/>
        <v>881.58</v>
      </c>
      <c r="T342" s="3" t="str">
        <f t="shared" si="181"/>
        <v>0</v>
      </c>
      <c r="U342" s="3"/>
      <c r="V342" s="3"/>
      <c r="W342" s="3"/>
      <c r="X342" s="3"/>
      <c r="Y342" s="3"/>
      <c r="Z342" s="3"/>
    </row>
    <row r="343" spans="1:26" x14ac:dyDescent="0.25">
      <c r="A343" s="2">
        <v>46156</v>
      </c>
      <c r="B343" s="3" t="s">
        <v>209</v>
      </c>
      <c r="C343" s="169" t="s">
        <v>239</v>
      </c>
      <c r="D343" s="4">
        <v>260.78950000000003</v>
      </c>
      <c r="E343" s="209">
        <v>0.995</v>
      </c>
      <c r="F343" s="184">
        <f t="shared" ref="F343:F348" si="189">+D343*E343</f>
        <v>259.48555250000004</v>
      </c>
      <c r="G343" s="6">
        <f>+H343/D343</f>
        <v>0</v>
      </c>
      <c r="H343" s="3"/>
      <c r="I343" s="3" t="str">
        <f t="shared" si="170"/>
        <v>0</v>
      </c>
      <c r="J343" s="3" t="str">
        <f t="shared" si="171"/>
        <v>0</v>
      </c>
      <c r="K343" s="3" t="str">
        <f t="shared" si="172"/>
        <v>0</v>
      </c>
      <c r="L343" s="3" t="str">
        <f t="shared" si="173"/>
        <v>0</v>
      </c>
      <c r="M343" s="3">
        <f t="shared" si="174"/>
        <v>0</v>
      </c>
      <c r="N343" s="3">
        <f t="shared" si="175"/>
        <v>0</v>
      </c>
      <c r="O343" s="3" t="str">
        <f t="shared" si="176"/>
        <v>0</v>
      </c>
      <c r="P343" s="3">
        <f t="shared" si="177"/>
        <v>260.78950000000003</v>
      </c>
      <c r="Q343" s="3" t="str">
        <f t="shared" si="178"/>
        <v>0</v>
      </c>
      <c r="R343" s="3">
        <f t="shared" si="179"/>
        <v>259.48555250000004</v>
      </c>
      <c r="S343" s="3">
        <f t="shared" si="180"/>
        <v>0</v>
      </c>
      <c r="T343" s="3">
        <f t="shared" si="181"/>
        <v>0</v>
      </c>
      <c r="U343" s="3"/>
      <c r="V343" s="3"/>
      <c r="W343" s="3"/>
      <c r="X343" s="3"/>
      <c r="Y343" s="3"/>
      <c r="Z343" s="3"/>
    </row>
    <row r="344" spans="1:26" x14ac:dyDescent="0.25">
      <c r="A344" s="2">
        <v>46156</v>
      </c>
      <c r="B344" s="3" t="s">
        <v>171</v>
      </c>
      <c r="C344" s="169" t="s">
        <v>236</v>
      </c>
      <c r="D344" s="3"/>
      <c r="E344" s="3"/>
      <c r="F344" s="6">
        <f t="shared" si="189"/>
        <v>0</v>
      </c>
      <c r="G344" s="6" t="e">
        <f>+H344/D344</f>
        <v>#DIV/0!</v>
      </c>
      <c r="H344" s="3"/>
      <c r="I344" s="3" t="str">
        <f t="shared" si="170"/>
        <v>0</v>
      </c>
      <c r="J344" s="3" t="str">
        <f t="shared" si="171"/>
        <v>0</v>
      </c>
      <c r="K344" s="3" t="str">
        <f t="shared" si="172"/>
        <v>0</v>
      </c>
      <c r="L344" s="3" t="str">
        <f t="shared" si="173"/>
        <v>0</v>
      </c>
      <c r="M344" s="3">
        <f t="shared" si="174"/>
        <v>0</v>
      </c>
      <c r="N344" s="3">
        <f t="shared" si="175"/>
        <v>0</v>
      </c>
      <c r="O344" s="3" t="str">
        <f t="shared" si="176"/>
        <v>0</v>
      </c>
      <c r="P344" s="3" t="str">
        <f t="shared" si="177"/>
        <v>0</v>
      </c>
      <c r="Q344" s="3" t="str">
        <f t="shared" si="178"/>
        <v>0</v>
      </c>
      <c r="R344" s="3" t="str">
        <f t="shared" si="179"/>
        <v>0</v>
      </c>
      <c r="S344" s="3">
        <f t="shared" si="180"/>
        <v>0</v>
      </c>
      <c r="T344" s="3" t="str">
        <f t="shared" si="181"/>
        <v>0</v>
      </c>
      <c r="U344" s="3">
        <v>4751</v>
      </c>
      <c r="V344" s="3"/>
      <c r="W344" s="3"/>
      <c r="X344" s="3"/>
      <c r="Y344" s="3"/>
      <c r="Z344" s="3"/>
    </row>
    <row r="345" spans="1:26" x14ac:dyDescent="0.25">
      <c r="A345" s="2">
        <v>46157</v>
      </c>
      <c r="B345" s="3" t="s">
        <v>169</v>
      </c>
      <c r="C345" s="169" t="s">
        <v>234</v>
      </c>
      <c r="D345" s="4">
        <v>476.25600000000003</v>
      </c>
      <c r="E345" s="5">
        <v>0.88</v>
      </c>
      <c r="F345" s="6">
        <f t="shared" si="189"/>
        <v>419.10528000000005</v>
      </c>
      <c r="G345" s="6">
        <f t="shared" ref="G345:G352" si="190">+H345/D345</f>
        <v>8.0376940133037689</v>
      </c>
      <c r="H345" s="7">
        <v>3828</v>
      </c>
      <c r="I345" s="3">
        <f t="shared" si="170"/>
        <v>476.25600000000003</v>
      </c>
      <c r="J345" s="3" t="str">
        <f t="shared" si="171"/>
        <v>0</v>
      </c>
      <c r="K345" s="3">
        <f t="shared" si="172"/>
        <v>419.10528000000005</v>
      </c>
      <c r="L345" s="3" t="str">
        <f t="shared" si="173"/>
        <v>0</v>
      </c>
      <c r="M345" s="3">
        <f t="shared" si="174"/>
        <v>4019.4</v>
      </c>
      <c r="N345" s="3">
        <f t="shared" si="175"/>
        <v>0</v>
      </c>
      <c r="O345" s="3" t="str">
        <f t="shared" si="176"/>
        <v>0</v>
      </c>
      <c r="P345" s="3" t="str">
        <f t="shared" si="177"/>
        <v>0</v>
      </c>
      <c r="Q345" s="3" t="str">
        <f t="shared" si="178"/>
        <v>0</v>
      </c>
      <c r="R345" s="3" t="str">
        <f t="shared" si="179"/>
        <v>0</v>
      </c>
      <c r="S345" s="3">
        <f t="shared" si="180"/>
        <v>0</v>
      </c>
      <c r="T345" s="3" t="str">
        <f t="shared" si="181"/>
        <v>0</v>
      </c>
      <c r="U345" s="3"/>
      <c r="V345" s="3"/>
      <c r="W345" s="3"/>
      <c r="X345" s="3"/>
      <c r="Y345" s="3"/>
      <c r="Z345" s="3"/>
    </row>
    <row r="346" spans="1:26" x14ac:dyDescent="0.25">
      <c r="A346" s="2">
        <v>46157</v>
      </c>
      <c r="B346" s="3" t="s">
        <v>169</v>
      </c>
      <c r="C346" s="169" t="s">
        <v>228</v>
      </c>
      <c r="D346" s="4">
        <v>1434.664</v>
      </c>
      <c r="E346" s="5">
        <v>0.88</v>
      </c>
      <c r="F346" s="6">
        <f t="shared" si="189"/>
        <v>1262.50432</v>
      </c>
      <c r="G346" s="6">
        <f t="shared" si="190"/>
        <v>11.803983371716305</v>
      </c>
      <c r="H346" s="7">
        <v>16934.75</v>
      </c>
      <c r="I346" s="3">
        <f t="shared" si="170"/>
        <v>1434.664</v>
      </c>
      <c r="J346" s="3" t="str">
        <f t="shared" si="171"/>
        <v>0</v>
      </c>
      <c r="K346" s="3">
        <f t="shared" si="172"/>
        <v>1262.50432</v>
      </c>
      <c r="L346" s="3" t="str">
        <f t="shared" si="173"/>
        <v>0</v>
      </c>
      <c r="M346" s="3">
        <f t="shared" si="174"/>
        <v>17781.487499999999</v>
      </c>
      <c r="N346" s="3">
        <f t="shared" si="175"/>
        <v>0</v>
      </c>
      <c r="O346" s="3" t="str">
        <f t="shared" si="176"/>
        <v>0</v>
      </c>
      <c r="P346" s="3" t="str">
        <f t="shared" si="177"/>
        <v>0</v>
      </c>
      <c r="Q346" s="3" t="str">
        <f t="shared" si="178"/>
        <v>0</v>
      </c>
      <c r="R346" s="3" t="str">
        <f t="shared" si="179"/>
        <v>0</v>
      </c>
      <c r="S346" s="3">
        <f t="shared" si="180"/>
        <v>0</v>
      </c>
      <c r="T346" s="3" t="str">
        <f t="shared" si="181"/>
        <v>0</v>
      </c>
      <c r="U346" s="3"/>
      <c r="V346" s="3"/>
      <c r="W346" s="3"/>
      <c r="X346" s="3"/>
      <c r="Y346" s="3"/>
      <c r="Z346" s="3"/>
    </row>
    <row r="347" spans="1:26" x14ac:dyDescent="0.25">
      <c r="A347" s="2">
        <v>46157</v>
      </c>
      <c r="B347" s="3" t="s">
        <v>169</v>
      </c>
      <c r="C347" s="169" t="s">
        <v>236</v>
      </c>
      <c r="D347" s="4">
        <v>1379.6135999999999</v>
      </c>
      <c r="E347" s="5">
        <v>0.92</v>
      </c>
      <c r="F347" s="6">
        <f t="shared" si="189"/>
        <v>1269.244512</v>
      </c>
      <c r="G347" s="6">
        <f t="shared" si="190"/>
        <v>4.3478260869565215</v>
      </c>
      <c r="H347" s="7">
        <v>5998.32</v>
      </c>
      <c r="I347" s="3">
        <f t="shared" si="170"/>
        <v>1379.6135999999999</v>
      </c>
      <c r="J347" s="3" t="str">
        <f t="shared" si="171"/>
        <v>0</v>
      </c>
      <c r="K347" s="3">
        <f t="shared" si="172"/>
        <v>1269.244512</v>
      </c>
      <c r="L347" s="3" t="str">
        <f t="shared" si="173"/>
        <v>0</v>
      </c>
      <c r="M347" s="3">
        <f t="shared" si="174"/>
        <v>6298.2359999999999</v>
      </c>
      <c r="N347" s="3">
        <f t="shared" si="175"/>
        <v>0</v>
      </c>
      <c r="O347" s="3" t="str">
        <f t="shared" si="176"/>
        <v>0</v>
      </c>
      <c r="P347" s="3" t="str">
        <f t="shared" si="177"/>
        <v>0</v>
      </c>
      <c r="Q347" s="3" t="str">
        <f t="shared" si="178"/>
        <v>0</v>
      </c>
      <c r="R347" s="3" t="str">
        <f t="shared" si="179"/>
        <v>0</v>
      </c>
      <c r="S347" s="3">
        <f t="shared" si="180"/>
        <v>0</v>
      </c>
      <c r="T347" s="3" t="str">
        <f t="shared" si="181"/>
        <v>0</v>
      </c>
      <c r="U347" s="3"/>
      <c r="V347" s="3"/>
      <c r="W347" s="3"/>
      <c r="X347" s="3"/>
      <c r="Y347" s="3"/>
      <c r="Z347" s="3"/>
    </row>
    <row r="348" spans="1:26" x14ac:dyDescent="0.25">
      <c r="A348" s="2">
        <v>46157</v>
      </c>
      <c r="B348" s="3" t="s">
        <v>169</v>
      </c>
      <c r="C348" s="169" t="s">
        <v>232</v>
      </c>
      <c r="D348" s="4">
        <v>390.63200000000001</v>
      </c>
      <c r="E348" s="5">
        <v>0.88</v>
      </c>
      <c r="F348" s="6">
        <f t="shared" si="189"/>
        <v>343.75616000000002</v>
      </c>
      <c r="G348" s="6">
        <f t="shared" si="190"/>
        <v>11.41534743697393</v>
      </c>
      <c r="H348" s="7">
        <v>4459.2</v>
      </c>
      <c r="I348" s="3">
        <f t="shared" si="170"/>
        <v>390.63200000000001</v>
      </c>
      <c r="J348" s="3" t="str">
        <f t="shared" si="171"/>
        <v>0</v>
      </c>
      <c r="K348" s="3">
        <f t="shared" si="172"/>
        <v>343.75616000000002</v>
      </c>
      <c r="L348" s="3" t="str">
        <f t="shared" si="173"/>
        <v>0</v>
      </c>
      <c r="M348" s="3">
        <f t="shared" si="174"/>
        <v>4682.16</v>
      </c>
      <c r="N348" s="3">
        <f t="shared" si="175"/>
        <v>0</v>
      </c>
      <c r="O348" s="3" t="str">
        <f t="shared" si="176"/>
        <v>0</v>
      </c>
      <c r="P348" s="3" t="str">
        <f t="shared" si="177"/>
        <v>0</v>
      </c>
      <c r="Q348" s="3" t="str">
        <f t="shared" si="178"/>
        <v>0</v>
      </c>
      <c r="R348" s="3" t="str">
        <f t="shared" si="179"/>
        <v>0</v>
      </c>
      <c r="S348" s="3">
        <f t="shared" si="180"/>
        <v>0</v>
      </c>
      <c r="T348" s="3" t="str">
        <f t="shared" si="181"/>
        <v>0</v>
      </c>
      <c r="U348" s="3"/>
      <c r="V348" s="3"/>
      <c r="W348" s="3"/>
      <c r="X348" s="3"/>
      <c r="Y348" s="3"/>
      <c r="Z348" s="3"/>
    </row>
    <row r="349" spans="1:26" x14ac:dyDescent="0.25">
      <c r="A349" s="2">
        <v>46157</v>
      </c>
      <c r="B349" s="3" t="s">
        <v>170</v>
      </c>
      <c r="C349" s="169" t="s">
        <v>228</v>
      </c>
      <c r="D349" s="4">
        <v>995</v>
      </c>
      <c r="E349" s="209">
        <v>0.995</v>
      </c>
      <c r="F349" s="184">
        <f>D349*E349</f>
        <v>990.02499999999998</v>
      </c>
      <c r="G349" s="6">
        <f t="shared" si="190"/>
        <v>0</v>
      </c>
      <c r="H349" s="3"/>
      <c r="I349" s="3" t="str">
        <f t="shared" si="170"/>
        <v>0</v>
      </c>
      <c r="J349" s="3" t="str">
        <f t="shared" si="171"/>
        <v>0</v>
      </c>
      <c r="K349" s="3" t="str">
        <f t="shared" si="172"/>
        <v>0</v>
      </c>
      <c r="L349" s="3" t="str">
        <f t="shared" si="173"/>
        <v>0</v>
      </c>
      <c r="M349" s="3">
        <f t="shared" si="174"/>
        <v>0</v>
      </c>
      <c r="N349" s="3">
        <f t="shared" si="175"/>
        <v>0</v>
      </c>
      <c r="O349" s="3">
        <f t="shared" si="176"/>
        <v>995</v>
      </c>
      <c r="P349" s="3" t="str">
        <f t="shared" si="177"/>
        <v>0</v>
      </c>
      <c r="Q349" s="3">
        <f t="shared" si="178"/>
        <v>990.02499999999998</v>
      </c>
      <c r="R349" s="3" t="str">
        <f t="shared" si="179"/>
        <v>0</v>
      </c>
      <c r="S349" s="3">
        <f t="shared" si="180"/>
        <v>0</v>
      </c>
      <c r="T349" s="3" t="str">
        <f t="shared" si="181"/>
        <v>0</v>
      </c>
      <c r="U349" s="3"/>
      <c r="V349" s="3"/>
      <c r="W349" s="3"/>
      <c r="X349" s="3"/>
      <c r="Y349" s="3"/>
      <c r="Z349" s="3"/>
    </row>
    <row r="350" spans="1:26" x14ac:dyDescent="0.25">
      <c r="A350" s="2">
        <v>46157</v>
      </c>
      <c r="B350" s="3" t="s">
        <v>170</v>
      </c>
      <c r="C350" s="169" t="s">
        <v>236</v>
      </c>
      <c r="D350" s="4">
        <v>1379.6072999999999</v>
      </c>
      <c r="E350" s="209">
        <v>0.995</v>
      </c>
      <c r="F350" s="184">
        <f>D350*E350</f>
        <v>1372.7092634999999</v>
      </c>
      <c r="G350" s="6">
        <f t="shared" si="190"/>
        <v>0</v>
      </c>
      <c r="H350" s="3"/>
      <c r="I350" s="3" t="str">
        <f t="shared" si="170"/>
        <v>0</v>
      </c>
      <c r="J350" s="3" t="str">
        <f t="shared" si="171"/>
        <v>0</v>
      </c>
      <c r="K350" s="3" t="str">
        <f t="shared" si="172"/>
        <v>0</v>
      </c>
      <c r="L350" s="3" t="str">
        <f t="shared" si="173"/>
        <v>0</v>
      </c>
      <c r="M350" s="3">
        <f t="shared" si="174"/>
        <v>0</v>
      </c>
      <c r="N350" s="3">
        <f t="shared" si="175"/>
        <v>0</v>
      </c>
      <c r="O350" s="3">
        <f t="shared" si="176"/>
        <v>1379.6072999999999</v>
      </c>
      <c r="P350" s="3" t="str">
        <f t="shared" si="177"/>
        <v>0</v>
      </c>
      <c r="Q350" s="3">
        <f t="shared" si="178"/>
        <v>1372.7092634999999</v>
      </c>
      <c r="R350" s="3" t="str">
        <f t="shared" si="179"/>
        <v>0</v>
      </c>
      <c r="S350" s="3">
        <f t="shared" si="180"/>
        <v>0</v>
      </c>
      <c r="T350" s="3" t="str">
        <f t="shared" si="181"/>
        <v>0</v>
      </c>
      <c r="U350" s="3"/>
      <c r="V350" s="3"/>
      <c r="W350" s="3"/>
      <c r="X350" s="3"/>
      <c r="Y350" s="3"/>
      <c r="Z350" s="3"/>
    </row>
    <row r="351" spans="1:26" x14ac:dyDescent="0.25">
      <c r="A351" s="2">
        <v>46157</v>
      </c>
      <c r="B351" s="3" t="s">
        <v>170</v>
      </c>
      <c r="C351" s="169" t="s">
        <v>232</v>
      </c>
      <c r="D351" s="4">
        <v>465.66</v>
      </c>
      <c r="E351" s="209">
        <v>0.995</v>
      </c>
      <c r="F351" s="184">
        <f>D351*E351</f>
        <v>463.33170000000001</v>
      </c>
      <c r="G351" s="6">
        <f t="shared" si="190"/>
        <v>0</v>
      </c>
      <c r="H351" s="3"/>
      <c r="I351" s="3" t="str">
        <f t="shared" si="170"/>
        <v>0</v>
      </c>
      <c r="J351" s="3" t="str">
        <f t="shared" si="171"/>
        <v>0</v>
      </c>
      <c r="K351" s="3" t="str">
        <f t="shared" si="172"/>
        <v>0</v>
      </c>
      <c r="L351" s="3" t="str">
        <f t="shared" si="173"/>
        <v>0</v>
      </c>
      <c r="M351" s="3">
        <f t="shared" si="174"/>
        <v>0</v>
      </c>
      <c r="N351" s="3">
        <f t="shared" si="175"/>
        <v>0</v>
      </c>
      <c r="O351" s="3">
        <f t="shared" si="176"/>
        <v>465.66</v>
      </c>
      <c r="P351" s="3" t="str">
        <f t="shared" si="177"/>
        <v>0</v>
      </c>
      <c r="Q351" s="3">
        <f t="shared" si="178"/>
        <v>463.33170000000001</v>
      </c>
      <c r="R351" s="3" t="str">
        <f t="shared" si="179"/>
        <v>0</v>
      </c>
      <c r="S351" s="3">
        <f t="shared" si="180"/>
        <v>0</v>
      </c>
      <c r="T351" s="3" t="str">
        <f t="shared" si="181"/>
        <v>0</v>
      </c>
      <c r="U351" s="3"/>
      <c r="V351" s="3"/>
      <c r="W351" s="3"/>
      <c r="X351" s="3"/>
      <c r="Y351" s="3"/>
      <c r="Z351" s="3"/>
    </row>
    <row r="352" spans="1:26" x14ac:dyDescent="0.25">
      <c r="A352" s="2">
        <v>46157</v>
      </c>
      <c r="B352" s="3" t="s">
        <v>171</v>
      </c>
      <c r="C352" s="169" t="s">
        <v>236</v>
      </c>
      <c r="D352" s="3"/>
      <c r="E352" s="3"/>
      <c r="F352" s="6">
        <f t="shared" ref="F352:F374" si="191">+D352*E352</f>
        <v>0</v>
      </c>
      <c r="G352" s="6" t="e">
        <f t="shared" si="190"/>
        <v>#DIV/0!</v>
      </c>
      <c r="H352" s="3"/>
      <c r="I352" s="3" t="str">
        <f t="shared" si="170"/>
        <v>0</v>
      </c>
      <c r="J352" s="3" t="str">
        <f t="shared" si="171"/>
        <v>0</v>
      </c>
      <c r="K352" s="3" t="str">
        <f t="shared" si="172"/>
        <v>0</v>
      </c>
      <c r="L352" s="3" t="str">
        <f t="shared" si="173"/>
        <v>0</v>
      </c>
      <c r="M352" s="3">
        <f t="shared" si="174"/>
        <v>0</v>
      </c>
      <c r="N352" s="3">
        <f t="shared" si="175"/>
        <v>0</v>
      </c>
      <c r="O352" s="3" t="str">
        <f t="shared" si="176"/>
        <v>0</v>
      </c>
      <c r="P352" s="3" t="str">
        <f t="shared" si="177"/>
        <v>0</v>
      </c>
      <c r="Q352" s="3" t="str">
        <f t="shared" si="178"/>
        <v>0</v>
      </c>
      <c r="R352" s="3" t="str">
        <f t="shared" si="179"/>
        <v>0</v>
      </c>
      <c r="S352" s="3">
        <f t="shared" si="180"/>
        <v>0</v>
      </c>
      <c r="T352" s="3" t="str">
        <f t="shared" si="181"/>
        <v>0</v>
      </c>
      <c r="U352" s="3">
        <v>6298</v>
      </c>
      <c r="V352" s="3"/>
      <c r="W352" s="3"/>
      <c r="X352" s="3"/>
      <c r="Y352" s="3"/>
      <c r="Z352" s="3"/>
    </row>
    <row r="353" spans="1:26" x14ac:dyDescent="0.25">
      <c r="A353" s="2">
        <v>46158</v>
      </c>
      <c r="B353" s="3" t="s">
        <v>169</v>
      </c>
      <c r="C353" s="169" t="s">
        <v>228</v>
      </c>
      <c r="D353" s="4">
        <v>944.85599999999999</v>
      </c>
      <c r="E353" s="5">
        <v>0.88</v>
      </c>
      <c r="F353" s="6">
        <f>+D353*E353</f>
        <v>831.47328000000005</v>
      </c>
      <c r="G353" s="6">
        <f>+H353/D353</f>
        <v>11.252719991194427</v>
      </c>
      <c r="H353" s="7">
        <v>10632.2</v>
      </c>
      <c r="I353" s="3">
        <f t="shared" si="170"/>
        <v>944.85599999999999</v>
      </c>
      <c r="J353" s="3" t="str">
        <f t="shared" si="171"/>
        <v>0</v>
      </c>
      <c r="K353" s="3">
        <f t="shared" si="172"/>
        <v>831.47328000000005</v>
      </c>
      <c r="L353" s="3" t="str">
        <f t="shared" si="173"/>
        <v>0</v>
      </c>
      <c r="M353" s="3">
        <f t="shared" si="174"/>
        <v>11163.810000000001</v>
      </c>
      <c r="N353" s="3">
        <f t="shared" si="175"/>
        <v>0</v>
      </c>
      <c r="O353" s="3" t="str">
        <f t="shared" si="176"/>
        <v>0</v>
      </c>
      <c r="P353" s="3" t="str">
        <f t="shared" si="177"/>
        <v>0</v>
      </c>
      <c r="Q353" s="3" t="str">
        <f t="shared" si="178"/>
        <v>0</v>
      </c>
      <c r="R353" s="3" t="str">
        <f t="shared" si="179"/>
        <v>0</v>
      </c>
      <c r="S353" s="3">
        <f t="shared" si="180"/>
        <v>0</v>
      </c>
      <c r="T353" s="3" t="str">
        <f t="shared" si="181"/>
        <v>0</v>
      </c>
      <c r="U353" s="3"/>
      <c r="V353" s="3"/>
      <c r="W353" s="3"/>
      <c r="X353" s="3"/>
      <c r="Y353" s="3"/>
      <c r="Z353" s="3"/>
    </row>
    <row r="354" spans="1:26" x14ac:dyDescent="0.25">
      <c r="A354" s="2">
        <v>46158</v>
      </c>
      <c r="B354" s="3" t="s">
        <v>169</v>
      </c>
      <c r="C354" s="169" t="s">
        <v>246</v>
      </c>
      <c r="D354" s="4">
        <v>332.50800000000004</v>
      </c>
      <c r="E354" s="5">
        <v>0.88</v>
      </c>
      <c r="F354" s="6">
        <f t="shared" ref="F354" si="192">+D354*E354</f>
        <v>292.60704000000004</v>
      </c>
      <c r="G354" s="6">
        <f t="shared" ref="G354" si="193">+H354/D354</f>
        <v>5.6409469847342013</v>
      </c>
      <c r="H354" s="7">
        <v>1875.66</v>
      </c>
      <c r="I354" s="3">
        <f t="shared" si="170"/>
        <v>332.50800000000004</v>
      </c>
      <c r="J354" s="3" t="str">
        <f t="shared" si="171"/>
        <v>0</v>
      </c>
      <c r="K354" s="3">
        <f t="shared" si="172"/>
        <v>292.60704000000004</v>
      </c>
      <c r="L354" s="3" t="str">
        <f t="shared" si="173"/>
        <v>0</v>
      </c>
      <c r="M354" s="3">
        <f t="shared" si="174"/>
        <v>1969.4430000000002</v>
      </c>
      <c r="N354" s="3">
        <f t="shared" si="175"/>
        <v>0</v>
      </c>
      <c r="O354" s="3" t="str">
        <f t="shared" si="176"/>
        <v>0</v>
      </c>
      <c r="P354" s="3" t="str">
        <f t="shared" si="177"/>
        <v>0</v>
      </c>
      <c r="Q354" s="3" t="str">
        <f t="shared" si="178"/>
        <v>0</v>
      </c>
      <c r="R354" s="3" t="str">
        <f t="shared" si="179"/>
        <v>0</v>
      </c>
      <c r="S354" s="3">
        <f t="shared" si="180"/>
        <v>0</v>
      </c>
      <c r="T354" s="3" t="str">
        <f t="shared" si="181"/>
        <v>0</v>
      </c>
      <c r="U354" s="3"/>
      <c r="V354" s="3"/>
      <c r="W354" s="3"/>
      <c r="X354" s="3"/>
      <c r="Y354" s="3"/>
      <c r="Z354" s="3"/>
    </row>
    <row r="355" spans="1:26" x14ac:dyDescent="0.25">
      <c r="A355" s="2">
        <v>46158</v>
      </c>
      <c r="B355" s="3" t="s">
        <v>170</v>
      </c>
      <c r="C355" s="169" t="s">
        <v>233</v>
      </c>
      <c r="D355" s="4">
        <v>540.68299999999999</v>
      </c>
      <c r="E355" s="209">
        <v>0.995</v>
      </c>
      <c r="F355" s="184">
        <f t="shared" ref="F355:F357" si="194">D355*E355</f>
        <v>537.97958500000004</v>
      </c>
      <c r="G355" s="6"/>
      <c r="H355" s="7"/>
      <c r="I355" s="3" t="str">
        <f t="shared" si="170"/>
        <v>0</v>
      </c>
      <c r="J355" s="3" t="str">
        <f t="shared" si="171"/>
        <v>0</v>
      </c>
      <c r="K355" s="3" t="str">
        <f t="shared" si="172"/>
        <v>0</v>
      </c>
      <c r="L355" s="3" t="str">
        <f t="shared" si="173"/>
        <v>0</v>
      </c>
      <c r="M355" s="3">
        <f t="shared" si="174"/>
        <v>0</v>
      </c>
      <c r="N355" s="3">
        <f t="shared" si="175"/>
        <v>0</v>
      </c>
      <c r="O355" s="3">
        <f t="shared" si="176"/>
        <v>540.68299999999999</v>
      </c>
      <c r="P355" s="3" t="str">
        <f t="shared" si="177"/>
        <v>0</v>
      </c>
      <c r="Q355" s="3">
        <f t="shared" si="178"/>
        <v>537.97958500000004</v>
      </c>
      <c r="R355" s="3" t="str">
        <f t="shared" si="179"/>
        <v>0</v>
      </c>
      <c r="S355" s="3">
        <f t="shared" si="180"/>
        <v>0</v>
      </c>
      <c r="T355" s="3" t="str">
        <f t="shared" si="181"/>
        <v>0</v>
      </c>
      <c r="U355" s="3"/>
      <c r="V355" s="3"/>
      <c r="W355" s="3"/>
      <c r="X355" s="3"/>
      <c r="Y355" s="3"/>
      <c r="Z355" s="3"/>
    </row>
    <row r="356" spans="1:26" x14ac:dyDescent="0.25">
      <c r="A356" s="2">
        <v>46158</v>
      </c>
      <c r="B356" s="3" t="s">
        <v>170</v>
      </c>
      <c r="C356" s="169" t="s">
        <v>228</v>
      </c>
      <c r="D356" s="4">
        <v>995</v>
      </c>
      <c r="E356" s="209">
        <v>0.995</v>
      </c>
      <c r="F356" s="184">
        <f t="shared" si="194"/>
        <v>990.02499999999998</v>
      </c>
      <c r="G356" s="6"/>
      <c r="H356" s="7"/>
      <c r="I356" s="3" t="str">
        <f t="shared" si="170"/>
        <v>0</v>
      </c>
      <c r="J356" s="3" t="str">
        <f t="shared" si="171"/>
        <v>0</v>
      </c>
      <c r="K356" s="3" t="str">
        <f t="shared" si="172"/>
        <v>0</v>
      </c>
      <c r="L356" s="3" t="str">
        <f t="shared" si="173"/>
        <v>0</v>
      </c>
      <c r="M356" s="3">
        <f t="shared" si="174"/>
        <v>0</v>
      </c>
      <c r="N356" s="3">
        <f t="shared" si="175"/>
        <v>0</v>
      </c>
      <c r="O356" s="3">
        <f t="shared" si="176"/>
        <v>995</v>
      </c>
      <c r="P356" s="3" t="str">
        <f t="shared" si="177"/>
        <v>0</v>
      </c>
      <c r="Q356" s="3">
        <f t="shared" si="178"/>
        <v>990.02499999999998</v>
      </c>
      <c r="R356" s="3" t="str">
        <f t="shared" si="179"/>
        <v>0</v>
      </c>
      <c r="S356" s="3">
        <f t="shared" si="180"/>
        <v>0</v>
      </c>
      <c r="T356" s="3" t="str">
        <f t="shared" si="181"/>
        <v>0</v>
      </c>
      <c r="U356" s="3"/>
      <c r="V356" s="3"/>
      <c r="W356" s="3"/>
      <c r="X356" s="3"/>
      <c r="Y356" s="3"/>
      <c r="Z356" s="3"/>
    </row>
    <row r="357" spans="1:26" x14ac:dyDescent="0.25">
      <c r="A357" s="2">
        <v>46158</v>
      </c>
      <c r="B357" s="3" t="s">
        <v>170</v>
      </c>
      <c r="C357" s="169" t="s">
        <v>239</v>
      </c>
      <c r="D357" s="4">
        <v>523.86399999999992</v>
      </c>
      <c r="E357" s="209">
        <v>0.88</v>
      </c>
      <c r="F357" s="184">
        <f t="shared" si="194"/>
        <v>461.00031999999993</v>
      </c>
      <c r="G357" s="6">
        <f>H357/D357</f>
        <v>2.8409090909090913</v>
      </c>
      <c r="H357" s="7">
        <v>1488.25</v>
      </c>
      <c r="I357" s="3" t="str">
        <f t="shared" si="170"/>
        <v>0</v>
      </c>
      <c r="J357" s="3" t="str">
        <f t="shared" si="171"/>
        <v>0</v>
      </c>
      <c r="K357" s="3" t="str">
        <f t="shared" si="172"/>
        <v>0</v>
      </c>
      <c r="L357" s="3" t="str">
        <f t="shared" si="173"/>
        <v>0</v>
      </c>
      <c r="M357" s="3">
        <f t="shared" si="174"/>
        <v>0</v>
      </c>
      <c r="N357" s="3">
        <f t="shared" si="175"/>
        <v>0</v>
      </c>
      <c r="O357" s="3">
        <f t="shared" si="176"/>
        <v>523.86399999999992</v>
      </c>
      <c r="P357" s="3" t="str">
        <f t="shared" si="177"/>
        <v>0</v>
      </c>
      <c r="Q357" s="3">
        <f t="shared" si="178"/>
        <v>461.00031999999993</v>
      </c>
      <c r="R357" s="3" t="str">
        <f t="shared" si="179"/>
        <v>0</v>
      </c>
      <c r="S357" s="3">
        <f t="shared" si="180"/>
        <v>1562.6624999999999</v>
      </c>
      <c r="T357" s="3" t="str">
        <f t="shared" si="181"/>
        <v>0</v>
      </c>
      <c r="U357" s="3"/>
      <c r="V357" s="3"/>
      <c r="W357" s="3"/>
      <c r="X357" s="3"/>
      <c r="Y357" s="3"/>
      <c r="Z357" s="3"/>
    </row>
    <row r="358" spans="1:26" x14ac:dyDescent="0.25">
      <c r="A358" s="2">
        <v>46158</v>
      </c>
      <c r="B358" s="3" t="s">
        <v>209</v>
      </c>
      <c r="C358" s="169" t="s">
        <v>239</v>
      </c>
      <c r="D358" s="4">
        <v>317.40499999999997</v>
      </c>
      <c r="E358" s="209">
        <v>0.995</v>
      </c>
      <c r="F358" s="184">
        <f>+D358*E358</f>
        <v>315.81797499999999</v>
      </c>
      <c r="G358" s="6">
        <f t="shared" ref="G358:G359" si="195">+H358/D358</f>
        <v>0</v>
      </c>
      <c r="H358" s="3"/>
      <c r="I358" s="3" t="str">
        <f t="shared" si="170"/>
        <v>0</v>
      </c>
      <c r="J358" s="3" t="str">
        <f t="shared" si="171"/>
        <v>0</v>
      </c>
      <c r="K358" s="3" t="str">
        <f t="shared" si="172"/>
        <v>0</v>
      </c>
      <c r="L358" s="3" t="str">
        <f t="shared" si="173"/>
        <v>0</v>
      </c>
      <c r="M358" s="3">
        <f t="shared" si="174"/>
        <v>0</v>
      </c>
      <c r="N358" s="3">
        <f t="shared" si="175"/>
        <v>0</v>
      </c>
      <c r="O358" s="3" t="str">
        <f t="shared" si="176"/>
        <v>0</v>
      </c>
      <c r="P358" s="3">
        <f t="shared" si="177"/>
        <v>317.40499999999997</v>
      </c>
      <c r="Q358" s="3" t="str">
        <f t="shared" si="178"/>
        <v>0</v>
      </c>
      <c r="R358" s="3">
        <f t="shared" si="179"/>
        <v>315.81797499999999</v>
      </c>
      <c r="S358" s="3">
        <f t="shared" si="180"/>
        <v>0</v>
      </c>
      <c r="T358" s="3">
        <f t="shared" si="181"/>
        <v>0</v>
      </c>
      <c r="U358" s="3"/>
      <c r="V358" s="3"/>
      <c r="W358" s="3"/>
      <c r="X358" s="3"/>
      <c r="Y358" s="3"/>
      <c r="Z358" s="3"/>
    </row>
    <row r="359" spans="1:26" x14ac:dyDescent="0.25">
      <c r="A359" s="2">
        <v>46159</v>
      </c>
      <c r="B359" s="3" t="s">
        <v>218</v>
      </c>
      <c r="C359" s="3"/>
      <c r="D359" s="3"/>
      <c r="E359" s="3"/>
      <c r="F359" s="6">
        <f t="shared" si="191"/>
        <v>0</v>
      </c>
      <c r="G359" s="6" t="e">
        <f t="shared" si="195"/>
        <v>#DIV/0!</v>
      </c>
      <c r="H359" s="3"/>
      <c r="I359" s="3" t="str">
        <f t="shared" si="170"/>
        <v>0</v>
      </c>
      <c r="J359" s="3" t="str">
        <f t="shared" si="171"/>
        <v>0</v>
      </c>
      <c r="K359" s="3" t="str">
        <f t="shared" si="172"/>
        <v>0</v>
      </c>
      <c r="L359" s="3" t="str">
        <f t="shared" si="173"/>
        <v>0</v>
      </c>
      <c r="M359" s="3">
        <f t="shared" si="174"/>
        <v>0</v>
      </c>
      <c r="N359" s="3">
        <f t="shared" si="175"/>
        <v>0</v>
      </c>
      <c r="O359" s="3" t="str">
        <f t="shared" si="176"/>
        <v>0</v>
      </c>
      <c r="P359" s="3" t="str">
        <f t="shared" si="177"/>
        <v>0</v>
      </c>
      <c r="Q359" s="3" t="str">
        <f t="shared" si="178"/>
        <v>0</v>
      </c>
      <c r="R359" s="3" t="str">
        <f t="shared" si="179"/>
        <v>0</v>
      </c>
      <c r="S359" s="3">
        <f t="shared" si="180"/>
        <v>0</v>
      </c>
      <c r="T359" s="3" t="str">
        <f t="shared" si="181"/>
        <v>0</v>
      </c>
      <c r="U359" s="3"/>
      <c r="V359" s="3"/>
      <c r="W359" s="3"/>
      <c r="X359" s="3"/>
      <c r="Y359" s="3"/>
      <c r="Z359" s="3"/>
    </row>
    <row r="360" spans="1:26" x14ac:dyDescent="0.25">
      <c r="A360" s="2">
        <v>46160</v>
      </c>
      <c r="B360" s="3" t="s">
        <v>169</v>
      </c>
      <c r="C360" s="169" t="s">
        <v>229</v>
      </c>
      <c r="D360" s="170">
        <v>709.72</v>
      </c>
      <c r="E360" s="171">
        <v>0.88</v>
      </c>
      <c r="F360" s="172">
        <f>+D360*E360</f>
        <v>624.55360000000007</v>
      </c>
      <c r="G360" s="172">
        <f>+H360/D360</f>
        <v>10.050724229273516</v>
      </c>
      <c r="H360" s="176">
        <v>7133.2</v>
      </c>
      <c r="I360" s="3">
        <f t="shared" si="170"/>
        <v>709.72</v>
      </c>
      <c r="J360" s="3" t="str">
        <f t="shared" si="171"/>
        <v>0</v>
      </c>
      <c r="K360" s="3">
        <f t="shared" si="172"/>
        <v>624.55360000000007</v>
      </c>
      <c r="L360" s="3" t="str">
        <f t="shared" si="173"/>
        <v>0</v>
      </c>
      <c r="M360" s="3">
        <f t="shared" si="174"/>
        <v>7489.86</v>
      </c>
      <c r="N360" s="3">
        <f t="shared" si="175"/>
        <v>0</v>
      </c>
      <c r="O360" s="3" t="str">
        <f t="shared" si="176"/>
        <v>0</v>
      </c>
      <c r="P360" s="3" t="str">
        <f t="shared" si="177"/>
        <v>0</v>
      </c>
      <c r="Q360" s="3" t="str">
        <f t="shared" si="178"/>
        <v>0</v>
      </c>
      <c r="R360" s="3" t="str">
        <f t="shared" si="179"/>
        <v>0</v>
      </c>
      <c r="S360" s="3">
        <f t="shared" si="180"/>
        <v>0</v>
      </c>
      <c r="T360" s="3" t="str">
        <f t="shared" si="181"/>
        <v>0</v>
      </c>
      <c r="U360" s="3"/>
      <c r="V360" s="3"/>
      <c r="W360" s="3"/>
      <c r="X360" s="3"/>
      <c r="Y360" s="3"/>
      <c r="Z360" s="3"/>
    </row>
    <row r="361" spans="1:26" x14ac:dyDescent="0.25">
      <c r="A361" s="2">
        <v>46160</v>
      </c>
      <c r="B361" s="3" t="s">
        <v>169</v>
      </c>
      <c r="C361" s="169" t="s">
        <v>228</v>
      </c>
      <c r="D361" s="170">
        <v>892.76</v>
      </c>
      <c r="E361" s="171">
        <v>0.88</v>
      </c>
      <c r="F361" s="172">
        <f t="shared" ref="F361:F365" si="196">+D361*E361</f>
        <v>785.62879999999996</v>
      </c>
      <c r="G361" s="172">
        <f t="shared" ref="G361:G365" si="197">+H361/D361</f>
        <v>9.1599085980554698</v>
      </c>
      <c r="H361" s="176">
        <v>8177.6</v>
      </c>
      <c r="I361" s="3">
        <f t="shared" si="170"/>
        <v>892.76</v>
      </c>
      <c r="J361" s="3" t="str">
        <f t="shared" si="171"/>
        <v>0</v>
      </c>
      <c r="K361" s="3">
        <f t="shared" si="172"/>
        <v>785.62879999999996</v>
      </c>
      <c r="L361" s="3" t="str">
        <f t="shared" si="173"/>
        <v>0</v>
      </c>
      <c r="M361" s="3">
        <f t="shared" si="174"/>
        <v>8586.48</v>
      </c>
      <c r="N361" s="3">
        <f t="shared" si="175"/>
        <v>0</v>
      </c>
      <c r="O361" s="3" t="str">
        <f t="shared" si="176"/>
        <v>0</v>
      </c>
      <c r="P361" s="3" t="str">
        <f t="shared" si="177"/>
        <v>0</v>
      </c>
      <c r="Q361" s="3" t="str">
        <f t="shared" si="178"/>
        <v>0</v>
      </c>
      <c r="R361" s="3" t="str">
        <f t="shared" si="179"/>
        <v>0</v>
      </c>
      <c r="S361" s="3">
        <f t="shared" si="180"/>
        <v>0</v>
      </c>
      <c r="T361" s="3" t="str">
        <f t="shared" si="181"/>
        <v>0</v>
      </c>
      <c r="U361" s="3"/>
      <c r="V361" s="3"/>
      <c r="W361" s="3"/>
      <c r="X361" s="3"/>
      <c r="Y361" s="3"/>
      <c r="Z361" s="3"/>
    </row>
    <row r="362" spans="1:26" x14ac:dyDescent="0.25">
      <c r="A362" s="2">
        <v>46160</v>
      </c>
      <c r="B362" s="3" t="s">
        <v>169</v>
      </c>
      <c r="C362" s="169" t="s">
        <v>232</v>
      </c>
      <c r="D362" s="170">
        <v>823.76800000000003</v>
      </c>
      <c r="E362" s="171">
        <v>0.88</v>
      </c>
      <c r="F362" s="172">
        <f t="shared" si="196"/>
        <v>724.91584</v>
      </c>
      <c r="G362" s="172">
        <f t="shared" si="197"/>
        <v>4.545454545454545</v>
      </c>
      <c r="H362" s="176">
        <v>3744.4</v>
      </c>
      <c r="I362" s="3">
        <f t="shared" si="170"/>
        <v>823.76800000000003</v>
      </c>
      <c r="J362" s="3" t="str">
        <f t="shared" si="171"/>
        <v>0</v>
      </c>
      <c r="K362" s="3">
        <f t="shared" si="172"/>
        <v>724.91584</v>
      </c>
      <c r="L362" s="3" t="str">
        <f t="shared" si="173"/>
        <v>0</v>
      </c>
      <c r="M362" s="3">
        <f t="shared" si="174"/>
        <v>3931.62</v>
      </c>
      <c r="N362" s="3">
        <f t="shared" si="175"/>
        <v>0</v>
      </c>
      <c r="O362" s="3" t="str">
        <f t="shared" si="176"/>
        <v>0</v>
      </c>
      <c r="P362" s="3" t="str">
        <f t="shared" si="177"/>
        <v>0</v>
      </c>
      <c r="Q362" s="3" t="str">
        <f t="shared" si="178"/>
        <v>0</v>
      </c>
      <c r="R362" s="3" t="str">
        <f t="shared" si="179"/>
        <v>0</v>
      </c>
      <c r="S362" s="3">
        <f t="shared" si="180"/>
        <v>0</v>
      </c>
      <c r="T362" s="3" t="str">
        <f t="shared" si="181"/>
        <v>0</v>
      </c>
      <c r="U362" s="3"/>
      <c r="V362" s="3"/>
      <c r="W362" s="3"/>
      <c r="X362" s="3"/>
      <c r="Y362" s="3"/>
      <c r="Z362" s="3"/>
    </row>
    <row r="363" spans="1:26" x14ac:dyDescent="0.25">
      <c r="A363" s="2">
        <v>46160</v>
      </c>
      <c r="B363" s="3" t="s">
        <v>169</v>
      </c>
      <c r="C363" s="3" t="s">
        <v>235</v>
      </c>
      <c r="D363" s="170">
        <v>265.63679999999999</v>
      </c>
      <c r="E363" s="171">
        <v>0.88</v>
      </c>
      <c r="F363" s="172">
        <f t="shared" si="196"/>
        <v>233.76038399999999</v>
      </c>
      <c r="G363" s="172">
        <f t="shared" si="197"/>
        <v>14.772727272727272</v>
      </c>
      <c r="H363" s="176">
        <v>3924.18</v>
      </c>
      <c r="I363" s="3">
        <f t="shared" si="170"/>
        <v>265.63679999999999</v>
      </c>
      <c r="J363" s="3" t="str">
        <f t="shared" si="171"/>
        <v>0</v>
      </c>
      <c r="K363" s="3">
        <f t="shared" si="172"/>
        <v>233.76038399999999</v>
      </c>
      <c r="L363" s="3" t="str">
        <f t="shared" si="173"/>
        <v>0</v>
      </c>
      <c r="M363" s="3">
        <f t="shared" si="174"/>
        <v>4120.3890000000001</v>
      </c>
      <c r="N363" s="3">
        <f t="shared" si="175"/>
        <v>0</v>
      </c>
      <c r="O363" s="3" t="str">
        <f t="shared" si="176"/>
        <v>0</v>
      </c>
      <c r="P363" s="3" t="str">
        <f t="shared" si="177"/>
        <v>0</v>
      </c>
      <c r="Q363" s="3" t="str">
        <f t="shared" si="178"/>
        <v>0</v>
      </c>
      <c r="R363" s="3" t="str">
        <f t="shared" si="179"/>
        <v>0</v>
      </c>
      <c r="S363" s="3">
        <f t="shared" si="180"/>
        <v>0</v>
      </c>
      <c r="T363" s="3" t="str">
        <f t="shared" si="181"/>
        <v>0</v>
      </c>
      <c r="U363" s="3"/>
      <c r="V363" s="3"/>
      <c r="W363" s="3"/>
      <c r="X363" s="3"/>
      <c r="Y363" s="3"/>
      <c r="Z363" s="3"/>
    </row>
    <row r="364" spans="1:26" x14ac:dyDescent="0.25">
      <c r="A364" s="2">
        <v>46160</v>
      </c>
      <c r="B364" s="3" t="s">
        <v>169</v>
      </c>
      <c r="C364" s="169" t="s">
        <v>243</v>
      </c>
      <c r="D364" s="170">
        <v>686.66399999999999</v>
      </c>
      <c r="E364" s="171">
        <v>0.88</v>
      </c>
      <c r="F364" s="172">
        <f t="shared" si="196"/>
        <v>604.26432</v>
      </c>
      <c r="G364" s="172">
        <f t="shared" si="197"/>
        <v>8.5227272727272734</v>
      </c>
      <c r="H364" s="176">
        <v>5852.25</v>
      </c>
      <c r="I364" s="3">
        <f t="shared" si="170"/>
        <v>686.66399999999999</v>
      </c>
      <c r="J364" s="3" t="str">
        <f t="shared" si="171"/>
        <v>0</v>
      </c>
      <c r="K364" s="3">
        <f t="shared" si="172"/>
        <v>604.26432</v>
      </c>
      <c r="L364" s="3" t="str">
        <f t="shared" si="173"/>
        <v>0</v>
      </c>
      <c r="M364" s="3">
        <f t="shared" si="174"/>
        <v>6144.8625000000002</v>
      </c>
      <c r="N364" s="3">
        <f t="shared" si="175"/>
        <v>0</v>
      </c>
      <c r="O364" s="3" t="str">
        <f t="shared" si="176"/>
        <v>0</v>
      </c>
      <c r="P364" s="3" t="str">
        <f t="shared" si="177"/>
        <v>0</v>
      </c>
      <c r="Q364" s="3" t="str">
        <f t="shared" si="178"/>
        <v>0</v>
      </c>
      <c r="R364" s="3" t="str">
        <f t="shared" si="179"/>
        <v>0</v>
      </c>
      <c r="S364" s="3">
        <f t="shared" si="180"/>
        <v>0</v>
      </c>
      <c r="T364" s="3" t="str">
        <f t="shared" si="181"/>
        <v>0</v>
      </c>
      <c r="U364" s="3"/>
      <c r="V364" s="3"/>
      <c r="W364" s="3"/>
      <c r="X364" s="3"/>
      <c r="Y364" s="3"/>
      <c r="Z364" s="3"/>
    </row>
    <row r="365" spans="1:26" x14ac:dyDescent="0.25">
      <c r="A365" s="2">
        <v>46160</v>
      </c>
      <c r="B365" s="3" t="s">
        <v>169</v>
      </c>
      <c r="C365" s="169" t="s">
        <v>233</v>
      </c>
      <c r="D365" s="170">
        <v>88.352000000000004</v>
      </c>
      <c r="E365" s="171">
        <v>0.88</v>
      </c>
      <c r="F365" s="172">
        <f t="shared" si="196"/>
        <v>77.749760000000009</v>
      </c>
      <c r="G365" s="172">
        <f t="shared" si="197"/>
        <v>7.9545454545454533</v>
      </c>
      <c r="H365" s="176">
        <v>702.8</v>
      </c>
      <c r="I365" s="3">
        <f t="shared" si="170"/>
        <v>88.352000000000004</v>
      </c>
      <c r="J365" s="3" t="str">
        <f t="shared" si="171"/>
        <v>0</v>
      </c>
      <c r="K365" s="3">
        <f t="shared" si="172"/>
        <v>77.749760000000009</v>
      </c>
      <c r="L365" s="3" t="str">
        <f t="shared" si="173"/>
        <v>0</v>
      </c>
      <c r="M365" s="3">
        <f t="shared" si="174"/>
        <v>737.93999999999994</v>
      </c>
      <c r="N365" s="3">
        <f t="shared" si="175"/>
        <v>0</v>
      </c>
      <c r="O365" s="3" t="str">
        <f t="shared" si="176"/>
        <v>0</v>
      </c>
      <c r="P365" s="3" t="str">
        <f t="shared" si="177"/>
        <v>0</v>
      </c>
      <c r="Q365" s="3" t="str">
        <f t="shared" si="178"/>
        <v>0</v>
      </c>
      <c r="R365" s="3" t="str">
        <f t="shared" si="179"/>
        <v>0</v>
      </c>
      <c r="S365" s="3">
        <f t="shared" si="180"/>
        <v>0</v>
      </c>
      <c r="T365" s="3" t="str">
        <f t="shared" si="181"/>
        <v>0</v>
      </c>
      <c r="U365" s="3"/>
      <c r="V365" s="3"/>
      <c r="W365" s="3"/>
      <c r="X365" s="3"/>
      <c r="Y365" s="3"/>
      <c r="Z365" s="3"/>
    </row>
    <row r="366" spans="1:26" x14ac:dyDescent="0.25">
      <c r="A366" s="2">
        <v>46160</v>
      </c>
      <c r="B366" s="3" t="s">
        <v>170</v>
      </c>
      <c r="C366" s="169" t="s">
        <v>229</v>
      </c>
      <c r="D366" s="170">
        <v>818.18849999999998</v>
      </c>
      <c r="E366" s="173">
        <v>0.995</v>
      </c>
      <c r="F366" s="174">
        <f t="shared" ref="F366:F372" si="198">D366*E366</f>
        <v>814.09755749999999</v>
      </c>
      <c r="G366" s="6"/>
      <c r="H366" s="176"/>
      <c r="I366" s="3" t="str">
        <f t="shared" si="170"/>
        <v>0</v>
      </c>
      <c r="J366" s="3" t="str">
        <f t="shared" si="171"/>
        <v>0</v>
      </c>
      <c r="K366" s="3" t="str">
        <f t="shared" si="172"/>
        <v>0</v>
      </c>
      <c r="L366" s="3" t="str">
        <f t="shared" si="173"/>
        <v>0</v>
      </c>
      <c r="M366" s="3">
        <f t="shared" si="174"/>
        <v>0</v>
      </c>
      <c r="N366" s="3">
        <f t="shared" si="175"/>
        <v>0</v>
      </c>
      <c r="O366" s="3">
        <f t="shared" si="176"/>
        <v>818.18849999999998</v>
      </c>
      <c r="P366" s="3" t="str">
        <f t="shared" si="177"/>
        <v>0</v>
      </c>
      <c r="Q366" s="3">
        <f t="shared" si="178"/>
        <v>814.09755749999999</v>
      </c>
      <c r="R366" s="3" t="str">
        <f t="shared" si="179"/>
        <v>0</v>
      </c>
      <c r="S366" s="3">
        <f t="shared" si="180"/>
        <v>0</v>
      </c>
      <c r="T366" s="3" t="str">
        <f t="shared" si="181"/>
        <v>0</v>
      </c>
      <c r="U366" s="3"/>
      <c r="V366" s="3"/>
      <c r="W366" s="3"/>
      <c r="X366" s="3"/>
      <c r="Y366" s="3"/>
      <c r="Z366" s="3"/>
    </row>
    <row r="367" spans="1:26" x14ac:dyDescent="0.25">
      <c r="A367" s="2">
        <v>46160</v>
      </c>
      <c r="B367" s="3" t="s">
        <v>170</v>
      </c>
      <c r="C367" s="169" t="s">
        <v>228</v>
      </c>
      <c r="D367" s="170">
        <v>995</v>
      </c>
      <c r="E367" s="173">
        <v>0.995</v>
      </c>
      <c r="F367" s="174">
        <f t="shared" si="198"/>
        <v>990.02499999999998</v>
      </c>
      <c r="G367" s="6"/>
      <c r="H367" s="176"/>
      <c r="I367" s="3" t="str">
        <f t="shared" si="170"/>
        <v>0</v>
      </c>
      <c r="J367" s="3" t="str">
        <f t="shared" si="171"/>
        <v>0</v>
      </c>
      <c r="K367" s="3" t="str">
        <f t="shared" si="172"/>
        <v>0</v>
      </c>
      <c r="L367" s="3" t="str">
        <f t="shared" si="173"/>
        <v>0</v>
      </c>
      <c r="M367" s="3">
        <f t="shared" si="174"/>
        <v>0</v>
      </c>
      <c r="N367" s="3">
        <f t="shared" si="175"/>
        <v>0</v>
      </c>
      <c r="O367" s="3">
        <f t="shared" si="176"/>
        <v>995</v>
      </c>
      <c r="P367" s="3" t="str">
        <f t="shared" si="177"/>
        <v>0</v>
      </c>
      <c r="Q367" s="3">
        <f t="shared" si="178"/>
        <v>990.02499999999998</v>
      </c>
      <c r="R367" s="3" t="str">
        <f t="shared" si="179"/>
        <v>0</v>
      </c>
      <c r="S367" s="3">
        <f t="shared" si="180"/>
        <v>0</v>
      </c>
      <c r="T367" s="3" t="str">
        <f t="shared" si="181"/>
        <v>0</v>
      </c>
      <c r="U367" s="3"/>
      <c r="V367" s="3"/>
      <c r="W367" s="3"/>
      <c r="X367" s="3"/>
      <c r="Y367" s="3"/>
      <c r="Z367" s="3"/>
    </row>
    <row r="368" spans="1:26" x14ac:dyDescent="0.25">
      <c r="A368" s="2">
        <v>46160</v>
      </c>
      <c r="B368" s="3" t="s">
        <v>170</v>
      </c>
      <c r="C368" s="169" t="s">
        <v>232</v>
      </c>
      <c r="D368" s="170">
        <v>741.37450000000001</v>
      </c>
      <c r="E368" s="173">
        <v>0.995</v>
      </c>
      <c r="F368" s="174">
        <f t="shared" si="198"/>
        <v>737.66762749999998</v>
      </c>
      <c r="G368" s="6"/>
      <c r="H368" s="176"/>
      <c r="I368" s="3" t="str">
        <f t="shared" si="170"/>
        <v>0</v>
      </c>
      <c r="J368" s="3" t="str">
        <f t="shared" si="171"/>
        <v>0</v>
      </c>
      <c r="K368" s="3" t="str">
        <f t="shared" si="172"/>
        <v>0</v>
      </c>
      <c r="L368" s="3" t="str">
        <f t="shared" si="173"/>
        <v>0</v>
      </c>
      <c r="M368" s="3">
        <f t="shared" si="174"/>
        <v>0</v>
      </c>
      <c r="N368" s="3">
        <f t="shared" si="175"/>
        <v>0</v>
      </c>
      <c r="O368" s="3">
        <f t="shared" si="176"/>
        <v>741.37450000000001</v>
      </c>
      <c r="P368" s="3" t="str">
        <f t="shared" si="177"/>
        <v>0</v>
      </c>
      <c r="Q368" s="3">
        <f t="shared" si="178"/>
        <v>737.66762749999998</v>
      </c>
      <c r="R368" s="3" t="str">
        <f t="shared" si="179"/>
        <v>0</v>
      </c>
      <c r="S368" s="3">
        <f t="shared" si="180"/>
        <v>0</v>
      </c>
      <c r="T368" s="3" t="str">
        <f t="shared" si="181"/>
        <v>0</v>
      </c>
      <c r="U368" s="3"/>
      <c r="V368" s="3"/>
      <c r="W368" s="3"/>
      <c r="X368" s="3"/>
      <c r="Y368" s="3"/>
      <c r="Z368" s="3"/>
    </row>
    <row r="369" spans="1:26" x14ac:dyDescent="0.25">
      <c r="A369" s="2">
        <v>46160</v>
      </c>
      <c r="B369" s="3" t="s">
        <v>170</v>
      </c>
      <c r="C369" s="169" t="s">
        <v>234</v>
      </c>
      <c r="D369" s="170">
        <v>445.29235</v>
      </c>
      <c r="E369" s="173">
        <v>0.995</v>
      </c>
      <c r="F369" s="174">
        <f t="shared" si="198"/>
        <v>443.06588825</v>
      </c>
      <c r="G369" s="6"/>
      <c r="H369" s="176"/>
      <c r="I369" s="3" t="str">
        <f t="shared" si="170"/>
        <v>0</v>
      </c>
      <c r="J369" s="3" t="str">
        <f t="shared" si="171"/>
        <v>0</v>
      </c>
      <c r="K369" s="3" t="str">
        <f t="shared" si="172"/>
        <v>0</v>
      </c>
      <c r="L369" s="3" t="str">
        <f t="shared" si="173"/>
        <v>0</v>
      </c>
      <c r="M369" s="3">
        <f t="shared" si="174"/>
        <v>0</v>
      </c>
      <c r="N369" s="3">
        <f t="shared" si="175"/>
        <v>0</v>
      </c>
      <c r="O369" s="3">
        <f t="shared" si="176"/>
        <v>445.29235</v>
      </c>
      <c r="P369" s="3" t="str">
        <f t="shared" si="177"/>
        <v>0</v>
      </c>
      <c r="Q369" s="3">
        <f t="shared" si="178"/>
        <v>443.06588825</v>
      </c>
      <c r="R369" s="3" t="str">
        <f t="shared" si="179"/>
        <v>0</v>
      </c>
      <c r="S369" s="3">
        <f t="shared" si="180"/>
        <v>0</v>
      </c>
      <c r="T369" s="3" t="str">
        <f t="shared" si="181"/>
        <v>0</v>
      </c>
      <c r="U369" s="3"/>
      <c r="V369" s="3"/>
      <c r="W369" s="3"/>
      <c r="X369" s="3"/>
      <c r="Y369" s="3"/>
      <c r="Z369" s="3"/>
    </row>
    <row r="370" spans="1:26" x14ac:dyDescent="0.25">
      <c r="A370" s="2">
        <v>46160</v>
      </c>
      <c r="B370" s="3" t="s">
        <v>170</v>
      </c>
      <c r="C370" s="169" t="s">
        <v>243</v>
      </c>
      <c r="D370" s="170">
        <v>541.87700000000007</v>
      </c>
      <c r="E370" s="173">
        <v>0.995</v>
      </c>
      <c r="F370" s="174">
        <f t="shared" si="198"/>
        <v>539.16761500000007</v>
      </c>
      <c r="G370" s="6"/>
      <c r="H370" s="176"/>
      <c r="I370" s="3" t="str">
        <f t="shared" si="170"/>
        <v>0</v>
      </c>
      <c r="J370" s="3" t="str">
        <f t="shared" si="171"/>
        <v>0</v>
      </c>
      <c r="K370" s="3" t="str">
        <f t="shared" si="172"/>
        <v>0</v>
      </c>
      <c r="L370" s="3" t="str">
        <f t="shared" si="173"/>
        <v>0</v>
      </c>
      <c r="M370" s="3">
        <f t="shared" si="174"/>
        <v>0</v>
      </c>
      <c r="N370" s="3">
        <f t="shared" si="175"/>
        <v>0</v>
      </c>
      <c r="O370" s="3">
        <f t="shared" si="176"/>
        <v>541.87700000000007</v>
      </c>
      <c r="P370" s="3" t="str">
        <f t="shared" si="177"/>
        <v>0</v>
      </c>
      <c r="Q370" s="3">
        <f t="shared" si="178"/>
        <v>539.16761500000007</v>
      </c>
      <c r="R370" s="3" t="str">
        <f t="shared" si="179"/>
        <v>0</v>
      </c>
      <c r="S370" s="3">
        <f t="shared" si="180"/>
        <v>0</v>
      </c>
      <c r="T370" s="3" t="str">
        <f t="shared" si="181"/>
        <v>0</v>
      </c>
      <c r="U370" s="3"/>
      <c r="V370" s="3"/>
      <c r="W370" s="3"/>
      <c r="X370" s="3"/>
      <c r="Y370" s="3"/>
      <c r="Z370" s="3"/>
    </row>
    <row r="371" spans="1:26" x14ac:dyDescent="0.25">
      <c r="A371" s="2">
        <v>46160</v>
      </c>
      <c r="B371" s="3" t="s">
        <v>170</v>
      </c>
      <c r="C371" s="3" t="s">
        <v>230</v>
      </c>
      <c r="D371" s="170">
        <v>537.49900000000002</v>
      </c>
      <c r="E371" s="173">
        <v>0.995</v>
      </c>
      <c r="F371" s="174">
        <f t="shared" si="198"/>
        <v>534.81150500000001</v>
      </c>
      <c r="G371" s="6"/>
      <c r="H371" s="176"/>
      <c r="I371" s="3" t="str">
        <f t="shared" si="170"/>
        <v>0</v>
      </c>
      <c r="J371" s="3" t="str">
        <f t="shared" si="171"/>
        <v>0</v>
      </c>
      <c r="K371" s="3" t="str">
        <f t="shared" si="172"/>
        <v>0</v>
      </c>
      <c r="L371" s="3" t="str">
        <f t="shared" si="173"/>
        <v>0</v>
      </c>
      <c r="M371" s="3">
        <f t="shared" si="174"/>
        <v>0</v>
      </c>
      <c r="N371" s="3">
        <f t="shared" si="175"/>
        <v>0</v>
      </c>
      <c r="O371" s="3">
        <f t="shared" si="176"/>
        <v>537.49900000000002</v>
      </c>
      <c r="P371" s="3" t="str">
        <f t="shared" si="177"/>
        <v>0</v>
      </c>
      <c r="Q371" s="3">
        <f t="shared" si="178"/>
        <v>534.81150500000001</v>
      </c>
      <c r="R371" s="3" t="str">
        <f t="shared" si="179"/>
        <v>0</v>
      </c>
      <c r="S371" s="3">
        <f t="shared" si="180"/>
        <v>0</v>
      </c>
      <c r="T371" s="3" t="str">
        <f t="shared" si="181"/>
        <v>0</v>
      </c>
      <c r="U371" s="3"/>
      <c r="V371" s="3"/>
      <c r="W371" s="3"/>
      <c r="X371" s="3"/>
      <c r="Y371" s="3"/>
      <c r="Z371" s="3"/>
    </row>
    <row r="372" spans="1:26" x14ac:dyDescent="0.25">
      <c r="A372" s="2">
        <v>46160</v>
      </c>
      <c r="B372" s="3" t="s">
        <v>170</v>
      </c>
      <c r="C372" s="3" t="s">
        <v>230</v>
      </c>
      <c r="D372" s="170">
        <v>264</v>
      </c>
      <c r="E372" s="173">
        <v>0.88</v>
      </c>
      <c r="F372" s="174">
        <f t="shared" si="198"/>
        <v>232.32</v>
      </c>
      <c r="G372" s="6">
        <f>H372/D372</f>
        <v>5.6818181818181817</v>
      </c>
      <c r="H372" s="176">
        <v>1500</v>
      </c>
      <c r="I372" s="3" t="str">
        <f t="shared" si="170"/>
        <v>0</v>
      </c>
      <c r="J372" s="3" t="str">
        <f t="shared" si="171"/>
        <v>0</v>
      </c>
      <c r="K372" s="3" t="str">
        <f t="shared" si="172"/>
        <v>0</v>
      </c>
      <c r="L372" s="3" t="str">
        <f t="shared" si="173"/>
        <v>0</v>
      </c>
      <c r="M372" s="3">
        <f t="shared" si="174"/>
        <v>0</v>
      </c>
      <c r="N372" s="3">
        <f t="shared" si="175"/>
        <v>0</v>
      </c>
      <c r="O372" s="3">
        <f t="shared" si="176"/>
        <v>264</v>
      </c>
      <c r="P372" s="3" t="str">
        <f t="shared" si="177"/>
        <v>0</v>
      </c>
      <c r="Q372" s="3">
        <f t="shared" si="178"/>
        <v>232.32</v>
      </c>
      <c r="R372" s="3" t="str">
        <f t="shared" si="179"/>
        <v>0</v>
      </c>
      <c r="S372" s="3">
        <f t="shared" si="180"/>
        <v>1575</v>
      </c>
      <c r="T372" s="3" t="str">
        <f t="shared" si="181"/>
        <v>0</v>
      </c>
      <c r="U372" s="3"/>
      <c r="V372" s="3"/>
      <c r="W372" s="3"/>
      <c r="X372" s="3"/>
      <c r="Y372" s="3"/>
      <c r="Z372" s="3"/>
    </row>
    <row r="373" spans="1:26" x14ac:dyDescent="0.25">
      <c r="A373" s="2">
        <v>46160</v>
      </c>
      <c r="B373" s="3" t="s">
        <v>212</v>
      </c>
      <c r="C373" s="169" t="s">
        <v>232</v>
      </c>
      <c r="D373" s="170">
        <v>84.39200000000001</v>
      </c>
      <c r="E373" s="173">
        <v>0.88</v>
      </c>
      <c r="F373" s="174">
        <f>+D373*E373</f>
        <v>74.264960000000016</v>
      </c>
      <c r="G373" s="184">
        <f>+H373/D373</f>
        <v>11.576926722912123</v>
      </c>
      <c r="H373" s="185">
        <v>977</v>
      </c>
      <c r="I373" s="3" t="str">
        <f t="shared" si="170"/>
        <v>0</v>
      </c>
      <c r="J373" s="3">
        <f t="shared" si="171"/>
        <v>84.39200000000001</v>
      </c>
      <c r="K373" s="3" t="str">
        <f t="shared" si="172"/>
        <v>0</v>
      </c>
      <c r="L373" s="3">
        <f t="shared" si="173"/>
        <v>74.264960000000016</v>
      </c>
      <c r="M373" s="3">
        <f t="shared" si="174"/>
        <v>0</v>
      </c>
      <c r="N373" s="3">
        <f t="shared" si="175"/>
        <v>1025.8499999999999</v>
      </c>
      <c r="O373" s="3" t="str">
        <f t="shared" si="176"/>
        <v>0</v>
      </c>
      <c r="P373" s="3" t="str">
        <f t="shared" si="177"/>
        <v>0</v>
      </c>
      <c r="Q373" s="3" t="str">
        <f t="shared" si="178"/>
        <v>0</v>
      </c>
      <c r="R373" s="3" t="str">
        <f t="shared" si="179"/>
        <v>0</v>
      </c>
      <c r="S373" s="3">
        <f t="shared" si="180"/>
        <v>0</v>
      </c>
      <c r="T373" s="3" t="str">
        <f t="shared" si="181"/>
        <v>0</v>
      </c>
      <c r="U373" s="3"/>
      <c r="V373" s="3"/>
      <c r="W373" s="3"/>
      <c r="X373" s="3"/>
      <c r="Y373" s="3"/>
      <c r="Z373" s="3"/>
    </row>
    <row r="374" spans="1:26" x14ac:dyDescent="0.25">
      <c r="A374" s="2">
        <v>46160</v>
      </c>
      <c r="B374" s="3" t="s">
        <v>171</v>
      </c>
      <c r="C374" s="169" t="s">
        <v>247</v>
      </c>
      <c r="D374" s="3"/>
      <c r="E374" s="3"/>
      <c r="F374" s="6">
        <f t="shared" si="191"/>
        <v>0</v>
      </c>
      <c r="G374" s="6" t="e">
        <f t="shared" ref="G374:G437" si="199">+H374/D374</f>
        <v>#DIV/0!</v>
      </c>
      <c r="H374" s="3"/>
      <c r="I374" s="3" t="str">
        <f t="shared" si="170"/>
        <v>0</v>
      </c>
      <c r="J374" s="3" t="str">
        <f t="shared" si="171"/>
        <v>0</v>
      </c>
      <c r="K374" s="3" t="str">
        <f t="shared" si="172"/>
        <v>0</v>
      </c>
      <c r="L374" s="3" t="str">
        <f t="shared" si="173"/>
        <v>0</v>
      </c>
      <c r="M374" s="3">
        <f t="shared" si="174"/>
        <v>0</v>
      </c>
      <c r="N374" s="3">
        <f t="shared" si="175"/>
        <v>0</v>
      </c>
      <c r="O374" s="3" t="str">
        <f t="shared" si="176"/>
        <v>0</v>
      </c>
      <c r="P374" s="3" t="str">
        <f t="shared" si="177"/>
        <v>0</v>
      </c>
      <c r="Q374" s="3" t="str">
        <f t="shared" si="178"/>
        <v>0</v>
      </c>
      <c r="R374" s="3" t="str">
        <f t="shared" si="179"/>
        <v>0</v>
      </c>
      <c r="S374" s="3">
        <f t="shared" si="180"/>
        <v>0</v>
      </c>
      <c r="T374" s="3" t="str">
        <f t="shared" si="181"/>
        <v>0</v>
      </c>
      <c r="U374" s="3">
        <v>5000</v>
      </c>
      <c r="V374" s="3"/>
      <c r="W374" s="3"/>
      <c r="X374" s="3"/>
      <c r="Y374" s="3"/>
      <c r="Z374" s="3"/>
    </row>
    <row r="375" spans="1:26" x14ac:dyDescent="0.25">
      <c r="A375" s="2">
        <v>46161</v>
      </c>
      <c r="B375" s="3" t="s">
        <v>169</v>
      </c>
      <c r="C375" s="169" t="s">
        <v>247</v>
      </c>
      <c r="D375" s="170">
        <v>604.26432</v>
      </c>
      <c r="E375" s="171">
        <v>0.88</v>
      </c>
      <c r="F375" s="172">
        <f>+D375*E375</f>
        <v>531.75260160000005</v>
      </c>
      <c r="G375" s="172">
        <f>+H375/D375</f>
        <v>3.9745851616722958</v>
      </c>
      <c r="H375" s="176">
        <v>2401.6999999999998</v>
      </c>
      <c r="I375" s="3">
        <f t="shared" si="170"/>
        <v>604.26432</v>
      </c>
      <c r="J375" s="3" t="str">
        <f t="shared" si="171"/>
        <v>0</v>
      </c>
      <c r="K375" s="3">
        <f t="shared" si="172"/>
        <v>531.75260160000005</v>
      </c>
      <c r="L375" s="3" t="str">
        <f t="shared" si="173"/>
        <v>0</v>
      </c>
      <c r="M375" s="3">
        <f t="shared" si="174"/>
        <v>2521.7849999999999</v>
      </c>
      <c r="N375" s="3">
        <f t="shared" si="175"/>
        <v>0</v>
      </c>
      <c r="O375" s="3" t="str">
        <f t="shared" si="176"/>
        <v>0</v>
      </c>
      <c r="P375" s="3" t="str">
        <f t="shared" si="177"/>
        <v>0</v>
      </c>
      <c r="Q375" s="3" t="str">
        <f t="shared" si="178"/>
        <v>0</v>
      </c>
      <c r="R375" s="3" t="str">
        <f t="shared" si="179"/>
        <v>0</v>
      </c>
      <c r="S375" s="3">
        <f t="shared" si="180"/>
        <v>0</v>
      </c>
      <c r="T375" s="3" t="str">
        <f t="shared" si="181"/>
        <v>0</v>
      </c>
      <c r="U375" s="3"/>
      <c r="V375" s="3"/>
      <c r="W375" s="3"/>
      <c r="X375" s="3"/>
      <c r="Y375" s="3"/>
      <c r="Z375" s="3"/>
    </row>
    <row r="376" spans="1:26" x14ac:dyDescent="0.25">
      <c r="A376" s="2">
        <v>46161</v>
      </c>
      <c r="B376" s="3" t="s">
        <v>169</v>
      </c>
      <c r="C376" s="169" t="s">
        <v>233</v>
      </c>
      <c r="D376" s="170">
        <v>77.749760000000009</v>
      </c>
      <c r="E376" s="171">
        <v>0.88</v>
      </c>
      <c r="F376" s="172">
        <f t="shared" ref="F376:F378" si="200">+D376*E376</f>
        <v>68.419788800000006</v>
      </c>
      <c r="G376" s="172">
        <f t="shared" ref="G376:G378" si="201">+H376/D376</f>
        <v>13.326086151262714</v>
      </c>
      <c r="H376" s="176">
        <v>1036.0999999999999</v>
      </c>
      <c r="I376" s="3">
        <f t="shared" si="170"/>
        <v>77.749760000000009</v>
      </c>
      <c r="J376" s="3" t="str">
        <f t="shared" si="171"/>
        <v>0</v>
      </c>
      <c r="K376" s="3">
        <f t="shared" si="172"/>
        <v>68.419788800000006</v>
      </c>
      <c r="L376" s="3" t="str">
        <f t="shared" si="173"/>
        <v>0</v>
      </c>
      <c r="M376" s="3">
        <f t="shared" si="174"/>
        <v>1087.905</v>
      </c>
      <c r="N376" s="3">
        <f t="shared" si="175"/>
        <v>0</v>
      </c>
      <c r="O376" s="3" t="str">
        <f t="shared" si="176"/>
        <v>0</v>
      </c>
      <c r="P376" s="3" t="str">
        <f t="shared" si="177"/>
        <v>0</v>
      </c>
      <c r="Q376" s="3" t="str">
        <f t="shared" si="178"/>
        <v>0</v>
      </c>
      <c r="R376" s="3" t="str">
        <f t="shared" si="179"/>
        <v>0</v>
      </c>
      <c r="S376" s="3">
        <f t="shared" si="180"/>
        <v>0</v>
      </c>
      <c r="T376" s="3" t="str">
        <f t="shared" si="181"/>
        <v>0</v>
      </c>
      <c r="U376" s="3"/>
      <c r="V376" s="3"/>
      <c r="W376" s="3"/>
      <c r="X376" s="3"/>
      <c r="Y376" s="3"/>
      <c r="Z376" s="3"/>
    </row>
    <row r="377" spans="1:26" x14ac:dyDescent="0.25">
      <c r="A377" s="2">
        <v>46161</v>
      </c>
      <c r="B377" s="3" t="s">
        <v>169</v>
      </c>
      <c r="C377" s="169" t="s">
        <v>234</v>
      </c>
      <c r="D377" s="170">
        <v>814.09755749999999</v>
      </c>
      <c r="E377" s="171">
        <v>0.88</v>
      </c>
      <c r="F377" s="172">
        <f t="shared" si="200"/>
        <v>716.40585060000001</v>
      </c>
      <c r="G377" s="172">
        <f t="shared" si="201"/>
        <v>3.651896474336247</v>
      </c>
      <c r="H377" s="176">
        <v>2973</v>
      </c>
      <c r="I377" s="3">
        <f t="shared" si="170"/>
        <v>814.09755749999999</v>
      </c>
      <c r="J377" s="3" t="str">
        <f t="shared" si="171"/>
        <v>0</v>
      </c>
      <c r="K377" s="3">
        <f t="shared" si="172"/>
        <v>716.40585060000001</v>
      </c>
      <c r="L377" s="3" t="str">
        <f t="shared" si="173"/>
        <v>0</v>
      </c>
      <c r="M377" s="3">
        <f t="shared" si="174"/>
        <v>3121.65</v>
      </c>
      <c r="N377" s="3">
        <f t="shared" si="175"/>
        <v>0</v>
      </c>
      <c r="O377" s="3" t="str">
        <f t="shared" si="176"/>
        <v>0</v>
      </c>
      <c r="P377" s="3" t="str">
        <f t="shared" si="177"/>
        <v>0</v>
      </c>
      <c r="Q377" s="3" t="str">
        <f t="shared" si="178"/>
        <v>0</v>
      </c>
      <c r="R377" s="3" t="str">
        <f t="shared" si="179"/>
        <v>0</v>
      </c>
      <c r="S377" s="3">
        <f t="shared" si="180"/>
        <v>0</v>
      </c>
      <c r="T377" s="3" t="str">
        <f t="shared" si="181"/>
        <v>0</v>
      </c>
      <c r="U377" s="3"/>
      <c r="V377" s="3"/>
      <c r="W377" s="3"/>
      <c r="X377" s="3"/>
      <c r="Y377" s="3"/>
      <c r="Z377" s="3"/>
    </row>
    <row r="378" spans="1:26" x14ac:dyDescent="0.25">
      <c r="A378" s="2">
        <v>46161</v>
      </c>
      <c r="B378" s="3" t="s">
        <v>169</v>
      </c>
      <c r="C378" s="169" t="s">
        <v>228</v>
      </c>
      <c r="D378" s="170">
        <v>990.02499999999998</v>
      </c>
      <c r="E378" s="171">
        <v>0.88</v>
      </c>
      <c r="F378" s="172">
        <f t="shared" si="200"/>
        <v>871.22199999999998</v>
      </c>
      <c r="G378" s="172">
        <f t="shared" si="201"/>
        <v>22.838413171384559</v>
      </c>
      <c r="H378" s="176">
        <v>22610.6</v>
      </c>
      <c r="I378" s="3">
        <f t="shared" si="170"/>
        <v>990.02499999999998</v>
      </c>
      <c r="J378" s="3" t="str">
        <f t="shared" si="171"/>
        <v>0</v>
      </c>
      <c r="K378" s="3">
        <f t="shared" si="172"/>
        <v>871.22199999999998</v>
      </c>
      <c r="L378" s="3" t="str">
        <f t="shared" si="173"/>
        <v>0</v>
      </c>
      <c r="M378" s="3">
        <f t="shared" si="174"/>
        <v>23741.129999999997</v>
      </c>
      <c r="N378" s="3">
        <f t="shared" si="175"/>
        <v>0</v>
      </c>
      <c r="O378" s="3" t="str">
        <f t="shared" si="176"/>
        <v>0</v>
      </c>
      <c r="P378" s="3" t="str">
        <f t="shared" si="177"/>
        <v>0</v>
      </c>
      <c r="Q378" s="3" t="str">
        <f t="shared" si="178"/>
        <v>0</v>
      </c>
      <c r="R378" s="3" t="str">
        <f t="shared" si="179"/>
        <v>0</v>
      </c>
      <c r="S378" s="3">
        <f t="shared" si="180"/>
        <v>0</v>
      </c>
      <c r="T378" s="3" t="str">
        <f t="shared" si="181"/>
        <v>0</v>
      </c>
      <c r="U378" s="3"/>
      <c r="V378" s="3"/>
      <c r="W378" s="3"/>
      <c r="X378" s="3"/>
      <c r="Y378" s="3"/>
      <c r="Z378" s="3"/>
    </row>
    <row r="379" spans="1:26" x14ac:dyDescent="0.25">
      <c r="A379" s="2">
        <v>46161</v>
      </c>
      <c r="B379" s="3" t="s">
        <v>170</v>
      </c>
      <c r="C379" s="169" t="s">
        <v>233</v>
      </c>
      <c r="D379" s="170">
        <v>737.66762749999998</v>
      </c>
      <c r="E379" s="173">
        <v>0.995</v>
      </c>
      <c r="F379" s="174">
        <f t="shared" ref="F379:F381" si="202">D379*E379</f>
        <v>733.97928936250003</v>
      </c>
      <c r="G379" s="6">
        <f t="shared" si="199"/>
        <v>0</v>
      </c>
      <c r="H379" s="3"/>
      <c r="I379" s="3" t="str">
        <f t="shared" si="170"/>
        <v>0</v>
      </c>
      <c r="J379" s="3" t="str">
        <f t="shared" si="171"/>
        <v>0</v>
      </c>
      <c r="K379" s="3" t="str">
        <f t="shared" si="172"/>
        <v>0</v>
      </c>
      <c r="L379" s="3" t="str">
        <f t="shared" si="173"/>
        <v>0</v>
      </c>
      <c r="M379" s="3">
        <f t="shared" si="174"/>
        <v>0</v>
      </c>
      <c r="N379" s="3">
        <f t="shared" si="175"/>
        <v>0</v>
      </c>
      <c r="O379" s="3">
        <f t="shared" si="176"/>
        <v>737.66762749999998</v>
      </c>
      <c r="P379" s="3" t="str">
        <f t="shared" si="177"/>
        <v>0</v>
      </c>
      <c r="Q379" s="3">
        <f t="shared" si="178"/>
        <v>733.97928936250003</v>
      </c>
      <c r="R379" s="3" t="str">
        <f t="shared" si="179"/>
        <v>0</v>
      </c>
      <c r="S379" s="3">
        <f t="shared" si="180"/>
        <v>0</v>
      </c>
      <c r="T379" s="3" t="str">
        <f t="shared" si="181"/>
        <v>0</v>
      </c>
      <c r="U379" s="3"/>
      <c r="V379" s="3"/>
      <c r="W379" s="3"/>
      <c r="X379" s="3"/>
      <c r="Y379" s="3"/>
      <c r="Z379" s="3"/>
    </row>
    <row r="380" spans="1:26" x14ac:dyDescent="0.25">
      <c r="A380" s="2">
        <v>46161</v>
      </c>
      <c r="B380" s="3" t="s">
        <v>170</v>
      </c>
      <c r="C380" s="169" t="s">
        <v>234</v>
      </c>
      <c r="D380" s="170">
        <v>443.06588825</v>
      </c>
      <c r="E380" s="173">
        <v>0.995</v>
      </c>
      <c r="F380" s="174">
        <f t="shared" si="202"/>
        <v>440.85055880875001</v>
      </c>
      <c r="G380" s="6">
        <f t="shared" si="199"/>
        <v>0</v>
      </c>
      <c r="H380" s="3"/>
      <c r="I380" s="3" t="str">
        <f t="shared" si="170"/>
        <v>0</v>
      </c>
      <c r="J380" s="3" t="str">
        <f t="shared" si="171"/>
        <v>0</v>
      </c>
      <c r="K380" s="3" t="str">
        <f t="shared" si="172"/>
        <v>0</v>
      </c>
      <c r="L380" s="3" t="str">
        <f t="shared" si="173"/>
        <v>0</v>
      </c>
      <c r="M380" s="3">
        <f t="shared" si="174"/>
        <v>0</v>
      </c>
      <c r="N380" s="3">
        <f t="shared" si="175"/>
        <v>0</v>
      </c>
      <c r="O380" s="3">
        <f t="shared" si="176"/>
        <v>443.06588825</v>
      </c>
      <c r="P380" s="3" t="str">
        <f t="shared" si="177"/>
        <v>0</v>
      </c>
      <c r="Q380" s="3">
        <f t="shared" si="178"/>
        <v>440.85055880875001</v>
      </c>
      <c r="R380" s="3" t="str">
        <f t="shared" si="179"/>
        <v>0</v>
      </c>
      <c r="S380" s="3">
        <f t="shared" si="180"/>
        <v>0</v>
      </c>
      <c r="T380" s="3" t="str">
        <f t="shared" si="181"/>
        <v>0</v>
      </c>
      <c r="U380" s="3"/>
      <c r="V380" s="3"/>
      <c r="W380" s="3"/>
      <c r="X380" s="3"/>
      <c r="Y380" s="3"/>
      <c r="Z380" s="3"/>
    </row>
    <row r="381" spans="1:26" x14ac:dyDescent="0.25">
      <c r="A381" s="2">
        <v>46161</v>
      </c>
      <c r="B381" s="3" t="s">
        <v>170</v>
      </c>
      <c r="C381" s="169" t="s">
        <v>228</v>
      </c>
      <c r="D381" s="170">
        <v>539.16761500000007</v>
      </c>
      <c r="E381" s="173">
        <v>0.995</v>
      </c>
      <c r="F381" s="174">
        <f t="shared" si="202"/>
        <v>536.47177692500009</v>
      </c>
      <c r="G381" s="6">
        <f t="shared" si="199"/>
        <v>0</v>
      </c>
      <c r="H381" s="3"/>
      <c r="I381" s="3" t="str">
        <f t="shared" si="170"/>
        <v>0</v>
      </c>
      <c r="J381" s="3" t="str">
        <f t="shared" si="171"/>
        <v>0</v>
      </c>
      <c r="K381" s="3" t="str">
        <f t="shared" si="172"/>
        <v>0</v>
      </c>
      <c r="L381" s="3" t="str">
        <f t="shared" si="173"/>
        <v>0</v>
      </c>
      <c r="M381" s="3">
        <f t="shared" si="174"/>
        <v>0</v>
      </c>
      <c r="N381" s="3">
        <f t="shared" si="175"/>
        <v>0</v>
      </c>
      <c r="O381" s="3">
        <f t="shared" si="176"/>
        <v>539.16761500000007</v>
      </c>
      <c r="P381" s="3" t="str">
        <f t="shared" si="177"/>
        <v>0</v>
      </c>
      <c r="Q381" s="3">
        <f t="shared" si="178"/>
        <v>536.47177692500009</v>
      </c>
      <c r="R381" s="3" t="str">
        <f t="shared" si="179"/>
        <v>0</v>
      </c>
      <c r="S381" s="3">
        <f t="shared" si="180"/>
        <v>0</v>
      </c>
      <c r="T381" s="3" t="str">
        <f t="shared" si="181"/>
        <v>0</v>
      </c>
      <c r="U381" s="3"/>
      <c r="V381" s="3"/>
      <c r="W381" s="3"/>
      <c r="X381" s="3"/>
      <c r="Y381" s="3"/>
      <c r="Z381" s="3"/>
    </row>
    <row r="382" spans="1:26" x14ac:dyDescent="0.25">
      <c r="A382" s="2">
        <v>46161</v>
      </c>
      <c r="B382" s="3" t="s">
        <v>212</v>
      </c>
      <c r="C382" s="169" t="s">
        <v>247</v>
      </c>
      <c r="D382" s="170">
        <v>534.81150500000001</v>
      </c>
      <c r="E382" s="173">
        <v>0.88</v>
      </c>
      <c r="F382" s="174">
        <f>+D382*E382</f>
        <v>470.63412440000002</v>
      </c>
      <c r="G382" s="6">
        <f t="shared" si="199"/>
        <v>0</v>
      </c>
      <c r="H382" s="3"/>
      <c r="I382" s="3" t="str">
        <f t="shared" si="170"/>
        <v>0</v>
      </c>
      <c r="J382" s="3">
        <f t="shared" si="171"/>
        <v>534.81150500000001</v>
      </c>
      <c r="K382" s="3" t="str">
        <f t="shared" si="172"/>
        <v>0</v>
      </c>
      <c r="L382" s="3">
        <f t="shared" si="173"/>
        <v>470.63412440000002</v>
      </c>
      <c r="M382" s="3">
        <f t="shared" si="174"/>
        <v>0</v>
      </c>
      <c r="N382" s="3">
        <f t="shared" si="175"/>
        <v>0</v>
      </c>
      <c r="O382" s="3" t="str">
        <f t="shared" si="176"/>
        <v>0</v>
      </c>
      <c r="P382" s="3" t="str">
        <f t="shared" si="177"/>
        <v>0</v>
      </c>
      <c r="Q382" s="3" t="str">
        <f t="shared" si="178"/>
        <v>0</v>
      </c>
      <c r="R382" s="3" t="str">
        <f t="shared" si="179"/>
        <v>0</v>
      </c>
      <c r="S382" s="3">
        <f t="shared" si="180"/>
        <v>0</v>
      </c>
      <c r="T382" s="3" t="str">
        <f t="shared" si="181"/>
        <v>0</v>
      </c>
      <c r="U382" s="3"/>
      <c r="V382" s="3"/>
      <c r="W382" s="3"/>
      <c r="X382" s="3"/>
      <c r="Y382" s="3"/>
      <c r="Z382" s="3"/>
    </row>
    <row r="383" spans="1:26" x14ac:dyDescent="0.25">
      <c r="A383" s="2">
        <v>46161</v>
      </c>
      <c r="B383" s="3" t="s">
        <v>171</v>
      </c>
      <c r="C383" s="169" t="s">
        <v>228</v>
      </c>
      <c r="D383" s="3"/>
      <c r="E383" s="3"/>
      <c r="F383" s="6">
        <f t="shared" ref="F383:F392" si="203">+D383*E383</f>
        <v>0</v>
      </c>
      <c r="G383" s="6" t="e">
        <f t="shared" si="199"/>
        <v>#DIV/0!</v>
      </c>
      <c r="H383" s="3"/>
      <c r="I383" s="3" t="str">
        <f t="shared" si="170"/>
        <v>0</v>
      </c>
      <c r="J383" s="3" t="str">
        <f t="shared" si="171"/>
        <v>0</v>
      </c>
      <c r="K383" s="3" t="str">
        <f t="shared" si="172"/>
        <v>0</v>
      </c>
      <c r="L383" s="3" t="str">
        <f t="shared" si="173"/>
        <v>0</v>
      </c>
      <c r="M383" s="3">
        <f t="shared" si="174"/>
        <v>0</v>
      </c>
      <c r="N383" s="3">
        <f t="shared" si="175"/>
        <v>0</v>
      </c>
      <c r="O383" s="3" t="str">
        <f t="shared" si="176"/>
        <v>0</v>
      </c>
      <c r="P383" s="3" t="str">
        <f t="shared" si="177"/>
        <v>0</v>
      </c>
      <c r="Q383" s="3" t="str">
        <f t="shared" si="178"/>
        <v>0</v>
      </c>
      <c r="R383" s="3" t="str">
        <f t="shared" si="179"/>
        <v>0</v>
      </c>
      <c r="S383" s="3">
        <f t="shared" si="180"/>
        <v>0</v>
      </c>
      <c r="T383" s="3" t="str">
        <f t="shared" si="181"/>
        <v>0</v>
      </c>
      <c r="U383" s="3">
        <v>200000</v>
      </c>
      <c r="V383" s="3"/>
      <c r="W383" s="3"/>
      <c r="X383" s="3"/>
      <c r="Y383" s="3"/>
      <c r="Z383" s="3"/>
    </row>
    <row r="384" spans="1:26" x14ac:dyDescent="0.25">
      <c r="A384" s="2">
        <v>46161</v>
      </c>
      <c r="B384" s="3" t="s">
        <v>171</v>
      </c>
      <c r="C384" s="3" t="s">
        <v>230</v>
      </c>
      <c r="D384" s="3"/>
      <c r="E384" s="3"/>
      <c r="F384" s="6">
        <f t="shared" si="203"/>
        <v>0</v>
      </c>
      <c r="G384" s="6" t="e">
        <f t="shared" si="199"/>
        <v>#DIV/0!</v>
      </c>
      <c r="H384" s="3"/>
      <c r="I384" s="3" t="str">
        <f t="shared" si="170"/>
        <v>0</v>
      </c>
      <c r="J384" s="3" t="str">
        <f t="shared" si="171"/>
        <v>0</v>
      </c>
      <c r="K384" s="3" t="str">
        <f t="shared" si="172"/>
        <v>0</v>
      </c>
      <c r="L384" s="3" t="str">
        <f t="shared" si="173"/>
        <v>0</v>
      </c>
      <c r="M384" s="3">
        <f t="shared" si="174"/>
        <v>0</v>
      </c>
      <c r="N384" s="3">
        <f t="shared" si="175"/>
        <v>0</v>
      </c>
      <c r="O384" s="3" t="str">
        <f t="shared" si="176"/>
        <v>0</v>
      </c>
      <c r="P384" s="3" t="str">
        <f t="shared" si="177"/>
        <v>0</v>
      </c>
      <c r="Q384" s="3" t="str">
        <f t="shared" si="178"/>
        <v>0</v>
      </c>
      <c r="R384" s="3" t="str">
        <f t="shared" si="179"/>
        <v>0</v>
      </c>
      <c r="S384" s="3">
        <f t="shared" si="180"/>
        <v>0</v>
      </c>
      <c r="T384" s="3" t="str">
        <f t="shared" si="181"/>
        <v>0</v>
      </c>
      <c r="U384" s="3">
        <v>25000</v>
      </c>
      <c r="V384" s="3"/>
      <c r="W384" s="3"/>
      <c r="X384" s="3"/>
      <c r="Y384" s="3"/>
      <c r="Z384" s="3"/>
    </row>
    <row r="385" spans="1:26" x14ac:dyDescent="0.25">
      <c r="A385" s="2">
        <v>46162</v>
      </c>
      <c r="B385" s="3" t="s">
        <v>169</v>
      </c>
      <c r="C385" s="3" t="s">
        <v>230</v>
      </c>
      <c r="D385" s="170">
        <v>531.75260160000005</v>
      </c>
      <c r="E385" s="171">
        <v>0.88</v>
      </c>
      <c r="F385" s="172">
        <f>+D385*E385</f>
        <v>467.94228940800002</v>
      </c>
      <c r="G385" s="172">
        <f>+H385/D385</f>
        <v>7.983411810730292</v>
      </c>
      <c r="H385" s="176">
        <v>4245.2</v>
      </c>
      <c r="I385" s="3">
        <f t="shared" si="170"/>
        <v>531.75260160000005</v>
      </c>
      <c r="J385" s="3" t="str">
        <f t="shared" si="171"/>
        <v>0</v>
      </c>
      <c r="K385" s="3">
        <f t="shared" si="172"/>
        <v>467.94228940800002</v>
      </c>
      <c r="L385" s="3" t="str">
        <f t="shared" si="173"/>
        <v>0</v>
      </c>
      <c r="M385" s="3">
        <f t="shared" si="174"/>
        <v>4457.46</v>
      </c>
      <c r="N385" s="3">
        <f t="shared" si="175"/>
        <v>0</v>
      </c>
      <c r="O385" s="3" t="str">
        <f t="shared" si="176"/>
        <v>0</v>
      </c>
      <c r="P385" s="3" t="str">
        <f t="shared" si="177"/>
        <v>0</v>
      </c>
      <c r="Q385" s="3" t="str">
        <f t="shared" si="178"/>
        <v>0</v>
      </c>
      <c r="R385" s="3" t="str">
        <f t="shared" si="179"/>
        <v>0</v>
      </c>
      <c r="S385" s="3">
        <f t="shared" si="180"/>
        <v>0</v>
      </c>
      <c r="T385" s="3" t="str">
        <f t="shared" si="181"/>
        <v>0</v>
      </c>
      <c r="U385" s="3"/>
      <c r="V385" s="3"/>
      <c r="W385" s="3"/>
      <c r="X385" s="3"/>
      <c r="Y385" s="3"/>
      <c r="Z385" s="3"/>
    </row>
    <row r="386" spans="1:26" x14ac:dyDescent="0.25">
      <c r="A386" s="2">
        <v>46162</v>
      </c>
      <c r="B386" s="3" t="s">
        <v>169</v>
      </c>
      <c r="C386" s="169" t="s">
        <v>246</v>
      </c>
      <c r="D386" s="170">
        <v>68.419788800000006</v>
      </c>
      <c r="E386" s="171">
        <v>0.88</v>
      </c>
      <c r="F386" s="172">
        <f t="shared" ref="F386:F388" si="204">+D386*E386</f>
        <v>60.209414144000007</v>
      </c>
      <c r="G386" s="172">
        <f t="shared" ref="G386:G388" si="205">+H386/D386</f>
        <v>16.119897756831428</v>
      </c>
      <c r="H386" s="176">
        <v>1102.92</v>
      </c>
      <c r="I386" s="3">
        <f t="shared" ref="I386:I449" si="206">IF(B386="SALES",D386,"0")</f>
        <v>68.419788800000006</v>
      </c>
      <c r="J386" s="3" t="str">
        <f t="shared" ref="J386:J449" si="207">IF(B386="SALES RETURN",D386,"0")</f>
        <v>0</v>
      </c>
      <c r="K386" s="3">
        <f t="shared" ref="K386:K449" si="208">IF(B386="SALES",F386,"0")</f>
        <v>60.209414144000007</v>
      </c>
      <c r="L386" s="3" t="str">
        <f t="shared" ref="L386:L449" si="209">IF(B386="SALES RETURN",F386,"0")</f>
        <v>0</v>
      </c>
      <c r="M386" s="3">
        <f t="shared" ref="M386:M449" si="210">IF(B386="SALES",H386,"0")+IF(B386="SALES",H386,"0")*5%</f>
        <v>1158.066</v>
      </c>
      <c r="N386" s="3">
        <f t="shared" ref="N386:N449" si="211">IF(B386="SALES RETURN",H386,"0")+IF(B386="SALES RETURN",H386,"0")*5%</f>
        <v>0</v>
      </c>
      <c r="O386" s="3" t="str">
        <f t="shared" ref="O386:O449" si="212">IF(B386="PURCHASE",D386,"0")</f>
        <v>0</v>
      </c>
      <c r="P386" s="3" t="str">
        <f t="shared" ref="P386:P449" si="213">IF(B386="METAL PAYMENT",D386,"0")</f>
        <v>0</v>
      </c>
      <c r="Q386" s="3" t="str">
        <f t="shared" ref="Q386:Q449" si="214">IF(B386="PURCHASE",F386,"0")</f>
        <v>0</v>
      </c>
      <c r="R386" s="3" t="str">
        <f t="shared" ref="R386:R449" si="215">IF(B386="METAL PAYMENT",F386,"0")</f>
        <v>0</v>
      </c>
      <c r="S386" s="3">
        <f t="shared" ref="S386:S449" si="216">IF(B386="PURCHASE",H386,"0")+IF(B386="PURCHASE",H386,"0")*5%</f>
        <v>0</v>
      </c>
      <c r="T386" s="3" t="str">
        <f t="shared" ref="T386:T449" si="217">IF(B386="METAL PAYMENT",H386,"0")</f>
        <v>0</v>
      </c>
      <c r="U386" s="3"/>
      <c r="V386" s="3"/>
      <c r="W386" s="3"/>
      <c r="X386" s="3"/>
      <c r="Y386" s="3"/>
      <c r="Z386" s="3"/>
    </row>
    <row r="387" spans="1:26" x14ac:dyDescent="0.25">
      <c r="A387" s="2">
        <v>46162</v>
      </c>
      <c r="B387" s="3" t="s">
        <v>169</v>
      </c>
      <c r="C387" s="169" t="s">
        <v>228</v>
      </c>
      <c r="D387" s="170">
        <v>716.40585060000001</v>
      </c>
      <c r="E387" s="171">
        <v>0.88</v>
      </c>
      <c r="F387" s="172">
        <f t="shared" si="204"/>
        <v>630.43714852799997</v>
      </c>
      <c r="G387" s="172">
        <f t="shared" si="205"/>
        <v>24.062826937499608</v>
      </c>
      <c r="H387" s="176">
        <v>17238.75</v>
      </c>
      <c r="I387" s="3">
        <f t="shared" si="206"/>
        <v>716.40585060000001</v>
      </c>
      <c r="J387" s="3" t="str">
        <f t="shared" si="207"/>
        <v>0</v>
      </c>
      <c r="K387" s="3">
        <f t="shared" si="208"/>
        <v>630.43714852799997</v>
      </c>
      <c r="L387" s="3" t="str">
        <f t="shared" si="209"/>
        <v>0</v>
      </c>
      <c r="M387" s="3">
        <f t="shared" si="210"/>
        <v>18100.6875</v>
      </c>
      <c r="N387" s="3">
        <f t="shared" si="211"/>
        <v>0</v>
      </c>
      <c r="O387" s="3" t="str">
        <f t="shared" si="212"/>
        <v>0</v>
      </c>
      <c r="P387" s="3" t="str">
        <f t="shared" si="213"/>
        <v>0</v>
      </c>
      <c r="Q387" s="3" t="str">
        <f t="shared" si="214"/>
        <v>0</v>
      </c>
      <c r="R387" s="3" t="str">
        <f t="shared" si="215"/>
        <v>0</v>
      </c>
      <c r="S387" s="3">
        <f t="shared" si="216"/>
        <v>0</v>
      </c>
      <c r="T387" s="3" t="str">
        <f t="shared" si="217"/>
        <v>0</v>
      </c>
      <c r="U387" s="3"/>
      <c r="V387" s="3"/>
      <c r="W387" s="3"/>
      <c r="X387" s="3"/>
      <c r="Y387" s="3"/>
      <c r="Z387" s="3"/>
    </row>
    <row r="388" spans="1:26" x14ac:dyDescent="0.25">
      <c r="A388" s="2">
        <v>46162</v>
      </c>
      <c r="B388" s="3" t="s">
        <v>169</v>
      </c>
      <c r="C388" s="169" t="s">
        <v>238</v>
      </c>
      <c r="D388" s="170">
        <v>871.22199999999998</v>
      </c>
      <c r="E388" s="171">
        <v>0.88</v>
      </c>
      <c r="F388" s="172">
        <f t="shared" si="204"/>
        <v>766.67535999999996</v>
      </c>
      <c r="G388" s="172">
        <f t="shared" si="205"/>
        <v>3.7547375984536662</v>
      </c>
      <c r="H388" s="176">
        <v>3271.21</v>
      </c>
      <c r="I388" s="3">
        <f t="shared" si="206"/>
        <v>871.22199999999998</v>
      </c>
      <c r="J388" s="3" t="str">
        <f t="shared" si="207"/>
        <v>0</v>
      </c>
      <c r="K388" s="3">
        <f t="shared" si="208"/>
        <v>766.67535999999996</v>
      </c>
      <c r="L388" s="3" t="str">
        <f t="shared" si="209"/>
        <v>0</v>
      </c>
      <c r="M388" s="3">
        <f t="shared" si="210"/>
        <v>3434.7705000000001</v>
      </c>
      <c r="N388" s="3">
        <f t="shared" si="211"/>
        <v>0</v>
      </c>
      <c r="O388" s="3" t="str">
        <f t="shared" si="212"/>
        <v>0</v>
      </c>
      <c r="P388" s="3" t="str">
        <f t="shared" si="213"/>
        <v>0</v>
      </c>
      <c r="Q388" s="3" t="str">
        <f t="shared" si="214"/>
        <v>0</v>
      </c>
      <c r="R388" s="3" t="str">
        <f t="shared" si="215"/>
        <v>0</v>
      </c>
      <c r="S388" s="3">
        <f t="shared" si="216"/>
        <v>0</v>
      </c>
      <c r="T388" s="3" t="str">
        <f t="shared" si="217"/>
        <v>0</v>
      </c>
      <c r="U388" s="3"/>
      <c r="V388" s="3"/>
      <c r="W388" s="3"/>
      <c r="X388" s="3"/>
      <c r="Y388" s="3"/>
      <c r="Z388" s="3"/>
    </row>
    <row r="389" spans="1:26" x14ac:dyDescent="0.25">
      <c r="A389" s="2">
        <v>46162</v>
      </c>
      <c r="B389" s="3" t="s">
        <v>170</v>
      </c>
      <c r="C389" s="3" t="s">
        <v>235</v>
      </c>
      <c r="D389" s="170">
        <v>733.97928936250003</v>
      </c>
      <c r="E389" s="173">
        <v>0.995</v>
      </c>
      <c r="F389" s="174">
        <f t="shared" ref="F389:F391" si="218">D389*E389</f>
        <v>730.30939291568757</v>
      </c>
      <c r="G389" s="6">
        <f t="shared" si="199"/>
        <v>0</v>
      </c>
      <c r="H389" s="3"/>
      <c r="I389" s="3" t="str">
        <f t="shared" si="206"/>
        <v>0</v>
      </c>
      <c r="J389" s="3" t="str">
        <f t="shared" si="207"/>
        <v>0</v>
      </c>
      <c r="K389" s="3" t="str">
        <f t="shared" si="208"/>
        <v>0</v>
      </c>
      <c r="L389" s="3" t="str">
        <f t="shared" si="209"/>
        <v>0</v>
      </c>
      <c r="M389" s="3">
        <f t="shared" si="210"/>
        <v>0</v>
      </c>
      <c r="N389" s="3">
        <f t="shared" si="211"/>
        <v>0</v>
      </c>
      <c r="O389" s="3">
        <f t="shared" si="212"/>
        <v>733.97928936250003</v>
      </c>
      <c r="P389" s="3" t="str">
        <f t="shared" si="213"/>
        <v>0</v>
      </c>
      <c r="Q389" s="3">
        <f t="shared" si="214"/>
        <v>730.30939291568757</v>
      </c>
      <c r="R389" s="3" t="str">
        <f t="shared" si="215"/>
        <v>0</v>
      </c>
      <c r="S389" s="3">
        <f t="shared" si="216"/>
        <v>0</v>
      </c>
      <c r="T389" s="3" t="str">
        <f t="shared" si="217"/>
        <v>0</v>
      </c>
      <c r="U389" s="3"/>
      <c r="V389" s="3"/>
      <c r="W389" s="3"/>
      <c r="X389" s="3"/>
      <c r="Y389" s="3"/>
      <c r="Z389" s="3"/>
    </row>
    <row r="390" spans="1:26" x14ac:dyDescent="0.25">
      <c r="A390" s="2">
        <v>46162</v>
      </c>
      <c r="B390" s="3" t="s">
        <v>170</v>
      </c>
      <c r="C390" s="169" t="s">
        <v>246</v>
      </c>
      <c r="D390" s="170">
        <v>440.85055880875001</v>
      </c>
      <c r="E390" s="173">
        <v>0.995</v>
      </c>
      <c r="F390" s="174">
        <f t="shared" si="218"/>
        <v>438.64630601470628</v>
      </c>
      <c r="G390" s="6">
        <f t="shared" si="199"/>
        <v>0</v>
      </c>
      <c r="H390" s="3"/>
      <c r="I390" s="3" t="str">
        <f t="shared" si="206"/>
        <v>0</v>
      </c>
      <c r="J390" s="3" t="str">
        <f t="shared" si="207"/>
        <v>0</v>
      </c>
      <c r="K390" s="3" t="str">
        <f t="shared" si="208"/>
        <v>0</v>
      </c>
      <c r="L390" s="3" t="str">
        <f t="shared" si="209"/>
        <v>0</v>
      </c>
      <c r="M390" s="3">
        <f t="shared" si="210"/>
        <v>0</v>
      </c>
      <c r="N390" s="3">
        <f t="shared" si="211"/>
        <v>0</v>
      </c>
      <c r="O390" s="3">
        <f t="shared" si="212"/>
        <v>440.85055880875001</v>
      </c>
      <c r="P390" s="3" t="str">
        <f t="shared" si="213"/>
        <v>0</v>
      </c>
      <c r="Q390" s="3">
        <f t="shared" si="214"/>
        <v>438.64630601470628</v>
      </c>
      <c r="R390" s="3" t="str">
        <f t="shared" si="215"/>
        <v>0</v>
      </c>
      <c r="S390" s="3">
        <f t="shared" si="216"/>
        <v>0</v>
      </c>
      <c r="T390" s="3" t="str">
        <f t="shared" si="217"/>
        <v>0</v>
      </c>
      <c r="U390" s="3"/>
      <c r="V390" s="3"/>
      <c r="W390" s="3"/>
      <c r="X390" s="3"/>
      <c r="Y390" s="3"/>
      <c r="Z390" s="3"/>
    </row>
    <row r="391" spans="1:26" x14ac:dyDescent="0.25">
      <c r="A391" s="2">
        <v>46162</v>
      </c>
      <c r="B391" s="3" t="s">
        <v>170</v>
      </c>
      <c r="C391" s="169" t="s">
        <v>246</v>
      </c>
      <c r="D391" s="170">
        <v>536.47177692500009</v>
      </c>
      <c r="E391" s="173">
        <v>0.995</v>
      </c>
      <c r="F391" s="174">
        <f t="shared" si="218"/>
        <v>533.78941804037504</v>
      </c>
      <c r="G391" s="6">
        <f t="shared" si="199"/>
        <v>0</v>
      </c>
      <c r="H391" s="3"/>
      <c r="I391" s="3" t="str">
        <f t="shared" si="206"/>
        <v>0</v>
      </c>
      <c r="J391" s="3" t="str">
        <f t="shared" si="207"/>
        <v>0</v>
      </c>
      <c r="K391" s="3" t="str">
        <f t="shared" si="208"/>
        <v>0</v>
      </c>
      <c r="L391" s="3" t="str">
        <f t="shared" si="209"/>
        <v>0</v>
      </c>
      <c r="M391" s="3">
        <f t="shared" si="210"/>
        <v>0</v>
      </c>
      <c r="N391" s="3">
        <f t="shared" si="211"/>
        <v>0</v>
      </c>
      <c r="O391" s="3">
        <f t="shared" si="212"/>
        <v>536.47177692500009</v>
      </c>
      <c r="P391" s="3" t="str">
        <f t="shared" si="213"/>
        <v>0</v>
      </c>
      <c r="Q391" s="3">
        <f t="shared" si="214"/>
        <v>533.78941804037504</v>
      </c>
      <c r="R391" s="3" t="str">
        <f t="shared" si="215"/>
        <v>0</v>
      </c>
      <c r="S391" s="3">
        <f t="shared" si="216"/>
        <v>0</v>
      </c>
      <c r="T391" s="3" t="str">
        <f t="shared" si="217"/>
        <v>0</v>
      </c>
      <c r="U391" s="3"/>
      <c r="V391" s="3"/>
      <c r="W391" s="3"/>
      <c r="X391" s="3"/>
      <c r="Y391" s="3"/>
      <c r="Z391" s="3"/>
    </row>
    <row r="392" spans="1:26" x14ac:dyDescent="0.25">
      <c r="A392" s="2">
        <v>46162</v>
      </c>
      <c r="B392" s="3" t="s">
        <v>171</v>
      </c>
      <c r="C392" s="169" t="s">
        <v>246</v>
      </c>
      <c r="D392" s="3"/>
      <c r="E392" s="3"/>
      <c r="F392" s="6">
        <f t="shared" si="203"/>
        <v>0</v>
      </c>
      <c r="G392" s="6" t="e">
        <f t="shared" si="199"/>
        <v>#DIV/0!</v>
      </c>
      <c r="H392" s="3"/>
      <c r="I392" s="3" t="str">
        <f t="shared" si="206"/>
        <v>0</v>
      </c>
      <c r="J392" s="3" t="str">
        <f t="shared" si="207"/>
        <v>0</v>
      </c>
      <c r="K392" s="3" t="str">
        <f t="shared" si="208"/>
        <v>0</v>
      </c>
      <c r="L392" s="3" t="str">
        <f t="shared" si="209"/>
        <v>0</v>
      </c>
      <c r="M392" s="3">
        <f t="shared" si="210"/>
        <v>0</v>
      </c>
      <c r="N392" s="3">
        <f t="shared" si="211"/>
        <v>0</v>
      </c>
      <c r="O392" s="3" t="str">
        <f t="shared" si="212"/>
        <v>0</v>
      </c>
      <c r="P392" s="3" t="str">
        <f t="shared" si="213"/>
        <v>0</v>
      </c>
      <c r="Q392" s="3" t="str">
        <f t="shared" si="214"/>
        <v>0</v>
      </c>
      <c r="R392" s="3" t="str">
        <f t="shared" si="215"/>
        <v>0</v>
      </c>
      <c r="S392" s="3">
        <f t="shared" si="216"/>
        <v>0</v>
      </c>
      <c r="T392" s="3" t="str">
        <f t="shared" si="217"/>
        <v>0</v>
      </c>
      <c r="U392" s="3">
        <v>17000</v>
      </c>
      <c r="V392" s="3"/>
      <c r="W392" s="3"/>
      <c r="X392" s="3"/>
      <c r="Y392" s="3"/>
      <c r="Z392" s="3"/>
    </row>
    <row r="393" spans="1:26" x14ac:dyDescent="0.25">
      <c r="A393" s="2">
        <v>46163</v>
      </c>
      <c r="B393" s="3" t="s">
        <v>169</v>
      </c>
      <c r="C393" s="169" t="s">
        <v>228</v>
      </c>
      <c r="D393" s="170">
        <v>861.75232000000005</v>
      </c>
      <c r="E393" s="171">
        <v>0.88</v>
      </c>
      <c r="F393" s="172">
        <f>+D393*E393</f>
        <v>758.34204160000002</v>
      </c>
      <c r="G393" s="172">
        <f>+H393/D393</f>
        <v>14.01881923567087</v>
      </c>
      <c r="H393" s="176">
        <v>12080.75</v>
      </c>
      <c r="I393" s="3">
        <f t="shared" si="206"/>
        <v>861.75232000000005</v>
      </c>
      <c r="J393" s="3" t="str">
        <f t="shared" si="207"/>
        <v>0</v>
      </c>
      <c r="K393" s="3">
        <f t="shared" si="208"/>
        <v>758.34204160000002</v>
      </c>
      <c r="L393" s="3" t="str">
        <f t="shared" si="209"/>
        <v>0</v>
      </c>
      <c r="M393" s="3">
        <f t="shared" si="210"/>
        <v>12684.7875</v>
      </c>
      <c r="N393" s="3">
        <f t="shared" si="211"/>
        <v>0</v>
      </c>
      <c r="O393" s="3" t="str">
        <f t="shared" si="212"/>
        <v>0</v>
      </c>
      <c r="P393" s="3" t="str">
        <f t="shared" si="213"/>
        <v>0</v>
      </c>
      <c r="Q393" s="3" t="str">
        <f t="shared" si="214"/>
        <v>0</v>
      </c>
      <c r="R393" s="3" t="str">
        <f t="shared" si="215"/>
        <v>0</v>
      </c>
      <c r="S393" s="3">
        <f t="shared" si="216"/>
        <v>0</v>
      </c>
      <c r="T393" s="3" t="str">
        <f t="shared" si="217"/>
        <v>0</v>
      </c>
      <c r="U393" s="3"/>
      <c r="V393" s="3"/>
      <c r="W393" s="3"/>
      <c r="X393" s="3"/>
      <c r="Y393" s="3"/>
      <c r="Z393" s="3"/>
    </row>
    <row r="394" spans="1:26" x14ac:dyDescent="0.25">
      <c r="A394" s="2">
        <v>46163</v>
      </c>
      <c r="B394" s="3" t="s">
        <v>169</v>
      </c>
      <c r="C394" s="169" t="s">
        <v>234</v>
      </c>
      <c r="D394" s="170">
        <v>442.41471999999999</v>
      </c>
      <c r="E394" s="171">
        <v>0.88</v>
      </c>
      <c r="F394" s="172">
        <f t="shared" ref="F394:F396" si="219">+D394*E394</f>
        <v>389.32495360000001</v>
      </c>
      <c r="G394" s="172">
        <f t="shared" ref="G394:G396" si="220">+H394/D394</f>
        <v>5.1648371916739118</v>
      </c>
      <c r="H394" s="176">
        <v>2285</v>
      </c>
      <c r="I394" s="3">
        <f t="shared" si="206"/>
        <v>442.41471999999999</v>
      </c>
      <c r="J394" s="3" t="str">
        <f t="shared" si="207"/>
        <v>0</v>
      </c>
      <c r="K394" s="3">
        <f t="shared" si="208"/>
        <v>389.32495360000001</v>
      </c>
      <c r="L394" s="3" t="str">
        <f t="shared" si="209"/>
        <v>0</v>
      </c>
      <c r="M394" s="3">
        <f t="shared" si="210"/>
        <v>2399.25</v>
      </c>
      <c r="N394" s="3">
        <f t="shared" si="211"/>
        <v>0</v>
      </c>
      <c r="O394" s="3" t="str">
        <f t="shared" si="212"/>
        <v>0</v>
      </c>
      <c r="P394" s="3" t="str">
        <f t="shared" si="213"/>
        <v>0</v>
      </c>
      <c r="Q394" s="3" t="str">
        <f t="shared" si="214"/>
        <v>0</v>
      </c>
      <c r="R394" s="3" t="str">
        <f t="shared" si="215"/>
        <v>0</v>
      </c>
      <c r="S394" s="3">
        <f t="shared" si="216"/>
        <v>0</v>
      </c>
      <c r="T394" s="3" t="str">
        <f t="shared" si="217"/>
        <v>0</v>
      </c>
      <c r="U394" s="3"/>
      <c r="V394" s="3"/>
      <c r="W394" s="3"/>
      <c r="X394" s="3"/>
      <c r="Y394" s="3"/>
      <c r="Z394" s="3"/>
    </row>
    <row r="395" spans="1:26" x14ac:dyDescent="0.25">
      <c r="A395" s="2">
        <v>46163</v>
      </c>
      <c r="B395" s="3" t="s">
        <v>169</v>
      </c>
      <c r="C395" s="169" t="s">
        <v>233</v>
      </c>
      <c r="D395" s="170">
        <v>231.31327999999999</v>
      </c>
      <c r="E395" s="171">
        <v>0.88</v>
      </c>
      <c r="F395" s="172">
        <f t="shared" si="219"/>
        <v>203.55568639999998</v>
      </c>
      <c r="G395" s="172">
        <f t="shared" si="220"/>
        <v>8.3935950413223139</v>
      </c>
      <c r="H395" s="176">
        <v>1941.55</v>
      </c>
      <c r="I395" s="3">
        <f t="shared" si="206"/>
        <v>231.31327999999999</v>
      </c>
      <c r="J395" s="3" t="str">
        <f t="shared" si="207"/>
        <v>0</v>
      </c>
      <c r="K395" s="3">
        <f t="shared" si="208"/>
        <v>203.55568639999998</v>
      </c>
      <c r="L395" s="3" t="str">
        <f t="shared" si="209"/>
        <v>0</v>
      </c>
      <c r="M395" s="3">
        <f t="shared" si="210"/>
        <v>2038.6275000000001</v>
      </c>
      <c r="N395" s="3">
        <f t="shared" si="211"/>
        <v>0</v>
      </c>
      <c r="O395" s="3" t="str">
        <f t="shared" si="212"/>
        <v>0</v>
      </c>
      <c r="P395" s="3" t="str">
        <f t="shared" si="213"/>
        <v>0</v>
      </c>
      <c r="Q395" s="3" t="str">
        <f t="shared" si="214"/>
        <v>0</v>
      </c>
      <c r="R395" s="3" t="str">
        <f t="shared" si="215"/>
        <v>0</v>
      </c>
      <c r="S395" s="3">
        <f t="shared" si="216"/>
        <v>0</v>
      </c>
      <c r="T395" s="3" t="str">
        <f t="shared" si="217"/>
        <v>0</v>
      </c>
      <c r="U395" s="3"/>
      <c r="V395" s="3"/>
      <c r="W395" s="3"/>
      <c r="X395" s="3"/>
      <c r="Y395" s="3"/>
      <c r="Z395" s="3"/>
    </row>
    <row r="396" spans="1:26" x14ac:dyDescent="0.25">
      <c r="A396" s="2">
        <v>46163</v>
      </c>
      <c r="B396" s="3" t="s">
        <v>169</v>
      </c>
      <c r="C396" s="169" t="s">
        <v>242</v>
      </c>
      <c r="D396" s="170">
        <v>688.44159999999999</v>
      </c>
      <c r="E396" s="171">
        <v>0.88</v>
      </c>
      <c r="F396" s="172">
        <f t="shared" si="219"/>
        <v>605.82860800000003</v>
      </c>
      <c r="G396" s="172">
        <f t="shared" si="220"/>
        <v>10.511784877613438</v>
      </c>
      <c r="H396" s="176">
        <v>7236.75</v>
      </c>
      <c r="I396" s="3">
        <f t="shared" si="206"/>
        <v>688.44159999999999</v>
      </c>
      <c r="J396" s="3" t="str">
        <f t="shared" si="207"/>
        <v>0</v>
      </c>
      <c r="K396" s="3">
        <f t="shared" si="208"/>
        <v>605.82860800000003</v>
      </c>
      <c r="L396" s="3" t="str">
        <f t="shared" si="209"/>
        <v>0</v>
      </c>
      <c r="M396" s="3">
        <f t="shared" si="210"/>
        <v>7598.5874999999996</v>
      </c>
      <c r="N396" s="3">
        <f t="shared" si="211"/>
        <v>0</v>
      </c>
      <c r="O396" s="3" t="str">
        <f t="shared" si="212"/>
        <v>0</v>
      </c>
      <c r="P396" s="3" t="str">
        <f t="shared" si="213"/>
        <v>0</v>
      </c>
      <c r="Q396" s="3" t="str">
        <f t="shared" si="214"/>
        <v>0</v>
      </c>
      <c r="R396" s="3" t="str">
        <f t="shared" si="215"/>
        <v>0</v>
      </c>
      <c r="S396" s="3">
        <f t="shared" si="216"/>
        <v>0</v>
      </c>
      <c r="T396" s="3" t="str">
        <f t="shared" si="217"/>
        <v>0</v>
      </c>
      <c r="U396" s="3"/>
      <c r="V396" s="3"/>
      <c r="W396" s="3"/>
      <c r="X396" s="3"/>
      <c r="Y396" s="3"/>
      <c r="Z396" s="3"/>
    </row>
    <row r="397" spans="1:26" x14ac:dyDescent="0.25">
      <c r="A397" s="2">
        <v>46163</v>
      </c>
      <c r="B397" s="3" t="s">
        <v>170</v>
      </c>
      <c r="C397" s="169" t="s">
        <v>229</v>
      </c>
      <c r="D397" s="170">
        <v>524.51524499999994</v>
      </c>
      <c r="E397" s="173">
        <v>0.995</v>
      </c>
      <c r="F397" s="174">
        <f t="shared" ref="F397:F400" si="221">D397*E397</f>
        <v>521.89266877499995</v>
      </c>
      <c r="G397" s="6"/>
      <c r="H397" s="176"/>
      <c r="I397" s="3" t="str">
        <f t="shared" si="206"/>
        <v>0</v>
      </c>
      <c r="J397" s="3" t="str">
        <f t="shared" si="207"/>
        <v>0</v>
      </c>
      <c r="K397" s="3" t="str">
        <f t="shared" si="208"/>
        <v>0</v>
      </c>
      <c r="L397" s="3" t="str">
        <f t="shared" si="209"/>
        <v>0</v>
      </c>
      <c r="M397" s="3">
        <f t="shared" si="210"/>
        <v>0</v>
      </c>
      <c r="N397" s="3">
        <f t="shared" si="211"/>
        <v>0</v>
      </c>
      <c r="O397" s="3">
        <f t="shared" si="212"/>
        <v>524.51524499999994</v>
      </c>
      <c r="P397" s="3" t="str">
        <f t="shared" si="213"/>
        <v>0</v>
      </c>
      <c r="Q397" s="3">
        <f t="shared" si="214"/>
        <v>521.89266877499995</v>
      </c>
      <c r="R397" s="3" t="str">
        <f t="shared" si="215"/>
        <v>0</v>
      </c>
      <c r="S397" s="3">
        <f t="shared" si="216"/>
        <v>0</v>
      </c>
      <c r="T397" s="3" t="str">
        <f t="shared" si="217"/>
        <v>0</v>
      </c>
      <c r="U397" s="3"/>
      <c r="V397" s="3"/>
      <c r="W397" s="3"/>
      <c r="X397" s="3"/>
      <c r="Y397" s="3"/>
      <c r="Z397" s="3"/>
    </row>
    <row r="398" spans="1:26" x14ac:dyDescent="0.25">
      <c r="A398" s="2">
        <v>46163</v>
      </c>
      <c r="B398" s="3" t="s">
        <v>170</v>
      </c>
      <c r="C398" s="169" t="s">
        <v>228</v>
      </c>
      <c r="D398" s="170">
        <v>1980.05</v>
      </c>
      <c r="E398" s="173">
        <v>0.995</v>
      </c>
      <c r="F398" s="174">
        <f t="shared" si="221"/>
        <v>1970.14975</v>
      </c>
      <c r="G398" s="6"/>
      <c r="H398" s="176"/>
      <c r="I398" s="3" t="str">
        <f t="shared" si="206"/>
        <v>0</v>
      </c>
      <c r="J398" s="3" t="str">
        <f t="shared" si="207"/>
        <v>0</v>
      </c>
      <c r="K398" s="3" t="str">
        <f t="shared" si="208"/>
        <v>0</v>
      </c>
      <c r="L398" s="3" t="str">
        <f t="shared" si="209"/>
        <v>0</v>
      </c>
      <c r="M398" s="3">
        <f t="shared" si="210"/>
        <v>0</v>
      </c>
      <c r="N398" s="3">
        <f t="shared" si="211"/>
        <v>0</v>
      </c>
      <c r="O398" s="3">
        <f t="shared" si="212"/>
        <v>1980.05</v>
      </c>
      <c r="P398" s="3" t="str">
        <f t="shared" si="213"/>
        <v>0</v>
      </c>
      <c r="Q398" s="3">
        <f t="shared" si="214"/>
        <v>1970.14975</v>
      </c>
      <c r="R398" s="3" t="str">
        <f t="shared" si="215"/>
        <v>0</v>
      </c>
      <c r="S398" s="3">
        <f t="shared" si="216"/>
        <v>0</v>
      </c>
      <c r="T398" s="3" t="str">
        <f t="shared" si="217"/>
        <v>0</v>
      </c>
      <c r="U398" s="3"/>
      <c r="V398" s="3"/>
      <c r="W398" s="3"/>
      <c r="X398" s="3"/>
      <c r="Y398" s="3"/>
      <c r="Z398" s="3"/>
    </row>
    <row r="399" spans="1:26" x14ac:dyDescent="0.25">
      <c r="A399" s="2">
        <v>46163</v>
      </c>
      <c r="B399" s="3" t="s">
        <v>170</v>
      </c>
      <c r="C399" s="169" t="s">
        <v>242</v>
      </c>
      <c r="D399" s="170">
        <v>203.55568639999998</v>
      </c>
      <c r="E399" s="173">
        <v>0.995</v>
      </c>
      <c r="F399" s="174">
        <f t="shared" si="221"/>
        <v>202.53790796799998</v>
      </c>
      <c r="G399" s="6"/>
      <c r="H399" s="176"/>
      <c r="I399" s="3" t="str">
        <f t="shared" si="206"/>
        <v>0</v>
      </c>
      <c r="J399" s="3" t="str">
        <f t="shared" si="207"/>
        <v>0</v>
      </c>
      <c r="K399" s="3" t="str">
        <f t="shared" si="208"/>
        <v>0</v>
      </c>
      <c r="L399" s="3" t="str">
        <f t="shared" si="209"/>
        <v>0</v>
      </c>
      <c r="M399" s="3">
        <f t="shared" si="210"/>
        <v>0</v>
      </c>
      <c r="N399" s="3">
        <f t="shared" si="211"/>
        <v>0</v>
      </c>
      <c r="O399" s="3">
        <f t="shared" si="212"/>
        <v>203.55568639999998</v>
      </c>
      <c r="P399" s="3" t="str">
        <f t="shared" si="213"/>
        <v>0</v>
      </c>
      <c r="Q399" s="3">
        <f t="shared" si="214"/>
        <v>202.53790796799998</v>
      </c>
      <c r="R399" s="3" t="str">
        <f t="shared" si="215"/>
        <v>0</v>
      </c>
      <c r="S399" s="3">
        <f t="shared" si="216"/>
        <v>0</v>
      </c>
      <c r="T399" s="3" t="str">
        <f t="shared" si="217"/>
        <v>0</v>
      </c>
      <c r="U399" s="3"/>
      <c r="V399" s="3"/>
      <c r="W399" s="3"/>
      <c r="X399" s="3"/>
      <c r="Y399" s="3"/>
      <c r="Z399" s="3"/>
    </row>
    <row r="400" spans="1:26" x14ac:dyDescent="0.25">
      <c r="A400" s="2">
        <v>46163</v>
      </c>
      <c r="B400" s="3" t="s">
        <v>170</v>
      </c>
      <c r="C400" s="169" t="s">
        <v>239</v>
      </c>
      <c r="D400" s="170">
        <v>605.82860800000003</v>
      </c>
      <c r="E400" s="173">
        <v>0.88</v>
      </c>
      <c r="F400" s="174">
        <f t="shared" si="221"/>
        <v>533.12917504000006</v>
      </c>
      <c r="G400" s="6">
        <f>H400/D400</f>
        <v>1.6772070294838239</v>
      </c>
      <c r="H400" s="176">
        <v>1016.1</v>
      </c>
      <c r="I400" s="3" t="str">
        <f t="shared" si="206"/>
        <v>0</v>
      </c>
      <c r="J400" s="3" t="str">
        <f t="shared" si="207"/>
        <v>0</v>
      </c>
      <c r="K400" s="3" t="str">
        <f t="shared" si="208"/>
        <v>0</v>
      </c>
      <c r="L400" s="3" t="str">
        <f t="shared" si="209"/>
        <v>0</v>
      </c>
      <c r="M400" s="3">
        <f t="shared" si="210"/>
        <v>0</v>
      </c>
      <c r="N400" s="3">
        <f t="shared" si="211"/>
        <v>0</v>
      </c>
      <c r="O400" s="3">
        <f t="shared" si="212"/>
        <v>605.82860800000003</v>
      </c>
      <c r="P400" s="3" t="str">
        <f t="shared" si="213"/>
        <v>0</v>
      </c>
      <c r="Q400" s="3">
        <f t="shared" si="214"/>
        <v>533.12917504000006</v>
      </c>
      <c r="R400" s="3" t="str">
        <f t="shared" si="215"/>
        <v>0</v>
      </c>
      <c r="S400" s="3">
        <f t="shared" si="216"/>
        <v>1066.905</v>
      </c>
      <c r="T400" s="3" t="str">
        <f t="shared" si="217"/>
        <v>0</v>
      </c>
      <c r="U400" s="3"/>
      <c r="V400" s="3"/>
      <c r="W400" s="3"/>
      <c r="X400" s="3"/>
      <c r="Y400" s="3"/>
      <c r="Z400" s="3"/>
    </row>
    <row r="401" spans="1:26" x14ac:dyDescent="0.25">
      <c r="A401" s="2">
        <v>46163</v>
      </c>
      <c r="B401" s="3" t="s">
        <v>209</v>
      </c>
      <c r="C401" s="169" t="s">
        <v>239</v>
      </c>
      <c r="D401" s="170">
        <v>521.89266877499995</v>
      </c>
      <c r="E401" s="173">
        <v>0.995</v>
      </c>
      <c r="F401" s="174">
        <f>+D401*E401</f>
        <v>519.283205431125</v>
      </c>
      <c r="G401" s="6">
        <f t="shared" si="199"/>
        <v>0</v>
      </c>
      <c r="H401" s="3"/>
      <c r="I401" s="3" t="str">
        <f t="shared" si="206"/>
        <v>0</v>
      </c>
      <c r="J401" s="3" t="str">
        <f t="shared" si="207"/>
        <v>0</v>
      </c>
      <c r="K401" s="3" t="str">
        <f t="shared" si="208"/>
        <v>0</v>
      </c>
      <c r="L401" s="3" t="str">
        <f t="shared" si="209"/>
        <v>0</v>
      </c>
      <c r="M401" s="3">
        <f t="shared" si="210"/>
        <v>0</v>
      </c>
      <c r="N401" s="3">
        <f t="shared" si="211"/>
        <v>0</v>
      </c>
      <c r="O401" s="3" t="str">
        <f t="shared" si="212"/>
        <v>0</v>
      </c>
      <c r="P401" s="3">
        <f t="shared" si="213"/>
        <v>521.89266877499995</v>
      </c>
      <c r="Q401" s="3" t="str">
        <f t="shared" si="214"/>
        <v>0</v>
      </c>
      <c r="R401" s="3">
        <f t="shared" si="215"/>
        <v>519.283205431125</v>
      </c>
      <c r="S401" s="3">
        <f t="shared" si="216"/>
        <v>0</v>
      </c>
      <c r="T401" s="3">
        <f t="shared" si="217"/>
        <v>0</v>
      </c>
      <c r="U401" s="3"/>
      <c r="V401" s="3"/>
      <c r="W401" s="3"/>
      <c r="X401" s="3"/>
      <c r="Y401" s="3"/>
      <c r="Z401" s="3"/>
    </row>
    <row r="402" spans="1:26" x14ac:dyDescent="0.25">
      <c r="A402" s="2">
        <v>46164</v>
      </c>
      <c r="B402" s="3" t="s">
        <v>169</v>
      </c>
      <c r="C402" s="169" t="s">
        <v>229</v>
      </c>
      <c r="D402" s="170">
        <v>1970.14975</v>
      </c>
      <c r="E402" s="171">
        <v>0.88</v>
      </c>
      <c r="F402" s="172">
        <f>+D402*E402</f>
        <v>1733.7317800000001</v>
      </c>
      <c r="G402" s="172">
        <f>+H402/D402</f>
        <v>3.2537628167605024</v>
      </c>
      <c r="H402" s="176">
        <v>6410.4</v>
      </c>
      <c r="I402" s="158">
        <f t="shared" si="206"/>
        <v>1970.14975</v>
      </c>
      <c r="J402" s="3" t="str">
        <f t="shared" si="207"/>
        <v>0</v>
      </c>
      <c r="K402" s="3">
        <f t="shared" si="208"/>
        <v>1733.7317800000001</v>
      </c>
      <c r="L402" s="3" t="str">
        <f t="shared" si="209"/>
        <v>0</v>
      </c>
      <c r="M402" s="3">
        <f t="shared" si="210"/>
        <v>6730.92</v>
      </c>
      <c r="N402" s="3">
        <f t="shared" si="211"/>
        <v>0</v>
      </c>
      <c r="O402" s="3" t="str">
        <f t="shared" si="212"/>
        <v>0</v>
      </c>
      <c r="P402" s="3" t="str">
        <f t="shared" si="213"/>
        <v>0</v>
      </c>
      <c r="Q402" s="3" t="str">
        <f t="shared" si="214"/>
        <v>0</v>
      </c>
      <c r="R402" s="3" t="str">
        <f t="shared" si="215"/>
        <v>0</v>
      </c>
      <c r="S402" s="3">
        <f t="shared" si="216"/>
        <v>0</v>
      </c>
      <c r="T402" s="3" t="str">
        <f t="shared" si="217"/>
        <v>0</v>
      </c>
      <c r="U402" s="3"/>
      <c r="V402" s="3"/>
      <c r="W402" s="3"/>
      <c r="X402" s="3"/>
      <c r="Y402" s="3"/>
      <c r="Z402" s="3"/>
    </row>
    <row r="403" spans="1:26" x14ac:dyDescent="0.25">
      <c r="A403" s="2">
        <v>46164</v>
      </c>
      <c r="B403" s="3" t="s">
        <v>169</v>
      </c>
      <c r="C403" s="169" t="s">
        <v>228</v>
      </c>
      <c r="D403" s="170">
        <v>519.283205431125</v>
      </c>
      <c r="E403" s="171">
        <v>0.88</v>
      </c>
      <c r="F403" s="172">
        <f t="shared" ref="F403:F426" si="222">+D403*E403</f>
        <v>456.96922077939001</v>
      </c>
      <c r="G403" s="172">
        <f t="shared" ref="G403" si="223">+H403/D403</f>
        <v>7.7985383652796072</v>
      </c>
      <c r="H403" s="176">
        <v>4049.65</v>
      </c>
      <c r="I403" s="158">
        <f t="shared" si="206"/>
        <v>519.283205431125</v>
      </c>
      <c r="J403" s="3" t="str">
        <f t="shared" si="207"/>
        <v>0</v>
      </c>
      <c r="K403" s="3">
        <f t="shared" si="208"/>
        <v>456.96922077939001</v>
      </c>
      <c r="L403" s="3" t="str">
        <f t="shared" si="209"/>
        <v>0</v>
      </c>
      <c r="M403" s="3">
        <f t="shared" si="210"/>
        <v>4252.1324999999997</v>
      </c>
      <c r="N403" s="3">
        <f t="shared" si="211"/>
        <v>0</v>
      </c>
      <c r="O403" s="3" t="str">
        <f t="shared" si="212"/>
        <v>0</v>
      </c>
      <c r="P403" s="3" t="str">
        <f t="shared" si="213"/>
        <v>0</v>
      </c>
      <c r="Q403" s="3" t="str">
        <f t="shared" si="214"/>
        <v>0</v>
      </c>
      <c r="R403" s="3" t="str">
        <f t="shared" si="215"/>
        <v>0</v>
      </c>
      <c r="S403" s="3">
        <f t="shared" si="216"/>
        <v>0</v>
      </c>
      <c r="T403" s="3" t="str">
        <f t="shared" si="217"/>
        <v>0</v>
      </c>
      <c r="U403" s="3"/>
      <c r="V403" s="3"/>
      <c r="W403" s="3"/>
      <c r="X403" s="3"/>
      <c r="Y403" s="3"/>
      <c r="Z403" s="3"/>
    </row>
    <row r="404" spans="1:26" x14ac:dyDescent="0.25">
      <c r="A404" s="2">
        <v>46164</v>
      </c>
      <c r="B404" s="3" t="s">
        <v>171</v>
      </c>
      <c r="C404" s="169" t="s">
        <v>233</v>
      </c>
      <c r="D404" s="3"/>
      <c r="E404" s="3"/>
      <c r="F404" s="6">
        <f t="shared" si="222"/>
        <v>0</v>
      </c>
      <c r="G404" s="6" t="e">
        <f t="shared" si="199"/>
        <v>#DIV/0!</v>
      </c>
      <c r="H404" s="3"/>
      <c r="I404" s="3" t="str">
        <f t="shared" si="206"/>
        <v>0</v>
      </c>
      <c r="J404" s="3" t="str">
        <f t="shared" si="207"/>
        <v>0</v>
      </c>
      <c r="K404" s="3" t="str">
        <f t="shared" si="208"/>
        <v>0</v>
      </c>
      <c r="L404" s="3" t="str">
        <f t="shared" si="209"/>
        <v>0</v>
      </c>
      <c r="M404" s="3">
        <f t="shared" si="210"/>
        <v>0</v>
      </c>
      <c r="N404" s="3">
        <f t="shared" si="211"/>
        <v>0</v>
      </c>
      <c r="O404" s="3" t="str">
        <f t="shared" si="212"/>
        <v>0</v>
      </c>
      <c r="P404" s="3" t="str">
        <f t="shared" si="213"/>
        <v>0</v>
      </c>
      <c r="Q404" s="3" t="str">
        <f t="shared" si="214"/>
        <v>0</v>
      </c>
      <c r="R404" s="3" t="str">
        <f t="shared" si="215"/>
        <v>0</v>
      </c>
      <c r="S404" s="3">
        <f t="shared" si="216"/>
        <v>0</v>
      </c>
      <c r="T404" s="3" t="str">
        <f t="shared" si="217"/>
        <v>0</v>
      </c>
      <c r="U404" s="3">
        <v>20000</v>
      </c>
      <c r="V404" s="3"/>
      <c r="W404" s="3"/>
      <c r="X404" s="3"/>
      <c r="Y404" s="3"/>
      <c r="Z404" s="3"/>
    </row>
    <row r="405" spans="1:26" x14ac:dyDescent="0.25">
      <c r="A405" s="2">
        <v>46162</v>
      </c>
      <c r="B405" s="3" t="s">
        <v>171</v>
      </c>
      <c r="C405" s="169" t="s">
        <v>247</v>
      </c>
      <c r="D405" s="3"/>
      <c r="E405" s="3"/>
      <c r="F405" s="6">
        <f t="shared" si="222"/>
        <v>0</v>
      </c>
      <c r="G405" s="6" t="e">
        <f t="shared" si="199"/>
        <v>#DIV/0!</v>
      </c>
      <c r="H405" s="3"/>
      <c r="I405" s="3" t="str">
        <f t="shared" si="206"/>
        <v>0</v>
      </c>
      <c r="J405" s="3" t="str">
        <f t="shared" si="207"/>
        <v>0</v>
      </c>
      <c r="K405" s="3" t="str">
        <f t="shared" si="208"/>
        <v>0</v>
      </c>
      <c r="L405" s="3" t="str">
        <f t="shared" si="209"/>
        <v>0</v>
      </c>
      <c r="M405" s="3">
        <f t="shared" si="210"/>
        <v>0</v>
      </c>
      <c r="N405" s="3">
        <f t="shared" si="211"/>
        <v>0</v>
      </c>
      <c r="O405" s="3" t="str">
        <f t="shared" si="212"/>
        <v>0</v>
      </c>
      <c r="P405" s="3" t="str">
        <f t="shared" si="213"/>
        <v>0</v>
      </c>
      <c r="Q405" s="3" t="str">
        <f t="shared" si="214"/>
        <v>0</v>
      </c>
      <c r="R405" s="3" t="str">
        <f t="shared" si="215"/>
        <v>0</v>
      </c>
      <c r="S405" s="3">
        <f t="shared" si="216"/>
        <v>0</v>
      </c>
      <c r="T405" s="3" t="str">
        <f t="shared" si="217"/>
        <v>0</v>
      </c>
      <c r="U405" s="3">
        <v>10000</v>
      </c>
      <c r="V405" s="3"/>
      <c r="W405" s="3"/>
      <c r="X405" s="3"/>
      <c r="Y405" s="3"/>
      <c r="Z405" s="3"/>
    </row>
    <row r="406" spans="1:26" x14ac:dyDescent="0.25">
      <c r="A406" s="2">
        <v>46165</v>
      </c>
      <c r="B406" s="3" t="s">
        <v>169</v>
      </c>
      <c r="C406" s="169" t="s">
        <v>228</v>
      </c>
      <c r="D406" s="170">
        <v>979.26400000000001</v>
      </c>
      <c r="E406" s="171">
        <v>0.88</v>
      </c>
      <c r="F406" s="172">
        <f>+D406*E406</f>
        <v>861.75232000000005</v>
      </c>
      <c r="G406" s="172">
        <f>+H406/D406</f>
        <v>12.82840990784916</v>
      </c>
      <c r="H406" s="176">
        <v>12562.4</v>
      </c>
      <c r="I406" s="158">
        <f t="shared" si="206"/>
        <v>979.26400000000001</v>
      </c>
      <c r="J406" s="3" t="str">
        <f t="shared" si="207"/>
        <v>0</v>
      </c>
      <c r="K406" s="3">
        <f t="shared" si="208"/>
        <v>861.75232000000005</v>
      </c>
      <c r="L406" s="3" t="str">
        <f t="shared" si="209"/>
        <v>0</v>
      </c>
      <c r="M406" s="3">
        <f t="shared" si="210"/>
        <v>13190.52</v>
      </c>
      <c r="N406" s="3">
        <f t="shared" si="211"/>
        <v>0</v>
      </c>
      <c r="O406" s="3" t="str">
        <f t="shared" si="212"/>
        <v>0</v>
      </c>
      <c r="P406" s="3" t="str">
        <f t="shared" si="213"/>
        <v>0</v>
      </c>
      <c r="Q406" s="3" t="str">
        <f t="shared" si="214"/>
        <v>0</v>
      </c>
      <c r="R406" s="3" t="str">
        <f t="shared" si="215"/>
        <v>0</v>
      </c>
      <c r="S406" s="3">
        <f t="shared" si="216"/>
        <v>0</v>
      </c>
      <c r="T406" s="3" t="str">
        <f t="shared" si="217"/>
        <v>0</v>
      </c>
      <c r="U406" s="3"/>
      <c r="V406" s="3"/>
      <c r="W406" s="3"/>
      <c r="X406" s="3"/>
      <c r="Y406" s="3"/>
      <c r="Z406" s="3"/>
    </row>
    <row r="407" spans="1:26" x14ac:dyDescent="0.25">
      <c r="A407" s="2">
        <v>46165</v>
      </c>
      <c r="B407" s="3" t="s">
        <v>169</v>
      </c>
      <c r="C407" s="169" t="s">
        <v>232</v>
      </c>
      <c r="D407" s="170">
        <v>502.74399999999997</v>
      </c>
      <c r="E407" s="171">
        <v>0.88</v>
      </c>
      <c r="F407" s="172">
        <f t="shared" ref="F407:F409" si="224">+D407*E407</f>
        <v>442.41471999999999</v>
      </c>
      <c r="G407" s="172">
        <f t="shared" ref="G407:G409" si="225">+H407/D407</f>
        <v>0.61263784351479089</v>
      </c>
      <c r="H407" s="176">
        <v>308</v>
      </c>
      <c r="I407" s="158">
        <f t="shared" si="206"/>
        <v>502.74399999999997</v>
      </c>
      <c r="J407" s="3" t="str">
        <f t="shared" si="207"/>
        <v>0</v>
      </c>
      <c r="K407" s="3">
        <f t="shared" si="208"/>
        <v>442.41471999999999</v>
      </c>
      <c r="L407" s="3" t="str">
        <f t="shared" si="209"/>
        <v>0</v>
      </c>
      <c r="M407" s="3">
        <f t="shared" si="210"/>
        <v>323.39999999999998</v>
      </c>
      <c r="N407" s="3">
        <f t="shared" si="211"/>
        <v>0</v>
      </c>
      <c r="O407" s="3" t="str">
        <f t="shared" si="212"/>
        <v>0</v>
      </c>
      <c r="P407" s="3" t="str">
        <f t="shared" si="213"/>
        <v>0</v>
      </c>
      <c r="Q407" s="3" t="str">
        <f t="shared" si="214"/>
        <v>0</v>
      </c>
      <c r="R407" s="3" t="str">
        <f t="shared" si="215"/>
        <v>0</v>
      </c>
      <c r="S407" s="3">
        <f t="shared" si="216"/>
        <v>0</v>
      </c>
      <c r="T407" s="3" t="str">
        <f t="shared" si="217"/>
        <v>0</v>
      </c>
      <c r="U407" s="3"/>
      <c r="V407" s="3"/>
      <c r="W407" s="3"/>
      <c r="X407" s="3"/>
      <c r="Y407" s="3"/>
      <c r="Z407" s="3"/>
    </row>
    <row r="408" spans="1:26" x14ac:dyDescent="0.25">
      <c r="A408" s="2">
        <v>46165</v>
      </c>
      <c r="B408" s="3" t="s">
        <v>169</v>
      </c>
      <c r="C408" s="169" t="s">
        <v>234</v>
      </c>
      <c r="D408" s="170">
        <v>262.85599999999999</v>
      </c>
      <c r="E408" s="171">
        <v>0.88</v>
      </c>
      <c r="F408" s="172">
        <f t="shared" si="224"/>
        <v>231.31327999999999</v>
      </c>
      <c r="G408" s="172">
        <f t="shared" si="225"/>
        <v>32.649054995891284</v>
      </c>
      <c r="H408" s="176">
        <v>8582</v>
      </c>
      <c r="I408" s="158">
        <f t="shared" si="206"/>
        <v>262.85599999999999</v>
      </c>
      <c r="J408" s="3" t="str">
        <f t="shared" si="207"/>
        <v>0</v>
      </c>
      <c r="K408" s="3">
        <f t="shared" si="208"/>
        <v>231.31327999999999</v>
      </c>
      <c r="L408" s="3" t="str">
        <f t="shared" si="209"/>
        <v>0</v>
      </c>
      <c r="M408" s="3">
        <f t="shared" si="210"/>
        <v>9011.1</v>
      </c>
      <c r="N408" s="3">
        <f t="shared" si="211"/>
        <v>0</v>
      </c>
      <c r="O408" s="3" t="str">
        <f t="shared" si="212"/>
        <v>0</v>
      </c>
      <c r="P408" s="3" t="str">
        <f t="shared" si="213"/>
        <v>0</v>
      </c>
      <c r="Q408" s="3" t="str">
        <f t="shared" si="214"/>
        <v>0</v>
      </c>
      <c r="R408" s="3" t="str">
        <f t="shared" si="215"/>
        <v>0</v>
      </c>
      <c r="S408" s="3">
        <f t="shared" si="216"/>
        <v>0</v>
      </c>
      <c r="T408" s="3" t="str">
        <f t="shared" si="217"/>
        <v>0</v>
      </c>
      <c r="U408" s="3"/>
      <c r="V408" s="3"/>
      <c r="W408" s="3"/>
      <c r="X408" s="3"/>
      <c r="Y408" s="3"/>
      <c r="Z408" s="3"/>
    </row>
    <row r="409" spans="1:26" x14ac:dyDescent="0.25">
      <c r="A409" s="2">
        <v>46165</v>
      </c>
      <c r="B409" s="3" t="s">
        <v>169</v>
      </c>
      <c r="C409" s="169" t="s">
        <v>246</v>
      </c>
      <c r="D409" s="170">
        <v>782.32</v>
      </c>
      <c r="E409" s="171">
        <v>0.88</v>
      </c>
      <c r="F409" s="172">
        <f t="shared" si="224"/>
        <v>688.44159999999999</v>
      </c>
      <c r="G409" s="172">
        <f t="shared" si="225"/>
        <v>1.2515466816647918</v>
      </c>
      <c r="H409" s="176">
        <v>979.11</v>
      </c>
      <c r="I409" s="158">
        <f t="shared" si="206"/>
        <v>782.32</v>
      </c>
      <c r="J409" s="3" t="str">
        <f t="shared" si="207"/>
        <v>0</v>
      </c>
      <c r="K409" s="3">
        <f t="shared" si="208"/>
        <v>688.44159999999999</v>
      </c>
      <c r="L409" s="3" t="str">
        <f t="shared" si="209"/>
        <v>0</v>
      </c>
      <c r="M409" s="3">
        <f t="shared" si="210"/>
        <v>1028.0654999999999</v>
      </c>
      <c r="N409" s="3">
        <f t="shared" si="211"/>
        <v>0</v>
      </c>
      <c r="O409" s="3" t="str">
        <f t="shared" si="212"/>
        <v>0</v>
      </c>
      <c r="P409" s="3" t="str">
        <f t="shared" si="213"/>
        <v>0</v>
      </c>
      <c r="Q409" s="3" t="str">
        <f t="shared" si="214"/>
        <v>0</v>
      </c>
      <c r="R409" s="3" t="str">
        <f t="shared" si="215"/>
        <v>0</v>
      </c>
      <c r="S409" s="3">
        <f t="shared" si="216"/>
        <v>0</v>
      </c>
      <c r="T409" s="3" t="str">
        <f t="shared" si="217"/>
        <v>0</v>
      </c>
      <c r="U409" s="3"/>
      <c r="V409" s="3"/>
      <c r="W409" s="3"/>
      <c r="X409" s="3"/>
      <c r="Y409" s="3"/>
      <c r="Z409" s="3"/>
    </row>
    <row r="410" spans="1:26" x14ac:dyDescent="0.25">
      <c r="A410" s="2">
        <v>46165</v>
      </c>
      <c r="B410" s="3" t="s">
        <v>170</v>
      </c>
      <c r="C410" s="3" t="s">
        <v>230</v>
      </c>
      <c r="D410" s="170">
        <v>527.15099999999995</v>
      </c>
      <c r="E410" s="173">
        <v>0.995</v>
      </c>
      <c r="F410" s="174">
        <f t="shared" ref="F410:F412" si="226">D410*E410</f>
        <v>524.51524499999994</v>
      </c>
      <c r="G410" s="6">
        <f t="shared" si="199"/>
        <v>0</v>
      </c>
      <c r="H410" s="3"/>
      <c r="I410" s="158" t="str">
        <f t="shared" si="206"/>
        <v>0</v>
      </c>
      <c r="J410" s="3" t="str">
        <f t="shared" si="207"/>
        <v>0</v>
      </c>
      <c r="K410" s="3" t="str">
        <f t="shared" si="208"/>
        <v>0</v>
      </c>
      <c r="L410" s="3" t="str">
        <f t="shared" si="209"/>
        <v>0</v>
      </c>
      <c r="M410" s="3">
        <f t="shared" si="210"/>
        <v>0</v>
      </c>
      <c r="N410" s="3">
        <f t="shared" si="211"/>
        <v>0</v>
      </c>
      <c r="O410" s="3">
        <f t="shared" si="212"/>
        <v>527.15099999999995</v>
      </c>
      <c r="P410" s="3" t="str">
        <f t="shared" si="213"/>
        <v>0</v>
      </c>
      <c r="Q410" s="3">
        <f t="shared" si="214"/>
        <v>524.51524499999994</v>
      </c>
      <c r="R410" s="3" t="str">
        <f t="shared" si="215"/>
        <v>0</v>
      </c>
      <c r="S410" s="3">
        <f t="shared" si="216"/>
        <v>0</v>
      </c>
      <c r="T410" s="3" t="str">
        <f t="shared" si="217"/>
        <v>0</v>
      </c>
      <c r="U410" s="3"/>
      <c r="V410" s="3"/>
      <c r="W410" s="3"/>
      <c r="X410" s="3"/>
      <c r="Y410" s="3"/>
      <c r="Z410" s="3"/>
    </row>
    <row r="411" spans="1:26" x14ac:dyDescent="0.25">
      <c r="A411" s="2">
        <v>46165</v>
      </c>
      <c r="B411" s="3" t="s">
        <v>170</v>
      </c>
      <c r="C411" s="169" t="s">
        <v>246</v>
      </c>
      <c r="D411" s="170">
        <v>1990</v>
      </c>
      <c r="E411" s="173">
        <v>0.995</v>
      </c>
      <c r="F411" s="174">
        <f t="shared" si="226"/>
        <v>1980.05</v>
      </c>
      <c r="G411" s="6">
        <f t="shared" si="199"/>
        <v>0</v>
      </c>
      <c r="H411" s="3"/>
      <c r="I411" s="158" t="str">
        <f t="shared" si="206"/>
        <v>0</v>
      </c>
      <c r="J411" s="3" t="str">
        <f t="shared" si="207"/>
        <v>0</v>
      </c>
      <c r="K411" s="3" t="str">
        <f t="shared" si="208"/>
        <v>0</v>
      </c>
      <c r="L411" s="3" t="str">
        <f t="shared" si="209"/>
        <v>0</v>
      </c>
      <c r="M411" s="3">
        <f t="shared" si="210"/>
        <v>0</v>
      </c>
      <c r="N411" s="3">
        <f t="shared" si="211"/>
        <v>0</v>
      </c>
      <c r="O411" s="3">
        <f t="shared" si="212"/>
        <v>1990</v>
      </c>
      <c r="P411" s="3" t="str">
        <f t="shared" si="213"/>
        <v>0</v>
      </c>
      <c r="Q411" s="3">
        <f t="shared" si="214"/>
        <v>1980.05</v>
      </c>
      <c r="R411" s="3" t="str">
        <f t="shared" si="215"/>
        <v>0</v>
      </c>
      <c r="S411" s="3">
        <f t="shared" si="216"/>
        <v>0</v>
      </c>
      <c r="T411" s="3" t="str">
        <f t="shared" si="217"/>
        <v>0</v>
      </c>
      <c r="U411" s="3"/>
      <c r="V411" s="3"/>
      <c r="W411" s="3"/>
      <c r="X411" s="3"/>
      <c r="Y411" s="3"/>
      <c r="Z411" s="3"/>
    </row>
    <row r="412" spans="1:26" x14ac:dyDescent="0.25">
      <c r="A412" s="2">
        <v>46165</v>
      </c>
      <c r="B412" s="3" t="s">
        <v>170</v>
      </c>
      <c r="C412" s="169" t="s">
        <v>228</v>
      </c>
      <c r="D412" s="170">
        <v>775.40349999999989</v>
      </c>
      <c r="E412" s="173">
        <v>0.995</v>
      </c>
      <c r="F412" s="174">
        <f t="shared" si="226"/>
        <v>771.52648249999993</v>
      </c>
      <c r="G412" s="6">
        <f t="shared" si="199"/>
        <v>0</v>
      </c>
      <c r="H412" s="3"/>
      <c r="I412" s="158" t="str">
        <f t="shared" si="206"/>
        <v>0</v>
      </c>
      <c r="J412" s="3" t="str">
        <f t="shared" si="207"/>
        <v>0</v>
      </c>
      <c r="K412" s="3" t="str">
        <f t="shared" si="208"/>
        <v>0</v>
      </c>
      <c r="L412" s="3" t="str">
        <f t="shared" si="209"/>
        <v>0</v>
      </c>
      <c r="M412" s="3">
        <f t="shared" si="210"/>
        <v>0</v>
      </c>
      <c r="N412" s="3">
        <f t="shared" si="211"/>
        <v>0</v>
      </c>
      <c r="O412" s="3">
        <f t="shared" si="212"/>
        <v>775.40349999999989</v>
      </c>
      <c r="P412" s="3" t="str">
        <f t="shared" si="213"/>
        <v>0</v>
      </c>
      <c r="Q412" s="3">
        <f t="shared" si="214"/>
        <v>771.52648249999993</v>
      </c>
      <c r="R412" s="3" t="str">
        <f t="shared" si="215"/>
        <v>0</v>
      </c>
      <c r="S412" s="3">
        <f t="shared" si="216"/>
        <v>0</v>
      </c>
      <c r="T412" s="3" t="str">
        <f t="shared" si="217"/>
        <v>0</v>
      </c>
      <c r="U412" s="3"/>
      <c r="V412" s="3"/>
      <c r="W412" s="3"/>
      <c r="X412" s="3"/>
      <c r="Y412" s="3"/>
      <c r="Z412" s="3"/>
    </row>
    <row r="413" spans="1:26" x14ac:dyDescent="0.25">
      <c r="A413" s="2">
        <v>46165</v>
      </c>
      <c r="B413" s="3" t="s">
        <v>171</v>
      </c>
      <c r="C413" s="169" t="s">
        <v>246</v>
      </c>
      <c r="D413" s="3"/>
      <c r="E413" s="3"/>
      <c r="F413" s="6">
        <f t="shared" si="222"/>
        <v>0</v>
      </c>
      <c r="G413" s="6" t="e">
        <f t="shared" si="199"/>
        <v>#DIV/0!</v>
      </c>
      <c r="H413" s="3"/>
      <c r="I413" s="3" t="str">
        <f t="shared" si="206"/>
        <v>0</v>
      </c>
      <c r="J413" s="3" t="str">
        <f t="shared" si="207"/>
        <v>0</v>
      </c>
      <c r="K413" s="3" t="str">
        <f t="shared" si="208"/>
        <v>0</v>
      </c>
      <c r="L413" s="3" t="str">
        <f t="shared" si="209"/>
        <v>0</v>
      </c>
      <c r="M413" s="3">
        <f t="shared" si="210"/>
        <v>0</v>
      </c>
      <c r="N413" s="3">
        <f t="shared" si="211"/>
        <v>0</v>
      </c>
      <c r="O413" s="3" t="str">
        <f t="shared" si="212"/>
        <v>0</v>
      </c>
      <c r="P413" s="3" t="str">
        <f t="shared" si="213"/>
        <v>0</v>
      </c>
      <c r="Q413" s="3" t="str">
        <f t="shared" si="214"/>
        <v>0</v>
      </c>
      <c r="R413" s="3" t="str">
        <f t="shared" si="215"/>
        <v>0</v>
      </c>
      <c r="S413" s="3">
        <f t="shared" si="216"/>
        <v>0</v>
      </c>
      <c r="T413" s="3" t="str">
        <f t="shared" si="217"/>
        <v>0</v>
      </c>
      <c r="U413" s="3">
        <v>900</v>
      </c>
      <c r="V413" s="3"/>
      <c r="W413" s="3"/>
      <c r="X413" s="3"/>
      <c r="Y413" s="3"/>
      <c r="Z413" s="3"/>
    </row>
    <row r="414" spans="1:26" x14ac:dyDescent="0.25">
      <c r="A414" s="2">
        <v>46165</v>
      </c>
      <c r="B414" s="3" t="s">
        <v>171</v>
      </c>
      <c r="C414" s="3" t="s">
        <v>230</v>
      </c>
      <c r="D414" s="3"/>
      <c r="E414" s="3"/>
      <c r="F414" s="6">
        <f t="shared" si="222"/>
        <v>0</v>
      </c>
      <c r="G414" s="6" t="e">
        <f t="shared" si="199"/>
        <v>#DIV/0!</v>
      </c>
      <c r="H414" s="3"/>
      <c r="I414" s="3" t="str">
        <f t="shared" si="206"/>
        <v>0</v>
      </c>
      <c r="J414" s="3" t="str">
        <f t="shared" si="207"/>
        <v>0</v>
      </c>
      <c r="K414" s="3" t="str">
        <f t="shared" si="208"/>
        <v>0</v>
      </c>
      <c r="L414" s="3" t="str">
        <f t="shared" si="209"/>
        <v>0</v>
      </c>
      <c r="M414" s="3">
        <f t="shared" si="210"/>
        <v>0</v>
      </c>
      <c r="N414" s="3">
        <f t="shared" si="211"/>
        <v>0</v>
      </c>
      <c r="O414" s="3" t="str">
        <f t="shared" si="212"/>
        <v>0</v>
      </c>
      <c r="P414" s="3" t="str">
        <f t="shared" si="213"/>
        <v>0</v>
      </c>
      <c r="Q414" s="3" t="str">
        <f t="shared" si="214"/>
        <v>0</v>
      </c>
      <c r="R414" s="3" t="str">
        <f t="shared" si="215"/>
        <v>0</v>
      </c>
      <c r="S414" s="3">
        <f t="shared" si="216"/>
        <v>0</v>
      </c>
      <c r="T414" s="3" t="str">
        <f t="shared" si="217"/>
        <v>0</v>
      </c>
      <c r="U414" s="3"/>
      <c r="V414" s="3">
        <v>35000</v>
      </c>
      <c r="W414" s="3"/>
      <c r="X414" s="3"/>
      <c r="Y414" s="3"/>
      <c r="Z414" s="3"/>
    </row>
    <row r="415" spans="1:26" x14ac:dyDescent="0.25">
      <c r="A415" s="2">
        <v>46164</v>
      </c>
      <c r="B415" s="3" t="s">
        <v>171</v>
      </c>
      <c r="C415" s="3" t="s">
        <v>251</v>
      </c>
      <c r="D415" s="3"/>
      <c r="E415" s="3"/>
      <c r="F415" s="6">
        <f>+D415*E415</f>
        <v>0</v>
      </c>
      <c r="G415" s="211" t="e">
        <f>+H415/D415</f>
        <v>#DIV/0!</v>
      </c>
      <c r="H415" s="3"/>
      <c r="I415" s="3" t="str">
        <f>IF(B415="SALES",D415,"0")</f>
        <v>0</v>
      </c>
      <c r="J415" s="3" t="str">
        <f>IF(B415="SALES RETURN",D415,"0")</f>
        <v>0</v>
      </c>
      <c r="K415" s="3" t="str">
        <f>IF(B415="SALES",F415,"0")</f>
        <v>0</v>
      </c>
      <c r="L415" s="3" t="str">
        <f>IF(B415="SALES RETURN",F415,"0")</f>
        <v>0</v>
      </c>
      <c r="M415" s="3" t="str">
        <f>IF(B415="SALES",H415,"0")</f>
        <v>0</v>
      </c>
      <c r="N415" s="3" t="str">
        <f>IF(B415="SALES RETURN",H415,"0")</f>
        <v>0</v>
      </c>
      <c r="O415" s="3" t="str">
        <f>IF(B415="PURCHASE",D415,"0")</f>
        <v>0</v>
      </c>
      <c r="P415" s="3" t="str">
        <f>IF(B415="METAL PAYMENT",D415,"0")</f>
        <v>0</v>
      </c>
      <c r="Q415" s="3" t="str">
        <f>IF(B415="PURCHASE",F415,"0")</f>
        <v>0</v>
      </c>
      <c r="R415" s="3" t="str">
        <f>IF(B415="METAL PAYMENT",F415,"0")</f>
        <v>0</v>
      </c>
      <c r="S415" s="3" t="str">
        <f>IF(B415="PURCHASE",H415,"0")</f>
        <v>0</v>
      </c>
      <c r="T415" s="3" t="str">
        <f>IF(B415="METAL PAYMENT",H415,"0")</f>
        <v>0</v>
      </c>
      <c r="U415" s="3">
        <v>1495</v>
      </c>
      <c r="V415" s="3"/>
      <c r="W415" s="3"/>
      <c r="X415" s="3"/>
      <c r="Y415" s="3"/>
      <c r="Z415" s="3"/>
    </row>
    <row r="416" spans="1:26" x14ac:dyDescent="0.25">
      <c r="A416" s="2">
        <v>46164</v>
      </c>
      <c r="B416" s="3" t="s">
        <v>170</v>
      </c>
      <c r="C416" s="3" t="s">
        <v>251</v>
      </c>
      <c r="D416" s="170">
        <v>995</v>
      </c>
      <c r="E416" s="173">
        <v>0.995</v>
      </c>
      <c r="F416" s="174">
        <f>D416*E416</f>
        <v>990.02499999999998</v>
      </c>
      <c r="G416" s="211">
        <f>+H416/D416</f>
        <v>0</v>
      </c>
      <c r="H416" s="3"/>
      <c r="I416" s="158" t="str">
        <f>IF(B416="SALES",D416,"0")</f>
        <v>0</v>
      </c>
      <c r="J416" s="3" t="str">
        <f>IF(B416="SALES RETURN",D416,"0")</f>
        <v>0</v>
      </c>
      <c r="K416" s="3" t="str">
        <f>IF(B416="SALES",F416,"0")</f>
        <v>0</v>
      </c>
      <c r="L416" s="3" t="str">
        <f>IF(B416="SALES RETURN",F416,"0")</f>
        <v>0</v>
      </c>
      <c r="M416" s="3" t="str">
        <f>IF(B416="SALES",H416,"0")</f>
        <v>0</v>
      </c>
      <c r="N416" s="3" t="str">
        <f>IF(B416="SALES RETURN",H416,"0")</f>
        <v>0</v>
      </c>
      <c r="O416" s="3">
        <f>IF(B416="PURCHASE",D416,"0")</f>
        <v>995</v>
      </c>
      <c r="P416" s="3" t="str">
        <f>IF(B416="METAL PAYMENT",D416,"0")</f>
        <v>0</v>
      </c>
      <c r="Q416" s="3">
        <f>IF(B416="PURCHASE",F416,"0")</f>
        <v>990.02499999999998</v>
      </c>
      <c r="R416" s="3" t="str">
        <f>IF(B416="METAL PAYMENT",F416,"0")</f>
        <v>0</v>
      </c>
      <c r="S416" s="3">
        <f>IF(B416="PURCHASE",H416,"0")</f>
        <v>0</v>
      </c>
      <c r="T416" s="3" t="str">
        <f>IF(B416="METAL PAYMENT",H416,"0")</f>
        <v>0</v>
      </c>
      <c r="U416" s="3"/>
      <c r="V416" s="3"/>
      <c r="W416" s="3"/>
      <c r="X416" s="3"/>
      <c r="Y416" s="3"/>
      <c r="Z416" s="3"/>
    </row>
    <row r="417" spans="1:26" x14ac:dyDescent="0.25">
      <c r="A417" s="2">
        <v>46164</v>
      </c>
      <c r="B417" s="3" t="s">
        <v>169</v>
      </c>
      <c r="C417" s="3" t="s">
        <v>251</v>
      </c>
      <c r="D417" s="212">
        <v>518.49450000000002</v>
      </c>
      <c r="E417" s="213">
        <v>0.88</v>
      </c>
      <c r="F417" s="214">
        <f t="shared" ref="F417" si="227">+D417*E417</f>
        <v>456.27516000000003</v>
      </c>
      <c r="G417" s="214">
        <f t="shared" ref="G417" si="228">+H417/D417</f>
        <v>2.8837914384819898</v>
      </c>
      <c r="H417" s="215">
        <v>1495.23</v>
      </c>
      <c r="I417" s="158">
        <f t="shared" si="206"/>
        <v>518.49450000000002</v>
      </c>
      <c r="J417" s="3" t="str">
        <f t="shared" si="207"/>
        <v>0</v>
      </c>
      <c r="K417" s="3">
        <f t="shared" si="208"/>
        <v>456.27516000000003</v>
      </c>
      <c r="L417" s="3" t="str">
        <f t="shared" si="209"/>
        <v>0</v>
      </c>
      <c r="M417" s="3">
        <f t="shared" si="210"/>
        <v>1569.9915000000001</v>
      </c>
      <c r="N417" s="3">
        <f t="shared" si="211"/>
        <v>0</v>
      </c>
      <c r="O417" s="3" t="str">
        <f t="shared" si="212"/>
        <v>0</v>
      </c>
      <c r="P417" s="3" t="str">
        <f t="shared" si="213"/>
        <v>0</v>
      </c>
      <c r="Q417" s="3" t="str">
        <f t="shared" si="214"/>
        <v>0</v>
      </c>
      <c r="R417" s="3" t="str">
        <f t="shared" si="215"/>
        <v>0</v>
      </c>
      <c r="S417" s="3">
        <f t="shared" si="216"/>
        <v>0</v>
      </c>
      <c r="T417" s="3" t="str">
        <f t="shared" si="217"/>
        <v>0</v>
      </c>
      <c r="U417" s="3"/>
      <c r="V417" s="3"/>
      <c r="W417" s="3"/>
      <c r="X417" s="3"/>
      <c r="Y417" s="3"/>
      <c r="Z417" s="3"/>
    </row>
    <row r="418" spans="1:26" x14ac:dyDescent="0.25">
      <c r="A418" s="2">
        <v>46167</v>
      </c>
      <c r="B418" s="157" t="s">
        <v>169</v>
      </c>
      <c r="C418" s="169" t="s">
        <v>228</v>
      </c>
      <c r="D418" s="170">
        <v>226.33599999999998</v>
      </c>
      <c r="E418" s="171">
        <v>0.88</v>
      </c>
      <c r="F418" s="172">
        <f>+D418*E418</f>
        <v>199.17568</v>
      </c>
      <c r="G418" s="172">
        <f>+H418/D418</f>
        <v>136.86841686695885</v>
      </c>
      <c r="H418" s="176">
        <v>30978.25</v>
      </c>
      <c r="I418" s="158">
        <f t="shared" si="206"/>
        <v>226.33599999999998</v>
      </c>
      <c r="J418" s="3" t="str">
        <f t="shared" si="207"/>
        <v>0</v>
      </c>
      <c r="K418" s="3">
        <f t="shared" si="208"/>
        <v>199.17568</v>
      </c>
      <c r="L418" s="3" t="str">
        <f t="shared" si="209"/>
        <v>0</v>
      </c>
      <c r="M418" s="3">
        <f t="shared" si="210"/>
        <v>32527.162499999999</v>
      </c>
      <c r="N418" s="3">
        <f t="shared" si="211"/>
        <v>0</v>
      </c>
      <c r="O418" s="3" t="str">
        <f t="shared" si="212"/>
        <v>0</v>
      </c>
      <c r="P418" s="3" t="str">
        <f t="shared" si="213"/>
        <v>0</v>
      </c>
      <c r="Q418" s="3" t="str">
        <f t="shared" si="214"/>
        <v>0</v>
      </c>
      <c r="R418" s="3" t="str">
        <f t="shared" si="215"/>
        <v>0</v>
      </c>
      <c r="S418" s="3">
        <f t="shared" si="216"/>
        <v>0</v>
      </c>
      <c r="T418" s="3" t="str">
        <f t="shared" si="217"/>
        <v>0</v>
      </c>
      <c r="U418" s="3"/>
      <c r="V418" s="3"/>
      <c r="W418" s="3"/>
      <c r="X418" s="3"/>
      <c r="Y418" s="3"/>
      <c r="Z418" s="3"/>
    </row>
    <row r="419" spans="1:26" x14ac:dyDescent="0.25">
      <c r="A419" s="2">
        <v>46167</v>
      </c>
      <c r="B419" s="157" t="s">
        <v>169</v>
      </c>
      <c r="C419" s="169" t="s">
        <v>247</v>
      </c>
      <c r="D419" s="170">
        <v>319.89249999999998</v>
      </c>
      <c r="E419" s="171">
        <v>0.88</v>
      </c>
      <c r="F419" s="172">
        <f t="shared" ref="F419" si="229">+D419*E419</f>
        <v>281.50540000000001</v>
      </c>
      <c r="G419" s="172">
        <f t="shared" ref="G419" si="230">+H419/D419</f>
        <v>2.1944872105472935</v>
      </c>
      <c r="H419" s="176">
        <v>702</v>
      </c>
      <c r="I419" s="158">
        <f t="shared" si="206"/>
        <v>319.89249999999998</v>
      </c>
      <c r="J419" s="3" t="str">
        <f t="shared" si="207"/>
        <v>0</v>
      </c>
      <c r="K419" s="3">
        <f t="shared" si="208"/>
        <v>281.50540000000001</v>
      </c>
      <c r="L419" s="3" t="str">
        <f t="shared" si="209"/>
        <v>0</v>
      </c>
      <c r="M419" s="3">
        <f t="shared" si="210"/>
        <v>737.1</v>
      </c>
      <c r="N419" s="3">
        <f t="shared" si="211"/>
        <v>0</v>
      </c>
      <c r="O419" s="3" t="str">
        <f t="shared" si="212"/>
        <v>0</v>
      </c>
      <c r="P419" s="3" t="str">
        <f t="shared" si="213"/>
        <v>0</v>
      </c>
      <c r="Q419" s="3" t="str">
        <f t="shared" si="214"/>
        <v>0</v>
      </c>
      <c r="R419" s="3" t="str">
        <f t="shared" si="215"/>
        <v>0</v>
      </c>
      <c r="S419" s="3">
        <f t="shared" si="216"/>
        <v>0</v>
      </c>
      <c r="T419" s="3" t="str">
        <f t="shared" si="217"/>
        <v>0</v>
      </c>
      <c r="U419" s="3"/>
      <c r="V419" s="3"/>
      <c r="W419" s="3"/>
      <c r="X419" s="3"/>
      <c r="Y419" s="3"/>
      <c r="Z419" s="3"/>
    </row>
    <row r="420" spans="1:26" x14ac:dyDescent="0.25">
      <c r="A420" s="2">
        <v>46167</v>
      </c>
      <c r="B420" s="157" t="s">
        <v>170</v>
      </c>
      <c r="C420" s="3" t="s">
        <v>230</v>
      </c>
      <c r="D420" s="170">
        <v>1005.7520000000001</v>
      </c>
      <c r="E420" s="173">
        <v>0.995</v>
      </c>
      <c r="F420" s="174">
        <f t="shared" ref="F420:F423" si="231">D420*E420</f>
        <v>1000.72324</v>
      </c>
      <c r="G420" s="6"/>
      <c r="H420" s="176"/>
      <c r="I420" s="158" t="str">
        <f t="shared" si="206"/>
        <v>0</v>
      </c>
      <c r="J420" s="3" t="str">
        <f t="shared" si="207"/>
        <v>0</v>
      </c>
      <c r="K420" s="3" t="str">
        <f t="shared" si="208"/>
        <v>0</v>
      </c>
      <c r="L420" s="3" t="str">
        <f t="shared" si="209"/>
        <v>0</v>
      </c>
      <c r="M420" s="3">
        <f t="shared" si="210"/>
        <v>0</v>
      </c>
      <c r="N420" s="3">
        <f t="shared" si="211"/>
        <v>0</v>
      </c>
      <c r="O420" s="3">
        <f t="shared" si="212"/>
        <v>1005.7520000000001</v>
      </c>
      <c r="P420" s="3" t="str">
        <f t="shared" si="213"/>
        <v>0</v>
      </c>
      <c r="Q420" s="3">
        <f t="shared" si="214"/>
        <v>1000.72324</v>
      </c>
      <c r="R420" s="3" t="str">
        <f t="shared" si="215"/>
        <v>0</v>
      </c>
      <c r="S420" s="3">
        <f t="shared" si="216"/>
        <v>0</v>
      </c>
      <c r="T420" s="3" t="str">
        <f t="shared" si="217"/>
        <v>0</v>
      </c>
      <c r="U420" s="3"/>
      <c r="V420" s="3"/>
      <c r="W420" s="3"/>
      <c r="X420" s="3"/>
      <c r="Y420" s="3"/>
      <c r="Z420" s="3"/>
    </row>
    <row r="421" spans="1:26" x14ac:dyDescent="0.25">
      <c r="A421" s="2">
        <v>46167</v>
      </c>
      <c r="B421" s="157" t="s">
        <v>170</v>
      </c>
      <c r="C421" s="169" t="s">
        <v>228</v>
      </c>
      <c r="D421" s="170">
        <v>865.15880000000004</v>
      </c>
      <c r="E421" s="173">
        <v>0.995</v>
      </c>
      <c r="F421" s="174">
        <f t="shared" si="231"/>
        <v>860.83300600000007</v>
      </c>
      <c r="G421" s="6"/>
      <c r="H421" s="176"/>
      <c r="I421" s="158" t="str">
        <f t="shared" si="206"/>
        <v>0</v>
      </c>
      <c r="J421" s="3" t="str">
        <f t="shared" si="207"/>
        <v>0</v>
      </c>
      <c r="K421" s="3" t="str">
        <f t="shared" si="208"/>
        <v>0</v>
      </c>
      <c r="L421" s="3" t="str">
        <f t="shared" si="209"/>
        <v>0</v>
      </c>
      <c r="M421" s="3">
        <f t="shared" si="210"/>
        <v>0</v>
      </c>
      <c r="N421" s="3">
        <f t="shared" si="211"/>
        <v>0</v>
      </c>
      <c r="O421" s="3">
        <f t="shared" si="212"/>
        <v>865.15880000000004</v>
      </c>
      <c r="P421" s="3" t="str">
        <f t="shared" si="213"/>
        <v>0</v>
      </c>
      <c r="Q421" s="3">
        <f t="shared" si="214"/>
        <v>860.83300600000007</v>
      </c>
      <c r="R421" s="3" t="str">
        <f t="shared" si="215"/>
        <v>0</v>
      </c>
      <c r="S421" s="3">
        <f t="shared" si="216"/>
        <v>0</v>
      </c>
      <c r="T421" s="3" t="str">
        <f t="shared" si="217"/>
        <v>0</v>
      </c>
      <c r="U421" s="3"/>
      <c r="V421" s="3"/>
      <c r="W421" s="3"/>
      <c r="X421" s="3"/>
      <c r="Y421" s="3"/>
      <c r="Z421" s="3"/>
    </row>
    <row r="422" spans="1:26" x14ac:dyDescent="0.25">
      <c r="A422" s="2">
        <v>46167</v>
      </c>
      <c r="B422" s="157" t="s">
        <v>170</v>
      </c>
      <c r="C422" s="169" t="s">
        <v>233</v>
      </c>
      <c r="D422" s="170">
        <v>308.35199999999998</v>
      </c>
      <c r="E422" s="173">
        <v>0.99990000000000001</v>
      </c>
      <c r="F422" s="174">
        <f t="shared" si="231"/>
        <v>308.32116479999996</v>
      </c>
      <c r="G422" s="6"/>
      <c r="H422" s="176"/>
      <c r="I422" s="158" t="str">
        <f t="shared" si="206"/>
        <v>0</v>
      </c>
      <c r="J422" s="3" t="str">
        <f t="shared" si="207"/>
        <v>0</v>
      </c>
      <c r="K422" s="3" t="str">
        <f t="shared" si="208"/>
        <v>0</v>
      </c>
      <c r="L422" s="3" t="str">
        <f t="shared" si="209"/>
        <v>0</v>
      </c>
      <c r="M422" s="3">
        <f t="shared" si="210"/>
        <v>0</v>
      </c>
      <c r="N422" s="3">
        <f t="shared" si="211"/>
        <v>0</v>
      </c>
      <c r="O422" s="3">
        <f t="shared" si="212"/>
        <v>308.35199999999998</v>
      </c>
      <c r="P422" s="3" t="str">
        <f t="shared" si="213"/>
        <v>0</v>
      </c>
      <c r="Q422" s="3">
        <f t="shared" si="214"/>
        <v>308.32116479999996</v>
      </c>
      <c r="R422" s="3" t="str">
        <f t="shared" si="215"/>
        <v>0</v>
      </c>
      <c r="S422" s="3">
        <f t="shared" si="216"/>
        <v>0</v>
      </c>
      <c r="T422" s="3" t="str">
        <f t="shared" si="217"/>
        <v>0</v>
      </c>
      <c r="U422" s="3"/>
      <c r="V422" s="3"/>
      <c r="W422" s="3"/>
      <c r="X422" s="3"/>
      <c r="Y422" s="3"/>
      <c r="Z422" s="3"/>
    </row>
    <row r="423" spans="1:26" x14ac:dyDescent="0.25">
      <c r="A423" s="2">
        <v>46167</v>
      </c>
      <c r="B423" s="157" t="s">
        <v>170</v>
      </c>
      <c r="C423" s="169" t="s">
        <v>241</v>
      </c>
      <c r="D423" s="170">
        <v>70.2</v>
      </c>
      <c r="E423" s="173">
        <v>0.88</v>
      </c>
      <c r="F423" s="174">
        <f t="shared" si="231"/>
        <v>61.776000000000003</v>
      </c>
      <c r="G423" s="6">
        <f>H423/D423</f>
        <v>10</v>
      </c>
      <c r="H423" s="176">
        <v>702</v>
      </c>
      <c r="I423" s="158" t="str">
        <f t="shared" si="206"/>
        <v>0</v>
      </c>
      <c r="J423" s="3" t="str">
        <f t="shared" si="207"/>
        <v>0</v>
      </c>
      <c r="K423" s="3" t="str">
        <f t="shared" si="208"/>
        <v>0</v>
      </c>
      <c r="L423" s="3" t="str">
        <f t="shared" si="209"/>
        <v>0</v>
      </c>
      <c r="M423" s="3">
        <f t="shared" si="210"/>
        <v>0</v>
      </c>
      <c r="N423" s="3">
        <f t="shared" si="211"/>
        <v>0</v>
      </c>
      <c r="O423" s="3">
        <f t="shared" si="212"/>
        <v>70.2</v>
      </c>
      <c r="P423" s="3" t="str">
        <f t="shared" si="213"/>
        <v>0</v>
      </c>
      <c r="Q423" s="3">
        <f t="shared" si="214"/>
        <v>61.776000000000003</v>
      </c>
      <c r="R423" s="3" t="str">
        <f t="shared" si="215"/>
        <v>0</v>
      </c>
      <c r="S423" s="3">
        <f t="shared" si="216"/>
        <v>737.1</v>
      </c>
      <c r="T423" s="3" t="str">
        <f t="shared" si="217"/>
        <v>0</v>
      </c>
      <c r="U423" s="3"/>
      <c r="V423" s="3"/>
      <c r="W423" s="3"/>
      <c r="X423" s="3"/>
      <c r="Y423" s="3"/>
      <c r="Z423" s="3"/>
    </row>
    <row r="424" spans="1:26" x14ac:dyDescent="0.25">
      <c r="A424" s="2">
        <v>46172</v>
      </c>
      <c r="B424" s="3" t="s">
        <v>169</v>
      </c>
      <c r="C424" s="169" t="s">
        <v>236</v>
      </c>
      <c r="D424" s="170">
        <v>2198.5607999999997</v>
      </c>
      <c r="E424" s="171">
        <v>0.92</v>
      </c>
      <c r="F424" s="172">
        <f>+D424*E424</f>
        <v>2022.6759359999999</v>
      </c>
      <c r="G424" s="172">
        <f>+H424/D424</f>
        <v>4.3478260869565215</v>
      </c>
      <c r="H424" s="176">
        <v>9558.9599999999991</v>
      </c>
      <c r="I424" s="158">
        <f t="shared" si="206"/>
        <v>2198.5607999999997</v>
      </c>
      <c r="J424" s="3" t="str">
        <f t="shared" si="207"/>
        <v>0</v>
      </c>
      <c r="K424" s="3">
        <f t="shared" si="208"/>
        <v>2022.6759359999999</v>
      </c>
      <c r="L424" s="3" t="str">
        <f t="shared" si="209"/>
        <v>0</v>
      </c>
      <c r="M424" s="3">
        <f t="shared" si="210"/>
        <v>10036.907999999999</v>
      </c>
      <c r="N424" s="3">
        <f t="shared" si="211"/>
        <v>0</v>
      </c>
      <c r="O424" s="3" t="str">
        <f t="shared" si="212"/>
        <v>0</v>
      </c>
      <c r="P424" s="3" t="str">
        <f t="shared" si="213"/>
        <v>0</v>
      </c>
      <c r="Q424" s="3" t="str">
        <f t="shared" si="214"/>
        <v>0</v>
      </c>
      <c r="R424" s="3" t="str">
        <f t="shared" si="215"/>
        <v>0</v>
      </c>
      <c r="S424" s="3">
        <f t="shared" si="216"/>
        <v>0</v>
      </c>
      <c r="T424" s="3" t="str">
        <f t="shared" si="217"/>
        <v>0</v>
      </c>
      <c r="U424" s="3"/>
      <c r="V424" s="3"/>
      <c r="W424" s="3"/>
      <c r="X424" s="3"/>
      <c r="Y424" s="3"/>
      <c r="Z424" s="3"/>
    </row>
    <row r="425" spans="1:26" x14ac:dyDescent="0.25">
      <c r="A425" s="2">
        <v>46172</v>
      </c>
      <c r="B425" s="3" t="s">
        <v>170</v>
      </c>
      <c r="C425" s="169" t="s">
        <v>236</v>
      </c>
      <c r="D425" s="170">
        <v>2198.5519999999997</v>
      </c>
      <c r="E425" s="173">
        <v>0.995</v>
      </c>
      <c r="F425" s="174">
        <f t="shared" ref="F425" si="232">D425*E425</f>
        <v>2187.5592399999996</v>
      </c>
      <c r="G425" s="6">
        <f t="shared" si="199"/>
        <v>0</v>
      </c>
      <c r="H425" s="3"/>
      <c r="I425" s="158" t="str">
        <f t="shared" si="206"/>
        <v>0</v>
      </c>
      <c r="J425" s="3" t="str">
        <f t="shared" si="207"/>
        <v>0</v>
      </c>
      <c r="K425" s="3" t="str">
        <f t="shared" si="208"/>
        <v>0</v>
      </c>
      <c r="L425" s="3" t="str">
        <f t="shared" si="209"/>
        <v>0</v>
      </c>
      <c r="M425" s="3">
        <f t="shared" si="210"/>
        <v>0</v>
      </c>
      <c r="N425" s="3">
        <f t="shared" si="211"/>
        <v>0</v>
      </c>
      <c r="O425" s="3">
        <f t="shared" si="212"/>
        <v>2198.5519999999997</v>
      </c>
      <c r="P425" s="3" t="str">
        <f t="shared" si="213"/>
        <v>0</v>
      </c>
      <c r="Q425" s="3">
        <f t="shared" si="214"/>
        <v>2187.5592399999996</v>
      </c>
      <c r="R425" s="3" t="str">
        <f t="shared" si="215"/>
        <v>0</v>
      </c>
      <c r="S425" s="3">
        <f t="shared" si="216"/>
        <v>0</v>
      </c>
      <c r="T425" s="3" t="str">
        <f t="shared" si="217"/>
        <v>0</v>
      </c>
      <c r="U425" s="3"/>
      <c r="V425" s="3"/>
      <c r="W425" s="3"/>
      <c r="X425" s="3"/>
      <c r="Y425" s="3"/>
      <c r="Z425" s="3"/>
    </row>
    <row r="426" spans="1:26" x14ac:dyDescent="0.25">
      <c r="A426" s="2">
        <v>46172</v>
      </c>
      <c r="B426" s="3" t="s">
        <v>171</v>
      </c>
      <c r="C426" s="169" t="s">
        <v>236</v>
      </c>
      <c r="D426" s="3"/>
      <c r="E426" s="3"/>
      <c r="F426" s="6">
        <f t="shared" si="222"/>
        <v>0</v>
      </c>
      <c r="G426" s="6" t="e">
        <f t="shared" si="199"/>
        <v>#DIV/0!</v>
      </c>
      <c r="H426" s="3"/>
      <c r="I426" s="3" t="str">
        <f t="shared" si="206"/>
        <v>0</v>
      </c>
      <c r="J426" s="3" t="str">
        <f t="shared" si="207"/>
        <v>0</v>
      </c>
      <c r="K426" s="3" t="str">
        <f t="shared" si="208"/>
        <v>0</v>
      </c>
      <c r="L426" s="3" t="str">
        <f t="shared" si="209"/>
        <v>0</v>
      </c>
      <c r="M426" s="3">
        <f t="shared" si="210"/>
        <v>0</v>
      </c>
      <c r="N426" s="3">
        <f t="shared" si="211"/>
        <v>0</v>
      </c>
      <c r="O426" s="3" t="str">
        <f t="shared" si="212"/>
        <v>0</v>
      </c>
      <c r="P426" s="3" t="str">
        <f t="shared" si="213"/>
        <v>0</v>
      </c>
      <c r="Q426" s="3" t="str">
        <f t="shared" si="214"/>
        <v>0</v>
      </c>
      <c r="R426" s="3" t="str">
        <f t="shared" si="215"/>
        <v>0</v>
      </c>
      <c r="S426" s="3">
        <f t="shared" si="216"/>
        <v>0</v>
      </c>
      <c r="T426" s="3" t="str">
        <f t="shared" si="217"/>
        <v>0</v>
      </c>
      <c r="U426" s="3">
        <v>10036</v>
      </c>
      <c r="V426" s="3"/>
      <c r="W426" s="3"/>
      <c r="X426" s="3"/>
      <c r="Y426" s="3"/>
      <c r="Z426" s="3"/>
    </row>
    <row r="427" spans="1:26" x14ac:dyDescent="0.25">
      <c r="A427" s="2">
        <v>46113</v>
      </c>
      <c r="B427" s="3" t="s">
        <v>169</v>
      </c>
      <c r="C427" s="169" t="s">
        <v>233</v>
      </c>
      <c r="D427" s="4">
        <v>2389.7399999999998</v>
      </c>
      <c r="E427" s="5">
        <v>0.88</v>
      </c>
      <c r="F427" s="6">
        <f>+D427*E427</f>
        <v>2102.9712</v>
      </c>
      <c r="G427" s="6">
        <f t="shared" si="199"/>
        <v>0.17340798580598726</v>
      </c>
      <c r="H427" s="219">
        <v>414.4</v>
      </c>
      <c r="I427" s="3">
        <f t="shared" si="206"/>
        <v>2389.7399999999998</v>
      </c>
      <c r="J427" s="3" t="str">
        <f t="shared" si="207"/>
        <v>0</v>
      </c>
      <c r="K427" s="3">
        <f t="shared" si="208"/>
        <v>2102.9712</v>
      </c>
      <c r="L427" s="3" t="str">
        <f t="shared" si="209"/>
        <v>0</v>
      </c>
      <c r="M427" s="3">
        <f t="shared" si="210"/>
        <v>435.12</v>
      </c>
      <c r="N427" s="3">
        <f t="shared" si="211"/>
        <v>0</v>
      </c>
      <c r="O427" s="3" t="str">
        <f t="shared" si="212"/>
        <v>0</v>
      </c>
      <c r="P427" s="3" t="str">
        <f t="shared" si="213"/>
        <v>0</v>
      </c>
      <c r="Q427" s="3" t="str">
        <f t="shared" si="214"/>
        <v>0</v>
      </c>
      <c r="R427" s="3" t="str">
        <f t="shared" si="215"/>
        <v>0</v>
      </c>
      <c r="S427" s="3">
        <f t="shared" si="216"/>
        <v>0</v>
      </c>
      <c r="T427" s="3" t="str">
        <f t="shared" si="217"/>
        <v>0</v>
      </c>
      <c r="U427" s="3"/>
      <c r="V427" s="3"/>
      <c r="W427" s="3"/>
      <c r="X427" s="3"/>
      <c r="Y427" s="3">
        <v>12812.02</v>
      </c>
      <c r="Z427" s="3">
        <v>1321.473</v>
      </c>
    </row>
    <row r="428" spans="1:26" x14ac:dyDescent="0.25">
      <c r="A428" s="2">
        <v>46113</v>
      </c>
      <c r="B428" s="3" t="s">
        <v>170</v>
      </c>
      <c r="C428" s="169" t="s">
        <v>228</v>
      </c>
      <c r="D428" s="4">
        <v>2209.6</v>
      </c>
      <c r="E428" s="5">
        <v>0.995</v>
      </c>
      <c r="F428" s="6">
        <f>+D428*E428</f>
        <v>2198.5519999999997</v>
      </c>
      <c r="G428" s="6">
        <f t="shared" si="199"/>
        <v>0</v>
      </c>
      <c r="H428" s="219">
        <v>0</v>
      </c>
      <c r="I428" s="3" t="str">
        <f t="shared" si="206"/>
        <v>0</v>
      </c>
      <c r="J428" s="3" t="str">
        <f t="shared" si="207"/>
        <v>0</v>
      </c>
      <c r="K428" s="3" t="str">
        <f t="shared" si="208"/>
        <v>0</v>
      </c>
      <c r="L428" s="3" t="str">
        <f t="shared" si="209"/>
        <v>0</v>
      </c>
      <c r="M428" s="3">
        <f t="shared" si="210"/>
        <v>0</v>
      </c>
      <c r="N428" s="3">
        <f t="shared" si="211"/>
        <v>0</v>
      </c>
      <c r="O428" s="3">
        <f t="shared" si="212"/>
        <v>2209.6</v>
      </c>
      <c r="P428" s="3" t="str">
        <f t="shared" si="213"/>
        <v>0</v>
      </c>
      <c r="Q428" s="3">
        <f t="shared" si="214"/>
        <v>2198.5519999999997</v>
      </c>
      <c r="R428" s="3" t="str">
        <f t="shared" si="215"/>
        <v>0</v>
      </c>
      <c r="S428" s="3">
        <f t="shared" si="216"/>
        <v>0</v>
      </c>
      <c r="T428" s="3" t="str">
        <f t="shared" si="217"/>
        <v>0</v>
      </c>
      <c r="U428" s="3"/>
      <c r="V428" s="3"/>
      <c r="W428" s="3"/>
      <c r="X428" s="3"/>
      <c r="Y428" s="3">
        <v>9727.41</v>
      </c>
      <c r="Z428" s="3">
        <v>9547.8179999999993</v>
      </c>
    </row>
    <row r="429" spans="1:26" x14ac:dyDescent="0.25">
      <c r="A429" s="2">
        <v>46113</v>
      </c>
      <c r="B429" s="3" t="s">
        <v>171</v>
      </c>
      <c r="C429" s="169" t="s">
        <v>228</v>
      </c>
      <c r="D429" s="4"/>
      <c r="E429" s="5"/>
      <c r="F429" s="6">
        <f>+D429*E429</f>
        <v>0</v>
      </c>
      <c r="G429" s="6" t="e">
        <f t="shared" si="199"/>
        <v>#DIV/0!</v>
      </c>
      <c r="H429" s="219">
        <v>0</v>
      </c>
      <c r="I429" s="3" t="str">
        <f t="shared" si="206"/>
        <v>0</v>
      </c>
      <c r="J429" s="3" t="str">
        <f t="shared" si="207"/>
        <v>0</v>
      </c>
      <c r="K429" s="3" t="str">
        <f t="shared" si="208"/>
        <v>0</v>
      </c>
      <c r="L429" s="3" t="str">
        <f t="shared" si="209"/>
        <v>0</v>
      </c>
      <c r="M429" s="3">
        <f t="shared" si="210"/>
        <v>0</v>
      </c>
      <c r="N429" s="3">
        <f t="shared" si="211"/>
        <v>0</v>
      </c>
      <c r="O429" s="3" t="str">
        <f t="shared" si="212"/>
        <v>0</v>
      </c>
      <c r="P429" s="3" t="str">
        <f t="shared" si="213"/>
        <v>0</v>
      </c>
      <c r="Q429" s="3" t="str">
        <f t="shared" si="214"/>
        <v>0</v>
      </c>
      <c r="R429" s="3" t="str">
        <f t="shared" si="215"/>
        <v>0</v>
      </c>
      <c r="S429" s="3">
        <f t="shared" si="216"/>
        <v>0</v>
      </c>
      <c r="T429" s="3" t="str">
        <f t="shared" si="217"/>
        <v>0</v>
      </c>
      <c r="U429" s="3">
        <v>50000</v>
      </c>
      <c r="V429" s="3"/>
      <c r="W429" s="3"/>
      <c r="X429" s="3"/>
      <c r="Y429" s="3"/>
      <c r="Z429" s="3"/>
    </row>
    <row r="430" spans="1:26" x14ac:dyDescent="0.25">
      <c r="A430" s="2">
        <v>46114</v>
      </c>
      <c r="B430" s="3" t="s">
        <v>169</v>
      </c>
      <c r="C430" s="169" t="s">
        <v>246</v>
      </c>
      <c r="D430" s="4">
        <v>960.46</v>
      </c>
      <c r="E430" s="5">
        <v>0.88</v>
      </c>
      <c r="F430" s="6">
        <f>+D430*E430</f>
        <v>845.20480000000009</v>
      </c>
      <c r="G430" s="6">
        <f t="shared" si="199"/>
        <v>3.9486600170751514</v>
      </c>
      <c r="H430" s="219">
        <v>3792.53</v>
      </c>
      <c r="I430" s="3">
        <f t="shared" si="206"/>
        <v>960.46</v>
      </c>
      <c r="J430" s="3" t="str">
        <f t="shared" si="207"/>
        <v>0</v>
      </c>
      <c r="K430" s="3">
        <f t="shared" si="208"/>
        <v>845.20480000000009</v>
      </c>
      <c r="L430" s="3" t="str">
        <f t="shared" si="209"/>
        <v>0</v>
      </c>
      <c r="M430" s="3">
        <f t="shared" si="210"/>
        <v>3982.1565000000001</v>
      </c>
      <c r="N430" s="3">
        <f t="shared" si="211"/>
        <v>0</v>
      </c>
      <c r="O430" s="3" t="str">
        <f t="shared" si="212"/>
        <v>0</v>
      </c>
      <c r="P430" s="3" t="str">
        <f t="shared" si="213"/>
        <v>0</v>
      </c>
      <c r="Q430" s="3" t="str">
        <f t="shared" si="214"/>
        <v>0</v>
      </c>
      <c r="R430" s="3" t="str">
        <f t="shared" si="215"/>
        <v>0</v>
      </c>
      <c r="S430" s="3">
        <f t="shared" si="216"/>
        <v>0</v>
      </c>
      <c r="T430" s="3" t="str">
        <f t="shared" si="217"/>
        <v>0</v>
      </c>
      <c r="U430" s="3"/>
      <c r="V430" s="3"/>
      <c r="W430" s="3"/>
      <c r="X430" s="3"/>
      <c r="Y430" s="3">
        <v>1467.1</v>
      </c>
      <c r="Z430" s="3">
        <v>0.01</v>
      </c>
    </row>
    <row r="431" spans="1:26" x14ac:dyDescent="0.25">
      <c r="A431" s="2">
        <v>46114</v>
      </c>
      <c r="B431" s="3" t="s">
        <v>170</v>
      </c>
      <c r="C431" s="169" t="s">
        <v>246</v>
      </c>
      <c r="D431" s="4">
        <v>1000</v>
      </c>
      <c r="E431" s="5">
        <v>0.995</v>
      </c>
      <c r="F431" s="6">
        <f>D431*E431</f>
        <v>995</v>
      </c>
      <c r="G431" s="6">
        <f t="shared" si="199"/>
        <v>0</v>
      </c>
      <c r="H431" s="219"/>
      <c r="I431" s="3" t="str">
        <f t="shared" si="206"/>
        <v>0</v>
      </c>
      <c r="J431" s="3" t="str">
        <f t="shared" si="207"/>
        <v>0</v>
      </c>
      <c r="K431" s="3" t="str">
        <f t="shared" si="208"/>
        <v>0</v>
      </c>
      <c r="L431" s="3" t="str">
        <f t="shared" si="209"/>
        <v>0</v>
      </c>
      <c r="M431" s="3">
        <f t="shared" si="210"/>
        <v>0</v>
      </c>
      <c r="N431" s="3">
        <f t="shared" si="211"/>
        <v>0</v>
      </c>
      <c r="O431" s="3">
        <f t="shared" si="212"/>
        <v>1000</v>
      </c>
      <c r="P431" s="3" t="str">
        <f t="shared" si="213"/>
        <v>0</v>
      </c>
      <c r="Q431" s="3">
        <f t="shared" si="214"/>
        <v>995</v>
      </c>
      <c r="R431" s="3" t="str">
        <f t="shared" si="215"/>
        <v>0</v>
      </c>
      <c r="S431" s="3">
        <f t="shared" si="216"/>
        <v>0</v>
      </c>
      <c r="T431" s="3" t="str">
        <f t="shared" si="217"/>
        <v>0</v>
      </c>
      <c r="U431" s="3"/>
      <c r="V431" s="3"/>
      <c r="W431" s="3"/>
      <c r="X431" s="3"/>
      <c r="Y431" s="3"/>
      <c r="Z431" s="3"/>
    </row>
    <row r="432" spans="1:26" x14ac:dyDescent="0.25">
      <c r="A432" s="2">
        <v>46114</v>
      </c>
      <c r="B432" s="3" t="s">
        <v>170</v>
      </c>
      <c r="C432" s="3" t="s">
        <v>230</v>
      </c>
      <c r="D432" s="4">
        <v>521.1</v>
      </c>
      <c r="E432" s="5">
        <v>0.995</v>
      </c>
      <c r="F432" s="6">
        <f>D432*E432</f>
        <v>518.49450000000002</v>
      </c>
      <c r="G432" s="6">
        <f t="shared" si="199"/>
        <v>0</v>
      </c>
      <c r="H432" s="219"/>
      <c r="I432" s="3" t="str">
        <f t="shared" si="206"/>
        <v>0</v>
      </c>
      <c r="J432" s="3" t="str">
        <f t="shared" si="207"/>
        <v>0</v>
      </c>
      <c r="K432" s="3" t="str">
        <f t="shared" si="208"/>
        <v>0</v>
      </c>
      <c r="L432" s="3" t="str">
        <f t="shared" si="209"/>
        <v>0</v>
      </c>
      <c r="M432" s="3">
        <f t="shared" si="210"/>
        <v>0</v>
      </c>
      <c r="N432" s="3">
        <f t="shared" si="211"/>
        <v>0</v>
      </c>
      <c r="O432" s="3">
        <f t="shared" si="212"/>
        <v>521.1</v>
      </c>
      <c r="P432" s="3" t="str">
        <f t="shared" si="213"/>
        <v>0</v>
      </c>
      <c r="Q432" s="3">
        <f t="shared" si="214"/>
        <v>518.49450000000002</v>
      </c>
      <c r="R432" s="3" t="str">
        <f t="shared" si="215"/>
        <v>0</v>
      </c>
      <c r="S432" s="3">
        <f t="shared" si="216"/>
        <v>0</v>
      </c>
      <c r="T432" s="3" t="str">
        <f t="shared" si="217"/>
        <v>0</v>
      </c>
      <c r="U432" s="3"/>
      <c r="V432" s="3"/>
      <c r="W432" s="3"/>
      <c r="X432" s="3"/>
      <c r="Y432" s="3">
        <v>47064.74</v>
      </c>
      <c r="Z432" s="3">
        <v>2829.1590000000001</v>
      </c>
    </row>
    <row r="433" spans="1:26" x14ac:dyDescent="0.25">
      <c r="A433" s="2">
        <v>46115</v>
      </c>
      <c r="B433" s="3" t="s">
        <v>169</v>
      </c>
      <c r="C433" s="169" t="s">
        <v>228</v>
      </c>
      <c r="D433" s="4">
        <v>257.2</v>
      </c>
      <c r="E433" s="5">
        <v>0.88</v>
      </c>
      <c r="F433" s="6">
        <f>D433*E433</f>
        <v>226.33599999999998</v>
      </c>
      <c r="G433" s="6">
        <f t="shared" si="199"/>
        <v>12.311236391912908</v>
      </c>
      <c r="H433" s="219">
        <v>3166.45</v>
      </c>
      <c r="I433" s="158">
        <f t="shared" si="206"/>
        <v>257.2</v>
      </c>
      <c r="J433" s="3" t="str">
        <f t="shared" si="207"/>
        <v>0</v>
      </c>
      <c r="K433" s="3">
        <f t="shared" si="208"/>
        <v>226.33599999999998</v>
      </c>
      <c r="L433" s="3" t="str">
        <f t="shared" si="209"/>
        <v>0</v>
      </c>
      <c r="M433" s="3">
        <f t="shared" si="210"/>
        <v>3324.7725</v>
      </c>
      <c r="N433" s="3">
        <f t="shared" si="211"/>
        <v>0</v>
      </c>
      <c r="O433" s="3" t="str">
        <f t="shared" si="212"/>
        <v>0</v>
      </c>
      <c r="P433" s="3" t="str">
        <f t="shared" si="213"/>
        <v>0</v>
      </c>
      <c r="Q433" s="3" t="str">
        <f t="shared" si="214"/>
        <v>0</v>
      </c>
      <c r="R433" s="3" t="str">
        <f t="shared" si="215"/>
        <v>0</v>
      </c>
      <c r="S433" s="3">
        <f t="shared" si="216"/>
        <v>0</v>
      </c>
      <c r="T433" s="3" t="str">
        <f t="shared" si="217"/>
        <v>0</v>
      </c>
      <c r="U433" s="3"/>
      <c r="V433" s="3"/>
      <c r="W433" s="3"/>
      <c r="X433" s="3"/>
      <c r="Y433" s="3"/>
      <c r="Z433" s="3"/>
    </row>
    <row r="434" spans="1:26" x14ac:dyDescent="0.25">
      <c r="A434" s="2">
        <v>46115</v>
      </c>
      <c r="B434" s="3" t="s">
        <v>170</v>
      </c>
      <c r="C434" s="3" t="s">
        <v>249</v>
      </c>
      <c r="D434" s="4">
        <v>321.5</v>
      </c>
      <c r="E434" s="209">
        <v>0.995</v>
      </c>
      <c r="F434" s="184">
        <f>D434*E434</f>
        <v>319.89249999999998</v>
      </c>
      <c r="G434" s="6">
        <f t="shared" si="199"/>
        <v>0</v>
      </c>
      <c r="H434" s="219"/>
      <c r="I434" s="158" t="str">
        <f t="shared" si="206"/>
        <v>0</v>
      </c>
      <c r="J434" s="3" t="str">
        <f t="shared" si="207"/>
        <v>0</v>
      </c>
      <c r="K434" s="3" t="str">
        <f t="shared" si="208"/>
        <v>0</v>
      </c>
      <c r="L434" s="3" t="str">
        <f t="shared" si="209"/>
        <v>0</v>
      </c>
      <c r="M434" s="3">
        <f t="shared" si="210"/>
        <v>0</v>
      </c>
      <c r="N434" s="3">
        <f t="shared" si="211"/>
        <v>0</v>
      </c>
      <c r="O434" s="3">
        <f t="shared" si="212"/>
        <v>321.5</v>
      </c>
      <c r="P434" s="3" t="str">
        <f t="shared" si="213"/>
        <v>0</v>
      </c>
      <c r="Q434" s="3">
        <f t="shared" si="214"/>
        <v>319.89249999999998</v>
      </c>
      <c r="R434" s="3" t="str">
        <f t="shared" si="215"/>
        <v>0</v>
      </c>
      <c r="S434" s="3">
        <f t="shared" si="216"/>
        <v>0</v>
      </c>
      <c r="T434" s="3" t="str">
        <f t="shared" si="217"/>
        <v>0</v>
      </c>
      <c r="U434" s="3"/>
      <c r="V434" s="3"/>
      <c r="W434" s="3"/>
      <c r="X434" s="3"/>
      <c r="Y434" s="3">
        <v>55098.5</v>
      </c>
      <c r="Z434" s="3">
        <v>445.37599999999998</v>
      </c>
    </row>
    <row r="435" spans="1:26" x14ac:dyDescent="0.25">
      <c r="A435" s="2">
        <v>46116</v>
      </c>
      <c r="B435" s="3" t="s">
        <v>169</v>
      </c>
      <c r="C435" s="169" t="s">
        <v>228</v>
      </c>
      <c r="D435" s="4">
        <v>1142.9000000000001</v>
      </c>
      <c r="E435" s="5">
        <v>0.88</v>
      </c>
      <c r="F435" s="6">
        <f>+D435*E435</f>
        <v>1005.7520000000001</v>
      </c>
      <c r="G435" s="6">
        <f t="shared" si="199"/>
        <v>11.048954414209467</v>
      </c>
      <c r="H435" s="219">
        <v>12627.85</v>
      </c>
      <c r="I435" s="158">
        <f t="shared" si="206"/>
        <v>1142.9000000000001</v>
      </c>
      <c r="J435" s="3" t="str">
        <f t="shared" si="207"/>
        <v>0</v>
      </c>
      <c r="K435" s="3">
        <f t="shared" si="208"/>
        <v>1005.7520000000001</v>
      </c>
      <c r="L435" s="3" t="str">
        <f t="shared" si="209"/>
        <v>0</v>
      </c>
      <c r="M435" s="3">
        <f t="shared" si="210"/>
        <v>13259.2425</v>
      </c>
      <c r="N435" s="3">
        <f t="shared" si="211"/>
        <v>0</v>
      </c>
      <c r="O435" s="3" t="str">
        <f t="shared" si="212"/>
        <v>0</v>
      </c>
      <c r="P435" s="3" t="str">
        <f t="shared" si="213"/>
        <v>0</v>
      </c>
      <c r="Q435" s="3" t="str">
        <f t="shared" si="214"/>
        <v>0</v>
      </c>
      <c r="R435" s="3" t="str">
        <f t="shared" si="215"/>
        <v>0</v>
      </c>
      <c r="S435" s="3">
        <f t="shared" si="216"/>
        <v>0</v>
      </c>
      <c r="T435" s="3" t="str">
        <f t="shared" si="217"/>
        <v>0</v>
      </c>
      <c r="U435" s="3"/>
      <c r="V435" s="3"/>
      <c r="W435" s="3"/>
      <c r="X435" s="3"/>
      <c r="Y435" s="3"/>
      <c r="Z435" s="3"/>
    </row>
    <row r="436" spans="1:26" x14ac:dyDescent="0.25">
      <c r="A436" s="2">
        <v>46116</v>
      </c>
      <c r="B436" s="3" t="s">
        <v>169</v>
      </c>
      <c r="C436" s="169" t="s">
        <v>236</v>
      </c>
      <c r="D436" s="4">
        <v>940.39</v>
      </c>
      <c r="E436" s="5">
        <v>0.92</v>
      </c>
      <c r="F436" s="6">
        <f>+D436*E436</f>
        <v>865.15880000000004</v>
      </c>
      <c r="G436" s="6">
        <f t="shared" si="199"/>
        <v>3.2500026584714852</v>
      </c>
      <c r="H436" s="219">
        <v>3056.27</v>
      </c>
      <c r="I436" s="158">
        <f t="shared" si="206"/>
        <v>940.39</v>
      </c>
      <c r="J436" s="3" t="str">
        <f t="shared" si="207"/>
        <v>0</v>
      </c>
      <c r="K436" s="3">
        <f t="shared" si="208"/>
        <v>865.15880000000004</v>
      </c>
      <c r="L436" s="3" t="str">
        <f t="shared" si="209"/>
        <v>0</v>
      </c>
      <c r="M436" s="3">
        <f t="shared" si="210"/>
        <v>3209.0835000000002</v>
      </c>
      <c r="N436" s="3">
        <f t="shared" si="211"/>
        <v>0</v>
      </c>
      <c r="O436" s="3" t="str">
        <f t="shared" si="212"/>
        <v>0</v>
      </c>
      <c r="P436" s="3" t="str">
        <f t="shared" si="213"/>
        <v>0</v>
      </c>
      <c r="Q436" s="3" t="str">
        <f t="shared" si="214"/>
        <v>0</v>
      </c>
      <c r="R436" s="3" t="str">
        <f t="shared" si="215"/>
        <v>0</v>
      </c>
      <c r="S436" s="3">
        <f t="shared" si="216"/>
        <v>0</v>
      </c>
      <c r="T436" s="3" t="str">
        <f t="shared" si="217"/>
        <v>0</v>
      </c>
      <c r="U436" s="3"/>
      <c r="V436" s="3"/>
      <c r="W436" s="3"/>
      <c r="X436" s="3"/>
      <c r="Y436" s="3">
        <v>0.81</v>
      </c>
      <c r="Z436" s="3">
        <v>-0.151</v>
      </c>
    </row>
    <row r="437" spans="1:26" x14ac:dyDescent="0.25">
      <c r="A437" s="2">
        <v>46116</v>
      </c>
      <c r="B437" s="3" t="s">
        <v>169</v>
      </c>
      <c r="C437" s="169" t="s">
        <v>247</v>
      </c>
      <c r="D437" s="4">
        <v>350.4</v>
      </c>
      <c r="E437" s="220">
        <v>0.88</v>
      </c>
      <c r="F437" s="6">
        <f>+D437*E437</f>
        <v>308.35199999999998</v>
      </c>
      <c r="G437" s="6">
        <f t="shared" si="199"/>
        <v>7.0000000000000009</v>
      </c>
      <c r="H437" s="219">
        <v>2452.8000000000002</v>
      </c>
      <c r="I437" s="158">
        <f t="shared" si="206"/>
        <v>350.4</v>
      </c>
      <c r="J437" s="3" t="str">
        <f t="shared" si="207"/>
        <v>0</v>
      </c>
      <c r="K437" s="3">
        <f t="shared" si="208"/>
        <v>308.35199999999998</v>
      </c>
      <c r="L437" s="3" t="str">
        <f t="shared" si="209"/>
        <v>0</v>
      </c>
      <c r="M437" s="3">
        <f t="shared" si="210"/>
        <v>2575.44</v>
      </c>
      <c r="N437" s="3">
        <f t="shared" si="211"/>
        <v>0</v>
      </c>
      <c r="O437" s="3" t="str">
        <f t="shared" si="212"/>
        <v>0</v>
      </c>
      <c r="P437" s="3" t="str">
        <f t="shared" si="213"/>
        <v>0</v>
      </c>
      <c r="Q437" s="3" t="str">
        <f t="shared" si="214"/>
        <v>0</v>
      </c>
      <c r="R437" s="3" t="str">
        <f t="shared" si="215"/>
        <v>0</v>
      </c>
      <c r="S437" s="3">
        <f t="shared" si="216"/>
        <v>0</v>
      </c>
      <c r="T437" s="3" t="str">
        <f t="shared" si="217"/>
        <v>0</v>
      </c>
      <c r="U437" s="3"/>
      <c r="V437" s="3"/>
      <c r="W437" s="3"/>
      <c r="X437" s="3"/>
      <c r="Y437" s="3">
        <v>478749.71</v>
      </c>
      <c r="Z437" s="3">
        <v>1092.0340000000001</v>
      </c>
    </row>
    <row r="438" spans="1:26" x14ac:dyDescent="0.25">
      <c r="A438" s="2">
        <v>46116</v>
      </c>
      <c r="B438" s="3" t="s">
        <v>170</v>
      </c>
      <c r="C438" s="3" t="s">
        <v>235</v>
      </c>
      <c r="D438" s="4">
        <v>402.16</v>
      </c>
      <c r="E438" s="221">
        <v>0.995</v>
      </c>
      <c r="F438" s="6">
        <f>+D438*E438</f>
        <v>400.14920000000001</v>
      </c>
      <c r="G438" s="6">
        <f t="shared" ref="G438:G462" si="233">+H438/D438</f>
        <v>0</v>
      </c>
      <c r="H438" s="219"/>
      <c r="I438" s="158" t="str">
        <f t="shared" si="206"/>
        <v>0</v>
      </c>
      <c r="J438" s="3" t="str">
        <f t="shared" si="207"/>
        <v>0</v>
      </c>
      <c r="K438" s="3" t="str">
        <f t="shared" si="208"/>
        <v>0</v>
      </c>
      <c r="L438" s="3" t="str">
        <f t="shared" si="209"/>
        <v>0</v>
      </c>
      <c r="M438" s="3">
        <f t="shared" si="210"/>
        <v>0</v>
      </c>
      <c r="N438" s="3">
        <f t="shared" si="211"/>
        <v>0</v>
      </c>
      <c r="O438" s="3">
        <f t="shared" si="212"/>
        <v>402.16</v>
      </c>
      <c r="P438" s="3" t="str">
        <f t="shared" si="213"/>
        <v>0</v>
      </c>
      <c r="Q438" s="3">
        <f t="shared" si="214"/>
        <v>400.14920000000001</v>
      </c>
      <c r="R438" s="3" t="str">
        <f t="shared" si="215"/>
        <v>0</v>
      </c>
      <c r="S438" s="3">
        <f t="shared" si="216"/>
        <v>0</v>
      </c>
      <c r="T438" s="3" t="str">
        <f t="shared" si="217"/>
        <v>0</v>
      </c>
      <c r="U438" s="3"/>
      <c r="V438" s="3"/>
      <c r="W438" s="3"/>
      <c r="X438" s="3"/>
      <c r="Y438" s="3">
        <v>46648.04</v>
      </c>
      <c r="Z438" s="3">
        <v>2152.221</v>
      </c>
    </row>
    <row r="439" spans="1:26" x14ac:dyDescent="0.25">
      <c r="A439" s="2">
        <v>46116</v>
      </c>
      <c r="B439" s="3" t="s">
        <v>170</v>
      </c>
      <c r="C439" s="169" t="s">
        <v>228</v>
      </c>
      <c r="D439" s="4">
        <v>1000</v>
      </c>
      <c r="E439" s="221">
        <v>0.995</v>
      </c>
      <c r="F439" s="184">
        <f>D439*E439</f>
        <v>995</v>
      </c>
      <c r="G439" s="6">
        <f t="shared" si="233"/>
        <v>0</v>
      </c>
      <c r="H439" s="219"/>
      <c r="I439" s="158" t="str">
        <f t="shared" si="206"/>
        <v>0</v>
      </c>
      <c r="J439" s="3" t="str">
        <f t="shared" si="207"/>
        <v>0</v>
      </c>
      <c r="K439" s="3" t="str">
        <f t="shared" si="208"/>
        <v>0</v>
      </c>
      <c r="L439" s="3" t="str">
        <f t="shared" si="209"/>
        <v>0</v>
      </c>
      <c r="M439" s="3">
        <f t="shared" si="210"/>
        <v>0</v>
      </c>
      <c r="N439" s="3">
        <f t="shared" si="211"/>
        <v>0</v>
      </c>
      <c r="O439" s="3">
        <f t="shared" si="212"/>
        <v>1000</v>
      </c>
      <c r="P439" s="3" t="str">
        <f t="shared" si="213"/>
        <v>0</v>
      </c>
      <c r="Q439" s="3">
        <f t="shared" si="214"/>
        <v>995</v>
      </c>
      <c r="R439" s="3" t="str">
        <f t="shared" si="215"/>
        <v>0</v>
      </c>
      <c r="S439" s="3">
        <f t="shared" si="216"/>
        <v>0</v>
      </c>
      <c r="T439" s="3" t="str">
        <f t="shared" si="217"/>
        <v>0</v>
      </c>
      <c r="U439" s="3"/>
      <c r="V439" s="3"/>
      <c r="W439" s="3"/>
      <c r="X439" s="3"/>
      <c r="Y439" s="3"/>
      <c r="Z439" s="3"/>
    </row>
    <row r="440" spans="1:26" x14ac:dyDescent="0.25">
      <c r="A440" s="2">
        <v>46116</v>
      </c>
      <c r="B440" s="3" t="s">
        <v>170</v>
      </c>
      <c r="C440" s="169" t="s">
        <v>236</v>
      </c>
      <c r="D440" s="4">
        <v>869.5</v>
      </c>
      <c r="E440" s="221">
        <v>0.995</v>
      </c>
      <c r="F440" s="184">
        <f>D440*E440</f>
        <v>865.15250000000003</v>
      </c>
      <c r="G440" s="211">
        <f t="shared" si="233"/>
        <v>0</v>
      </c>
      <c r="H440" s="219"/>
      <c r="I440" s="3" t="str">
        <f t="shared" si="206"/>
        <v>0</v>
      </c>
      <c r="J440" s="3" t="str">
        <f t="shared" si="207"/>
        <v>0</v>
      </c>
      <c r="K440" s="3" t="str">
        <f t="shared" si="208"/>
        <v>0</v>
      </c>
      <c r="L440" s="3" t="str">
        <f t="shared" si="209"/>
        <v>0</v>
      </c>
      <c r="M440" s="3">
        <f t="shared" si="210"/>
        <v>0</v>
      </c>
      <c r="N440" s="3">
        <f t="shared" si="211"/>
        <v>0</v>
      </c>
      <c r="O440" s="3">
        <f t="shared" si="212"/>
        <v>869.5</v>
      </c>
      <c r="P440" s="3" t="str">
        <f t="shared" si="213"/>
        <v>0</v>
      </c>
      <c r="Q440" s="3">
        <f t="shared" si="214"/>
        <v>865.15250000000003</v>
      </c>
      <c r="R440" s="3" t="str">
        <f t="shared" si="215"/>
        <v>0</v>
      </c>
      <c r="S440" s="3">
        <f t="shared" si="216"/>
        <v>0</v>
      </c>
      <c r="T440" s="3" t="str">
        <f t="shared" si="217"/>
        <v>0</v>
      </c>
      <c r="U440" s="3"/>
      <c r="V440" s="3"/>
      <c r="W440" s="3"/>
      <c r="X440" s="3"/>
      <c r="Y440" s="3"/>
      <c r="Z440" s="3"/>
    </row>
    <row r="441" spans="1:26" x14ac:dyDescent="0.25">
      <c r="A441" s="2">
        <v>46116</v>
      </c>
      <c r="B441" s="3" t="s">
        <v>171</v>
      </c>
      <c r="C441" s="169" t="s">
        <v>236</v>
      </c>
      <c r="D441" s="3"/>
      <c r="E441" s="3"/>
      <c r="F441" s="211">
        <f t="shared" ref="F441:F450" si="234">+D441*E441</f>
        <v>0</v>
      </c>
      <c r="G441" s="211" t="e">
        <f t="shared" si="233"/>
        <v>#DIV/0!</v>
      </c>
      <c r="H441" s="219"/>
      <c r="I441" s="3" t="str">
        <f t="shared" si="206"/>
        <v>0</v>
      </c>
      <c r="J441" s="3" t="str">
        <f t="shared" si="207"/>
        <v>0</v>
      </c>
      <c r="K441" s="3" t="str">
        <f t="shared" si="208"/>
        <v>0</v>
      </c>
      <c r="L441" s="3" t="str">
        <f t="shared" si="209"/>
        <v>0</v>
      </c>
      <c r="M441" s="3">
        <f t="shared" si="210"/>
        <v>0</v>
      </c>
      <c r="N441" s="3">
        <f t="shared" si="211"/>
        <v>0</v>
      </c>
      <c r="O441" s="3" t="str">
        <f t="shared" si="212"/>
        <v>0</v>
      </c>
      <c r="P441" s="3" t="str">
        <f t="shared" si="213"/>
        <v>0</v>
      </c>
      <c r="Q441" s="3" t="str">
        <f t="shared" si="214"/>
        <v>0</v>
      </c>
      <c r="R441" s="3" t="str">
        <f t="shared" si="215"/>
        <v>0</v>
      </c>
      <c r="S441" s="3">
        <f t="shared" si="216"/>
        <v>0</v>
      </c>
      <c r="T441" s="3" t="str">
        <f t="shared" si="217"/>
        <v>0</v>
      </c>
      <c r="U441" s="3">
        <v>3209</v>
      </c>
      <c r="V441" s="3"/>
      <c r="W441" s="3"/>
      <c r="X441" s="3"/>
      <c r="Y441" s="3"/>
      <c r="Z441" s="3"/>
    </row>
    <row r="442" spans="1:26" x14ac:dyDescent="0.25">
      <c r="A442" s="2">
        <v>46118</v>
      </c>
      <c r="B442" s="3" t="s">
        <v>171</v>
      </c>
      <c r="C442" s="169" t="s">
        <v>236</v>
      </c>
      <c r="D442" s="3"/>
      <c r="E442" s="3"/>
      <c r="F442" s="211">
        <f t="shared" si="234"/>
        <v>0</v>
      </c>
      <c r="G442" s="211" t="e">
        <f t="shared" si="233"/>
        <v>#DIV/0!</v>
      </c>
      <c r="H442" s="219"/>
      <c r="I442" s="3" t="str">
        <f t="shared" si="206"/>
        <v>0</v>
      </c>
      <c r="J442" s="3" t="str">
        <f t="shared" si="207"/>
        <v>0</v>
      </c>
      <c r="K442" s="3" t="str">
        <f t="shared" si="208"/>
        <v>0</v>
      </c>
      <c r="L442" s="3" t="str">
        <f t="shared" si="209"/>
        <v>0</v>
      </c>
      <c r="M442" s="3">
        <f t="shared" si="210"/>
        <v>0</v>
      </c>
      <c r="N442" s="3">
        <f t="shared" si="211"/>
        <v>0</v>
      </c>
      <c r="O442" s="3" t="str">
        <f t="shared" si="212"/>
        <v>0</v>
      </c>
      <c r="P442" s="3" t="str">
        <f t="shared" si="213"/>
        <v>0</v>
      </c>
      <c r="Q442" s="3" t="str">
        <f t="shared" si="214"/>
        <v>0</v>
      </c>
      <c r="R442" s="3" t="str">
        <f t="shared" si="215"/>
        <v>0</v>
      </c>
      <c r="S442" s="3">
        <f t="shared" si="216"/>
        <v>0</v>
      </c>
      <c r="T442" s="3" t="str">
        <f t="shared" si="217"/>
        <v>0</v>
      </c>
      <c r="U442" s="3">
        <v>3610</v>
      </c>
      <c r="V442" s="3"/>
      <c r="W442" s="3"/>
      <c r="X442" s="3"/>
      <c r="Y442" s="3"/>
      <c r="Z442" s="3"/>
    </row>
    <row r="443" spans="1:26" x14ac:dyDescent="0.25">
      <c r="A443" s="2">
        <v>46118</v>
      </c>
      <c r="B443" s="3" t="s">
        <v>169</v>
      </c>
      <c r="C443" s="3" t="s">
        <v>235</v>
      </c>
      <c r="D443" s="4">
        <v>581.47372800000005</v>
      </c>
      <c r="E443" s="209">
        <v>0.88</v>
      </c>
      <c r="F443" s="184">
        <f t="shared" si="234"/>
        <v>511.69688064000007</v>
      </c>
      <c r="G443" s="6">
        <f t="shared" si="233"/>
        <v>9.0392561983471076</v>
      </c>
      <c r="H443" s="219">
        <v>5256.09</v>
      </c>
      <c r="I443" s="3">
        <f t="shared" si="206"/>
        <v>581.47372800000005</v>
      </c>
      <c r="J443" s="3" t="str">
        <f t="shared" si="207"/>
        <v>0</v>
      </c>
      <c r="K443" s="3">
        <f t="shared" si="208"/>
        <v>511.69688064000007</v>
      </c>
      <c r="L443" s="3" t="str">
        <f t="shared" si="209"/>
        <v>0</v>
      </c>
      <c r="M443" s="3">
        <f t="shared" si="210"/>
        <v>5518.8945000000003</v>
      </c>
      <c r="N443" s="3">
        <f t="shared" si="211"/>
        <v>0</v>
      </c>
      <c r="O443" s="3" t="str">
        <f t="shared" si="212"/>
        <v>0</v>
      </c>
      <c r="P443" s="3" t="str">
        <f t="shared" si="213"/>
        <v>0</v>
      </c>
      <c r="Q443" s="3" t="str">
        <f t="shared" si="214"/>
        <v>0</v>
      </c>
      <c r="R443" s="3" t="str">
        <f t="shared" si="215"/>
        <v>0</v>
      </c>
      <c r="S443" s="3">
        <f t="shared" si="216"/>
        <v>0</v>
      </c>
      <c r="T443" s="3" t="str">
        <f t="shared" si="217"/>
        <v>0</v>
      </c>
      <c r="U443" s="3"/>
      <c r="V443" s="3"/>
      <c r="W443" s="3"/>
      <c r="X443" s="3"/>
      <c r="Y443" s="3"/>
      <c r="Z443" s="3"/>
    </row>
    <row r="444" spans="1:26" x14ac:dyDescent="0.25">
      <c r="A444" s="2">
        <v>46118</v>
      </c>
      <c r="B444" s="3" t="s">
        <v>169</v>
      </c>
      <c r="C444" s="169" t="s">
        <v>229</v>
      </c>
      <c r="D444" s="4">
        <v>584.90431999999998</v>
      </c>
      <c r="E444" s="209">
        <v>0.88</v>
      </c>
      <c r="F444" s="184">
        <f t="shared" si="234"/>
        <v>514.71580159999996</v>
      </c>
      <c r="G444" s="6">
        <f t="shared" si="233"/>
        <v>12.913223140495868</v>
      </c>
      <c r="H444" s="219">
        <v>7553</v>
      </c>
      <c r="I444" s="3">
        <f t="shared" si="206"/>
        <v>584.90431999999998</v>
      </c>
      <c r="J444" s="3" t="str">
        <f t="shared" si="207"/>
        <v>0</v>
      </c>
      <c r="K444" s="3">
        <f t="shared" si="208"/>
        <v>514.71580159999996</v>
      </c>
      <c r="L444" s="3" t="str">
        <f t="shared" si="209"/>
        <v>0</v>
      </c>
      <c r="M444" s="3">
        <f t="shared" si="210"/>
        <v>7930.65</v>
      </c>
      <c r="N444" s="3">
        <f t="shared" si="211"/>
        <v>0</v>
      </c>
      <c r="O444" s="3" t="str">
        <f t="shared" si="212"/>
        <v>0</v>
      </c>
      <c r="P444" s="3" t="str">
        <f t="shared" si="213"/>
        <v>0</v>
      </c>
      <c r="Q444" s="3" t="str">
        <f t="shared" si="214"/>
        <v>0</v>
      </c>
      <c r="R444" s="3" t="str">
        <f t="shared" si="215"/>
        <v>0</v>
      </c>
      <c r="S444" s="3">
        <f t="shared" si="216"/>
        <v>0</v>
      </c>
      <c r="T444" s="3" t="str">
        <f t="shared" si="217"/>
        <v>0</v>
      </c>
      <c r="U444" s="3"/>
      <c r="V444" s="3"/>
      <c r="W444" s="3"/>
      <c r="X444" s="3"/>
      <c r="Y444" s="3">
        <v>19838.400000000001</v>
      </c>
      <c r="Z444" s="3">
        <v>191.75700000000001</v>
      </c>
    </row>
    <row r="445" spans="1:26" x14ac:dyDescent="0.25">
      <c r="A445" s="2">
        <v>46118</v>
      </c>
      <c r="B445" s="3" t="s">
        <v>169</v>
      </c>
      <c r="C445" s="169" t="s">
        <v>236</v>
      </c>
      <c r="D445" s="4">
        <v>856.58918400000005</v>
      </c>
      <c r="E445" s="209">
        <v>0.92</v>
      </c>
      <c r="F445" s="184">
        <f t="shared" si="234"/>
        <v>788.06204928000011</v>
      </c>
      <c r="G445" s="6">
        <f t="shared" si="233"/>
        <v>4.0143280632411065</v>
      </c>
      <c r="H445" s="219">
        <v>3438.63</v>
      </c>
      <c r="I445" s="3">
        <f t="shared" si="206"/>
        <v>856.58918400000005</v>
      </c>
      <c r="J445" s="3" t="str">
        <f t="shared" si="207"/>
        <v>0</v>
      </c>
      <c r="K445" s="3">
        <f t="shared" si="208"/>
        <v>788.06204928000011</v>
      </c>
      <c r="L445" s="3" t="str">
        <f t="shared" si="209"/>
        <v>0</v>
      </c>
      <c r="M445" s="3">
        <f t="shared" si="210"/>
        <v>3610.5615000000003</v>
      </c>
      <c r="N445" s="3">
        <f t="shared" si="211"/>
        <v>0</v>
      </c>
      <c r="O445" s="3" t="str">
        <f t="shared" si="212"/>
        <v>0</v>
      </c>
      <c r="P445" s="3" t="str">
        <f t="shared" si="213"/>
        <v>0</v>
      </c>
      <c r="Q445" s="3" t="str">
        <f t="shared" si="214"/>
        <v>0</v>
      </c>
      <c r="R445" s="3" t="str">
        <f t="shared" si="215"/>
        <v>0</v>
      </c>
      <c r="S445" s="3">
        <f t="shared" si="216"/>
        <v>0</v>
      </c>
      <c r="T445" s="3" t="str">
        <f t="shared" si="217"/>
        <v>0</v>
      </c>
      <c r="U445" s="3"/>
      <c r="V445" s="3"/>
      <c r="W445" s="3"/>
      <c r="X445" s="3"/>
      <c r="Y445" s="3"/>
      <c r="Z445" s="3"/>
    </row>
    <row r="446" spans="1:26" x14ac:dyDescent="0.25">
      <c r="A446" s="2">
        <v>46118</v>
      </c>
      <c r="B446" s="3" t="s">
        <v>170</v>
      </c>
      <c r="C446" s="169" t="s">
        <v>236</v>
      </c>
      <c r="D446" s="4">
        <v>968.521657</v>
      </c>
      <c r="E446" s="209">
        <v>0.995</v>
      </c>
      <c r="F446" s="184">
        <f t="shared" si="234"/>
        <v>963.67904871500002</v>
      </c>
      <c r="G446" s="211">
        <f t="shared" si="233"/>
        <v>0</v>
      </c>
      <c r="H446" s="222"/>
      <c r="I446" s="3" t="str">
        <f t="shared" si="206"/>
        <v>0</v>
      </c>
      <c r="J446" s="3" t="str">
        <f t="shared" si="207"/>
        <v>0</v>
      </c>
      <c r="K446" s="3" t="str">
        <f t="shared" si="208"/>
        <v>0</v>
      </c>
      <c r="L446" s="3" t="str">
        <f t="shared" si="209"/>
        <v>0</v>
      </c>
      <c r="M446" s="3">
        <f t="shared" si="210"/>
        <v>0</v>
      </c>
      <c r="N446" s="3">
        <f t="shared" si="211"/>
        <v>0</v>
      </c>
      <c r="O446" s="3">
        <f t="shared" si="212"/>
        <v>968.521657</v>
      </c>
      <c r="P446" s="3" t="str">
        <f t="shared" si="213"/>
        <v>0</v>
      </c>
      <c r="Q446" s="3">
        <f t="shared" si="214"/>
        <v>963.67904871500002</v>
      </c>
      <c r="R446" s="3" t="str">
        <f t="shared" si="215"/>
        <v>0</v>
      </c>
      <c r="S446" s="3">
        <f t="shared" si="216"/>
        <v>0</v>
      </c>
      <c r="T446" s="3" t="str">
        <f t="shared" si="217"/>
        <v>0</v>
      </c>
      <c r="U446" s="3"/>
      <c r="V446" s="3"/>
      <c r="W446" s="3"/>
      <c r="X446" s="3"/>
      <c r="Y446" s="3"/>
      <c r="Z446" s="3"/>
    </row>
    <row r="447" spans="1:26" x14ac:dyDescent="0.25">
      <c r="A447" s="2">
        <v>46119</v>
      </c>
      <c r="B447" s="3" t="s">
        <v>169</v>
      </c>
      <c r="C447" s="169" t="s">
        <v>236</v>
      </c>
      <c r="D447" s="4">
        <v>1394.8031679999999</v>
      </c>
      <c r="E447" s="5">
        <v>0.92</v>
      </c>
      <c r="F447" s="6">
        <f t="shared" si="234"/>
        <v>1283.21891456</v>
      </c>
      <c r="G447" s="223">
        <f t="shared" si="233"/>
        <v>4.0143298556087021</v>
      </c>
      <c r="H447" s="7">
        <v>5599.2</v>
      </c>
      <c r="I447" s="158">
        <f t="shared" si="206"/>
        <v>1394.8031679999999</v>
      </c>
      <c r="J447" s="3" t="str">
        <f t="shared" si="207"/>
        <v>0</v>
      </c>
      <c r="K447" s="3">
        <f t="shared" si="208"/>
        <v>1283.21891456</v>
      </c>
      <c r="L447" s="3" t="str">
        <f t="shared" si="209"/>
        <v>0</v>
      </c>
      <c r="M447" s="3">
        <f t="shared" si="210"/>
        <v>5879.16</v>
      </c>
      <c r="N447" s="3">
        <f t="shared" si="211"/>
        <v>0</v>
      </c>
      <c r="O447" s="3" t="str">
        <f t="shared" si="212"/>
        <v>0</v>
      </c>
      <c r="P447" s="3" t="str">
        <f t="shared" si="213"/>
        <v>0</v>
      </c>
      <c r="Q447" s="3" t="str">
        <f t="shared" si="214"/>
        <v>0</v>
      </c>
      <c r="R447" s="3" t="str">
        <f t="shared" si="215"/>
        <v>0</v>
      </c>
      <c r="S447" s="3">
        <f t="shared" si="216"/>
        <v>0</v>
      </c>
      <c r="T447" s="3" t="str">
        <f t="shared" si="217"/>
        <v>0</v>
      </c>
      <c r="U447" s="3"/>
      <c r="V447" s="3"/>
      <c r="W447" s="3"/>
      <c r="X447" s="3"/>
      <c r="Y447" s="3"/>
      <c r="Z447" s="3"/>
    </row>
    <row r="448" spans="1:26" x14ac:dyDescent="0.25">
      <c r="A448" s="2">
        <v>46119</v>
      </c>
      <c r="B448" s="3" t="s">
        <v>169</v>
      </c>
      <c r="C448" s="169" t="s">
        <v>229</v>
      </c>
      <c r="D448" s="4">
        <v>463.01375999999993</v>
      </c>
      <c r="E448" s="5">
        <v>0.88</v>
      </c>
      <c r="F448" s="6">
        <f t="shared" si="234"/>
        <v>407.45210879999996</v>
      </c>
      <c r="G448" s="223">
        <f t="shared" si="233"/>
        <v>10.056072631621145</v>
      </c>
      <c r="H448" s="7">
        <v>4656.1000000000004</v>
      </c>
      <c r="I448" s="158">
        <f t="shared" si="206"/>
        <v>463.01375999999993</v>
      </c>
      <c r="J448" s="3" t="str">
        <f t="shared" si="207"/>
        <v>0</v>
      </c>
      <c r="K448" s="3">
        <f t="shared" si="208"/>
        <v>407.45210879999996</v>
      </c>
      <c r="L448" s="3" t="str">
        <f t="shared" si="209"/>
        <v>0</v>
      </c>
      <c r="M448" s="3">
        <f t="shared" si="210"/>
        <v>4888.9050000000007</v>
      </c>
      <c r="N448" s="3">
        <f t="shared" si="211"/>
        <v>0</v>
      </c>
      <c r="O448" s="3" t="str">
        <f t="shared" si="212"/>
        <v>0</v>
      </c>
      <c r="P448" s="3" t="str">
        <f t="shared" si="213"/>
        <v>0</v>
      </c>
      <c r="Q448" s="3" t="str">
        <f t="shared" si="214"/>
        <v>0</v>
      </c>
      <c r="R448" s="3" t="str">
        <f t="shared" si="215"/>
        <v>0</v>
      </c>
      <c r="S448" s="3">
        <f t="shared" si="216"/>
        <v>0</v>
      </c>
      <c r="T448" s="3" t="str">
        <f t="shared" si="217"/>
        <v>0</v>
      </c>
      <c r="U448" s="3"/>
      <c r="V448" s="3"/>
      <c r="W448" s="3"/>
      <c r="X448" s="3"/>
      <c r="Y448" s="3"/>
      <c r="Z448" s="3"/>
    </row>
    <row r="449" spans="1:26" x14ac:dyDescent="0.25">
      <c r="A449" s="2">
        <v>46119</v>
      </c>
      <c r="B449" s="3" t="s">
        <v>169</v>
      </c>
      <c r="C449" s="3" t="s">
        <v>230</v>
      </c>
      <c r="D449" s="4">
        <v>184.77184</v>
      </c>
      <c r="E449" s="5">
        <v>0.88</v>
      </c>
      <c r="F449" s="6">
        <f t="shared" si="234"/>
        <v>162.59921919999999</v>
      </c>
      <c r="G449" s="223">
        <f t="shared" si="233"/>
        <v>8.3935950413223139</v>
      </c>
      <c r="H449" s="7">
        <v>1550.9</v>
      </c>
      <c r="I449" s="158">
        <f t="shared" si="206"/>
        <v>184.77184</v>
      </c>
      <c r="J449" s="3" t="str">
        <f t="shared" si="207"/>
        <v>0</v>
      </c>
      <c r="K449" s="3">
        <f t="shared" si="208"/>
        <v>162.59921919999999</v>
      </c>
      <c r="L449" s="3" t="str">
        <f t="shared" si="209"/>
        <v>0</v>
      </c>
      <c r="M449" s="3">
        <f t="shared" si="210"/>
        <v>1628.4450000000002</v>
      </c>
      <c r="N449" s="3">
        <f t="shared" si="211"/>
        <v>0</v>
      </c>
      <c r="O449" s="3" t="str">
        <f t="shared" si="212"/>
        <v>0</v>
      </c>
      <c r="P449" s="3" t="str">
        <f t="shared" si="213"/>
        <v>0</v>
      </c>
      <c r="Q449" s="3" t="str">
        <f t="shared" si="214"/>
        <v>0</v>
      </c>
      <c r="R449" s="3" t="str">
        <f t="shared" si="215"/>
        <v>0</v>
      </c>
      <c r="S449" s="3">
        <f t="shared" si="216"/>
        <v>0</v>
      </c>
      <c r="T449" s="3" t="str">
        <f t="shared" si="217"/>
        <v>0</v>
      </c>
      <c r="U449" s="3"/>
      <c r="V449" s="3"/>
      <c r="W449" s="3"/>
      <c r="X449" s="3"/>
      <c r="Y449" s="3"/>
      <c r="Z449" s="3"/>
    </row>
    <row r="450" spans="1:26" x14ac:dyDescent="0.25">
      <c r="A450" s="2">
        <v>46119</v>
      </c>
      <c r="B450" s="3" t="s">
        <v>169</v>
      </c>
      <c r="C450" s="169" t="s">
        <v>228</v>
      </c>
      <c r="D450" s="4">
        <v>950.81404000000009</v>
      </c>
      <c r="E450" s="5">
        <v>0.88</v>
      </c>
      <c r="F450" s="6">
        <f t="shared" si="234"/>
        <v>836.71635520000007</v>
      </c>
      <c r="G450" s="223">
        <f t="shared" si="233"/>
        <v>12.227627602133431</v>
      </c>
      <c r="H450" s="7">
        <v>11626.2</v>
      </c>
      <c r="I450" s="158">
        <f t="shared" ref="I450:I513" si="235">IF(B450="SALES",D450,"0")</f>
        <v>950.81404000000009</v>
      </c>
      <c r="J450" s="3" t="str">
        <f t="shared" ref="J450:J513" si="236">IF(B450="SALES RETURN",D450,"0")</f>
        <v>0</v>
      </c>
      <c r="K450" s="3">
        <f t="shared" ref="K450:K513" si="237">IF(B450="SALES",F450,"0")</f>
        <v>836.71635520000007</v>
      </c>
      <c r="L450" s="3" t="str">
        <f t="shared" ref="L450:L513" si="238">IF(B450="SALES RETURN",F450,"0")</f>
        <v>0</v>
      </c>
      <c r="M450" s="3">
        <f t="shared" ref="M450:M513" si="239">IF(B450="SALES",H450,"0")+IF(B450="SALES",H450,"0")*5%</f>
        <v>12207.51</v>
      </c>
      <c r="N450" s="3">
        <f t="shared" ref="N450:N513" si="240">IF(B450="SALES RETURN",H450,"0")+IF(B450="SALES RETURN",H450,"0")*5%</f>
        <v>0</v>
      </c>
      <c r="O450" s="3" t="str">
        <f t="shared" ref="O450:O513" si="241">IF(B450="PURCHASE",D450,"0")</f>
        <v>0</v>
      </c>
      <c r="P450" s="3" t="str">
        <f t="shared" ref="P450:P513" si="242">IF(B450="METAL PAYMENT",D450,"0")</f>
        <v>0</v>
      </c>
      <c r="Q450" s="3" t="str">
        <f t="shared" ref="Q450:Q513" si="243">IF(B450="PURCHASE",F450,"0")</f>
        <v>0</v>
      </c>
      <c r="R450" s="3" t="str">
        <f t="shared" ref="R450:R513" si="244">IF(B450="METAL PAYMENT",F450,"0")</f>
        <v>0</v>
      </c>
      <c r="S450" s="3">
        <f t="shared" ref="S450:S513" si="245">IF(B450="PURCHASE",H450,"0")+IF(B450="PURCHASE",H450,"0")*5%</f>
        <v>0</v>
      </c>
      <c r="T450" s="3" t="str">
        <f t="shared" ref="T450:T513" si="246">IF(B450="METAL PAYMENT",H450,"0")</f>
        <v>0</v>
      </c>
      <c r="U450" s="3"/>
      <c r="V450" s="3"/>
      <c r="W450" s="3"/>
      <c r="X450" s="3"/>
      <c r="Y450" s="3"/>
      <c r="Z450" s="3"/>
    </row>
    <row r="451" spans="1:26" x14ac:dyDescent="0.25">
      <c r="A451" s="2">
        <v>46119</v>
      </c>
      <c r="B451" s="3" t="s">
        <v>170</v>
      </c>
      <c r="C451" s="3" t="s">
        <v>230</v>
      </c>
      <c r="D451" s="4">
        <v>411.65239500000001</v>
      </c>
      <c r="E451" s="209">
        <v>0.995</v>
      </c>
      <c r="F451" s="184">
        <f>D451*E451</f>
        <v>409.59413302500002</v>
      </c>
      <c r="G451" s="223">
        <f t="shared" si="233"/>
        <v>0</v>
      </c>
      <c r="H451" s="219"/>
      <c r="I451" s="158" t="str">
        <f t="shared" si="235"/>
        <v>0</v>
      </c>
      <c r="J451" s="3" t="str">
        <f t="shared" si="236"/>
        <v>0</v>
      </c>
      <c r="K451" s="3" t="str">
        <f t="shared" si="237"/>
        <v>0</v>
      </c>
      <c r="L451" s="3" t="str">
        <f t="shared" si="238"/>
        <v>0</v>
      </c>
      <c r="M451" s="3">
        <f t="shared" si="239"/>
        <v>0</v>
      </c>
      <c r="N451" s="3">
        <f t="shared" si="240"/>
        <v>0</v>
      </c>
      <c r="O451" s="3">
        <f t="shared" si="241"/>
        <v>411.65239500000001</v>
      </c>
      <c r="P451" s="3" t="str">
        <f t="shared" si="242"/>
        <v>0</v>
      </c>
      <c r="Q451" s="3">
        <f t="shared" si="243"/>
        <v>409.59413302500002</v>
      </c>
      <c r="R451" s="3" t="str">
        <f t="shared" si="244"/>
        <v>0</v>
      </c>
      <c r="S451" s="3">
        <f t="shared" si="245"/>
        <v>0</v>
      </c>
      <c r="T451" s="3" t="str">
        <f t="shared" si="246"/>
        <v>0</v>
      </c>
      <c r="U451" s="3"/>
      <c r="V451" s="3"/>
      <c r="W451" s="3"/>
      <c r="X451" s="3"/>
      <c r="Y451" s="3"/>
      <c r="Z451" s="3"/>
    </row>
    <row r="452" spans="1:26" x14ac:dyDescent="0.25">
      <c r="A452" s="2">
        <v>46119</v>
      </c>
      <c r="B452" s="3" t="s">
        <v>170</v>
      </c>
      <c r="C452" s="169" t="s">
        <v>229</v>
      </c>
      <c r="D452" s="4">
        <v>990.02499999999998</v>
      </c>
      <c r="E452" s="209">
        <v>0.995</v>
      </c>
      <c r="F452" s="184">
        <f>D452*E452</f>
        <v>985.07487500000002</v>
      </c>
      <c r="G452" s="223">
        <f t="shared" si="233"/>
        <v>0</v>
      </c>
      <c r="H452" s="219"/>
      <c r="I452" s="158" t="str">
        <f t="shared" si="235"/>
        <v>0</v>
      </c>
      <c r="J452" s="3" t="str">
        <f t="shared" si="236"/>
        <v>0</v>
      </c>
      <c r="K452" s="3" t="str">
        <f t="shared" si="237"/>
        <v>0</v>
      </c>
      <c r="L452" s="3" t="str">
        <f t="shared" si="238"/>
        <v>0</v>
      </c>
      <c r="M452" s="3">
        <f t="shared" si="239"/>
        <v>0</v>
      </c>
      <c r="N452" s="3">
        <f t="shared" si="240"/>
        <v>0</v>
      </c>
      <c r="O452" s="3">
        <f t="shared" si="241"/>
        <v>990.02499999999998</v>
      </c>
      <c r="P452" s="3" t="str">
        <f t="shared" si="242"/>
        <v>0</v>
      </c>
      <c r="Q452" s="3">
        <f t="shared" si="243"/>
        <v>985.07487500000002</v>
      </c>
      <c r="R452" s="3" t="str">
        <f t="shared" si="244"/>
        <v>0</v>
      </c>
      <c r="S452" s="3">
        <f t="shared" si="245"/>
        <v>0</v>
      </c>
      <c r="T452" s="3" t="str">
        <f t="shared" si="246"/>
        <v>0</v>
      </c>
      <c r="U452" s="3"/>
      <c r="V452" s="3"/>
      <c r="W452" s="3"/>
      <c r="X452" s="3"/>
      <c r="Y452" s="3"/>
      <c r="Z452" s="3"/>
    </row>
    <row r="453" spans="1:26" x14ac:dyDescent="0.25">
      <c r="A453" s="2">
        <v>46119</v>
      </c>
      <c r="B453" s="3" t="s">
        <v>170</v>
      </c>
      <c r="C453" s="169" t="s">
        <v>236</v>
      </c>
      <c r="D453" s="4">
        <v>1458.2</v>
      </c>
      <c r="E453" s="209">
        <v>1</v>
      </c>
      <c r="F453" s="184">
        <f>D453*E453</f>
        <v>1458.2</v>
      </c>
      <c r="G453" s="223">
        <f t="shared" si="233"/>
        <v>0</v>
      </c>
      <c r="H453" s="219"/>
      <c r="I453" s="158" t="str">
        <f t="shared" si="235"/>
        <v>0</v>
      </c>
      <c r="J453" s="3" t="str">
        <f t="shared" si="236"/>
        <v>0</v>
      </c>
      <c r="K453" s="3" t="str">
        <f t="shared" si="237"/>
        <v>0</v>
      </c>
      <c r="L453" s="3" t="str">
        <f t="shared" si="238"/>
        <v>0</v>
      </c>
      <c r="M453" s="3">
        <f t="shared" si="239"/>
        <v>0</v>
      </c>
      <c r="N453" s="3">
        <f t="shared" si="240"/>
        <v>0</v>
      </c>
      <c r="O453" s="3">
        <f t="shared" si="241"/>
        <v>1458.2</v>
      </c>
      <c r="P453" s="3" t="str">
        <f t="shared" si="242"/>
        <v>0</v>
      </c>
      <c r="Q453" s="3">
        <f t="shared" si="243"/>
        <v>1458.2</v>
      </c>
      <c r="R453" s="3" t="str">
        <f t="shared" si="244"/>
        <v>0</v>
      </c>
      <c r="S453" s="3">
        <f t="shared" si="245"/>
        <v>0</v>
      </c>
      <c r="T453" s="3" t="str">
        <f t="shared" si="246"/>
        <v>0</v>
      </c>
      <c r="U453" s="3"/>
      <c r="V453" s="3"/>
      <c r="W453" s="3"/>
      <c r="X453" s="3"/>
      <c r="Y453" s="3"/>
      <c r="Z453" s="3"/>
    </row>
    <row r="454" spans="1:26" x14ac:dyDescent="0.25">
      <c r="A454" s="2">
        <v>46119</v>
      </c>
      <c r="B454" s="3" t="s">
        <v>170</v>
      </c>
      <c r="C454" s="169" t="s">
        <v>228</v>
      </c>
      <c r="D454" s="4">
        <v>1000</v>
      </c>
      <c r="E454" s="209">
        <v>0.995</v>
      </c>
      <c r="F454" s="184">
        <f>D454*E454</f>
        <v>995</v>
      </c>
      <c r="G454" s="223">
        <f t="shared" si="233"/>
        <v>0</v>
      </c>
      <c r="H454" s="219"/>
      <c r="I454" s="158" t="str">
        <f t="shared" si="235"/>
        <v>0</v>
      </c>
      <c r="J454" s="3" t="str">
        <f t="shared" si="236"/>
        <v>0</v>
      </c>
      <c r="K454" s="3" t="str">
        <f t="shared" si="237"/>
        <v>0</v>
      </c>
      <c r="L454" s="3" t="str">
        <f t="shared" si="238"/>
        <v>0</v>
      </c>
      <c r="M454" s="3">
        <f t="shared" si="239"/>
        <v>0</v>
      </c>
      <c r="N454" s="3">
        <f t="shared" si="240"/>
        <v>0</v>
      </c>
      <c r="O454" s="3">
        <f t="shared" si="241"/>
        <v>1000</v>
      </c>
      <c r="P454" s="3" t="str">
        <f t="shared" si="242"/>
        <v>0</v>
      </c>
      <c r="Q454" s="3">
        <f t="shared" si="243"/>
        <v>995</v>
      </c>
      <c r="R454" s="3" t="str">
        <f t="shared" si="244"/>
        <v>0</v>
      </c>
      <c r="S454" s="3">
        <f t="shared" si="245"/>
        <v>0</v>
      </c>
      <c r="T454" s="3" t="str">
        <f t="shared" si="246"/>
        <v>0</v>
      </c>
      <c r="U454" s="3"/>
      <c r="V454" s="3"/>
      <c r="W454" s="3"/>
      <c r="X454" s="3"/>
      <c r="Y454" s="3"/>
      <c r="Z454" s="3"/>
    </row>
    <row r="455" spans="1:26" x14ac:dyDescent="0.25">
      <c r="A455" s="2">
        <v>46119</v>
      </c>
      <c r="B455" s="3" t="s">
        <v>171</v>
      </c>
      <c r="C455" s="169" t="s">
        <v>236</v>
      </c>
      <c r="D455" s="3"/>
      <c r="E455" s="3"/>
      <c r="F455" s="211">
        <f t="shared" ref="F455:F462" si="247">+D455*E455</f>
        <v>0</v>
      </c>
      <c r="G455" s="224" t="e">
        <f t="shared" si="233"/>
        <v>#DIV/0!</v>
      </c>
      <c r="H455" s="219"/>
      <c r="I455" s="158" t="str">
        <f t="shared" si="235"/>
        <v>0</v>
      </c>
      <c r="J455" s="3" t="str">
        <f t="shared" si="236"/>
        <v>0</v>
      </c>
      <c r="K455" s="3" t="str">
        <f t="shared" si="237"/>
        <v>0</v>
      </c>
      <c r="L455" s="3" t="str">
        <f t="shared" si="238"/>
        <v>0</v>
      </c>
      <c r="M455" s="3">
        <f t="shared" si="239"/>
        <v>0</v>
      </c>
      <c r="N455" s="3">
        <f t="shared" si="240"/>
        <v>0</v>
      </c>
      <c r="O455" s="3" t="str">
        <f t="shared" si="241"/>
        <v>0</v>
      </c>
      <c r="P455" s="3" t="str">
        <f t="shared" si="242"/>
        <v>0</v>
      </c>
      <c r="Q455" s="3" t="str">
        <f t="shared" si="243"/>
        <v>0</v>
      </c>
      <c r="R455" s="3" t="str">
        <f t="shared" si="244"/>
        <v>0</v>
      </c>
      <c r="S455" s="3">
        <f t="shared" si="245"/>
        <v>0</v>
      </c>
      <c r="T455" s="3" t="str">
        <f t="shared" si="246"/>
        <v>0</v>
      </c>
      <c r="U455" s="3">
        <v>5880</v>
      </c>
      <c r="V455" s="3"/>
      <c r="W455" s="3"/>
      <c r="X455" s="3"/>
      <c r="Y455" s="3"/>
      <c r="Z455" s="3"/>
    </row>
    <row r="456" spans="1:26" x14ac:dyDescent="0.25">
      <c r="A456" s="2">
        <v>46120</v>
      </c>
      <c r="B456" s="3" t="s">
        <v>169</v>
      </c>
      <c r="C456" s="3" t="s">
        <v>231</v>
      </c>
      <c r="D456" s="4">
        <v>660.76560000000006</v>
      </c>
      <c r="E456" s="5">
        <v>0.88</v>
      </c>
      <c r="F456" s="6">
        <f t="shared" si="247"/>
        <v>581.47372800000005</v>
      </c>
      <c r="G456" s="223">
        <f t="shared" si="233"/>
        <v>3.9060750135902955</v>
      </c>
      <c r="H456" s="7">
        <v>2581</v>
      </c>
      <c r="I456" s="158">
        <f t="shared" si="235"/>
        <v>660.76560000000006</v>
      </c>
      <c r="J456" s="3" t="str">
        <f t="shared" si="236"/>
        <v>0</v>
      </c>
      <c r="K456" s="3">
        <f t="shared" si="237"/>
        <v>581.47372800000005</v>
      </c>
      <c r="L456" s="3" t="str">
        <f t="shared" si="238"/>
        <v>0</v>
      </c>
      <c r="M456" s="3">
        <f t="shared" si="239"/>
        <v>2710.05</v>
      </c>
      <c r="N456" s="3">
        <f t="shared" si="240"/>
        <v>0</v>
      </c>
      <c r="O456" s="3" t="str">
        <f t="shared" si="241"/>
        <v>0</v>
      </c>
      <c r="P456" s="3" t="str">
        <f t="shared" si="242"/>
        <v>0</v>
      </c>
      <c r="Q456" s="3" t="str">
        <f t="shared" si="243"/>
        <v>0</v>
      </c>
      <c r="R456" s="3" t="str">
        <f t="shared" si="244"/>
        <v>0</v>
      </c>
      <c r="S456" s="3">
        <f t="shared" si="245"/>
        <v>0</v>
      </c>
      <c r="T456" s="3" t="str">
        <f t="shared" si="246"/>
        <v>0</v>
      </c>
      <c r="U456" s="3"/>
      <c r="V456" s="3"/>
      <c r="W456" s="3"/>
      <c r="X456" s="3"/>
      <c r="Y456" s="3">
        <v>29969.34</v>
      </c>
      <c r="Z456" s="3">
        <v>708.61800000000005</v>
      </c>
    </row>
    <row r="457" spans="1:26" x14ac:dyDescent="0.25">
      <c r="A457" s="2">
        <v>46120</v>
      </c>
      <c r="B457" s="3" t="s">
        <v>169</v>
      </c>
      <c r="C457" s="169" t="s">
        <v>240</v>
      </c>
      <c r="D457" s="4">
        <v>664.66399999999999</v>
      </c>
      <c r="E457" s="5">
        <v>0.88</v>
      </c>
      <c r="F457" s="6">
        <f t="shared" si="247"/>
        <v>584.90431999999998</v>
      </c>
      <c r="G457" s="223">
        <f t="shared" si="233"/>
        <v>29.848765692139189</v>
      </c>
      <c r="H457" s="7">
        <v>19839.400000000001</v>
      </c>
      <c r="I457" s="158">
        <f t="shared" si="235"/>
        <v>664.66399999999999</v>
      </c>
      <c r="J457" s="3" t="str">
        <f t="shared" si="236"/>
        <v>0</v>
      </c>
      <c r="K457" s="3">
        <f t="shared" si="237"/>
        <v>584.90431999999998</v>
      </c>
      <c r="L457" s="3" t="str">
        <f t="shared" si="238"/>
        <v>0</v>
      </c>
      <c r="M457" s="3">
        <f t="shared" si="239"/>
        <v>20831.370000000003</v>
      </c>
      <c r="N457" s="3">
        <f t="shared" si="240"/>
        <v>0</v>
      </c>
      <c r="O457" s="3" t="str">
        <f t="shared" si="241"/>
        <v>0</v>
      </c>
      <c r="P457" s="3" t="str">
        <f t="shared" si="242"/>
        <v>0</v>
      </c>
      <c r="Q457" s="3" t="str">
        <f t="shared" si="243"/>
        <v>0</v>
      </c>
      <c r="R457" s="3" t="str">
        <f t="shared" si="244"/>
        <v>0</v>
      </c>
      <c r="S457" s="3">
        <f t="shared" si="245"/>
        <v>0</v>
      </c>
      <c r="T457" s="3" t="str">
        <f t="shared" si="246"/>
        <v>0</v>
      </c>
      <c r="U457" s="3"/>
      <c r="V457" s="3"/>
      <c r="W457" s="3"/>
      <c r="X457" s="3"/>
      <c r="Y457" s="3">
        <v>14.31</v>
      </c>
      <c r="Z457" s="3">
        <v>3.9E-2</v>
      </c>
    </row>
    <row r="458" spans="1:26" x14ac:dyDescent="0.25">
      <c r="A458" s="2">
        <v>46120</v>
      </c>
      <c r="B458" s="3" t="s">
        <v>169</v>
      </c>
      <c r="C458" s="169" t="s">
        <v>228</v>
      </c>
      <c r="D458" s="4">
        <v>973.39679999999998</v>
      </c>
      <c r="E458" s="5">
        <v>0.88</v>
      </c>
      <c r="F458" s="6">
        <f t="shared" si="247"/>
        <v>856.58918400000005</v>
      </c>
      <c r="G458" s="223">
        <f t="shared" si="233"/>
        <v>14.437483254516554</v>
      </c>
      <c r="H458" s="7">
        <v>14053.4</v>
      </c>
      <c r="I458" s="158">
        <f t="shared" si="235"/>
        <v>973.39679999999998</v>
      </c>
      <c r="J458" s="3" t="str">
        <f t="shared" si="236"/>
        <v>0</v>
      </c>
      <c r="K458" s="3">
        <f t="shared" si="237"/>
        <v>856.58918400000005</v>
      </c>
      <c r="L458" s="3" t="str">
        <f t="shared" si="238"/>
        <v>0</v>
      </c>
      <c r="M458" s="3">
        <f t="shared" si="239"/>
        <v>14756.07</v>
      </c>
      <c r="N458" s="3">
        <f t="shared" si="240"/>
        <v>0</v>
      </c>
      <c r="O458" s="3" t="str">
        <f t="shared" si="241"/>
        <v>0</v>
      </c>
      <c r="P458" s="3" t="str">
        <f t="shared" si="242"/>
        <v>0</v>
      </c>
      <c r="Q458" s="3" t="str">
        <f t="shared" si="243"/>
        <v>0</v>
      </c>
      <c r="R458" s="3" t="str">
        <f t="shared" si="244"/>
        <v>0</v>
      </c>
      <c r="S458" s="3">
        <f t="shared" si="245"/>
        <v>0</v>
      </c>
      <c r="T458" s="3" t="str">
        <f t="shared" si="246"/>
        <v>0</v>
      </c>
      <c r="U458" s="3"/>
      <c r="V458" s="3"/>
      <c r="W458" s="3"/>
      <c r="X458" s="3"/>
      <c r="Y458" s="3"/>
      <c r="Z458" s="3"/>
    </row>
    <row r="459" spans="1:26" x14ac:dyDescent="0.25">
      <c r="A459" s="2">
        <v>46120</v>
      </c>
      <c r="B459" s="3" t="s">
        <v>170</v>
      </c>
      <c r="C459" s="169" t="s">
        <v>240</v>
      </c>
      <c r="D459" s="4">
        <v>973.3886</v>
      </c>
      <c r="E459" s="209">
        <v>0.995</v>
      </c>
      <c r="F459" s="6">
        <f t="shared" si="247"/>
        <v>968.521657</v>
      </c>
      <c r="G459" s="6">
        <f t="shared" si="233"/>
        <v>0</v>
      </c>
      <c r="H459" s="225"/>
      <c r="I459" s="3" t="str">
        <f t="shared" si="235"/>
        <v>0</v>
      </c>
      <c r="J459" s="3" t="str">
        <f t="shared" si="236"/>
        <v>0</v>
      </c>
      <c r="K459" s="3" t="str">
        <f t="shared" si="237"/>
        <v>0</v>
      </c>
      <c r="L459" s="3" t="str">
        <f t="shared" si="238"/>
        <v>0</v>
      </c>
      <c r="M459" s="3">
        <f t="shared" si="239"/>
        <v>0</v>
      </c>
      <c r="N459" s="3">
        <f t="shared" si="240"/>
        <v>0</v>
      </c>
      <c r="O459" s="3">
        <f t="shared" si="241"/>
        <v>973.3886</v>
      </c>
      <c r="P459" s="3" t="str">
        <f t="shared" si="242"/>
        <v>0</v>
      </c>
      <c r="Q459" s="3">
        <f t="shared" si="243"/>
        <v>968.521657</v>
      </c>
      <c r="R459" s="3" t="str">
        <f t="shared" si="244"/>
        <v>0</v>
      </c>
      <c r="S459" s="3">
        <f t="shared" si="245"/>
        <v>0</v>
      </c>
      <c r="T459" s="3" t="str">
        <f t="shared" si="246"/>
        <v>0</v>
      </c>
      <c r="U459" s="3"/>
      <c r="V459" s="3"/>
      <c r="W459" s="3"/>
      <c r="X459" s="3"/>
      <c r="Y459" s="3"/>
      <c r="Z459" s="3"/>
    </row>
    <row r="460" spans="1:26" x14ac:dyDescent="0.25">
      <c r="A460" s="2">
        <v>46121</v>
      </c>
      <c r="B460" s="3" t="s">
        <v>169</v>
      </c>
      <c r="C460" s="3" t="s">
        <v>230</v>
      </c>
      <c r="D460" s="4">
        <v>1585.0036</v>
      </c>
      <c r="E460" s="5">
        <v>0.88</v>
      </c>
      <c r="F460" s="6">
        <f t="shared" si="247"/>
        <v>1394.8031679999999</v>
      </c>
      <c r="G460" s="223">
        <f t="shared" si="233"/>
        <v>4.8261089123078333</v>
      </c>
      <c r="H460" s="7">
        <v>7649.4</v>
      </c>
      <c r="I460" s="158">
        <f t="shared" si="235"/>
        <v>1585.0036</v>
      </c>
      <c r="J460" s="3" t="str">
        <f t="shared" si="236"/>
        <v>0</v>
      </c>
      <c r="K460" s="3">
        <f t="shared" si="237"/>
        <v>1394.8031679999999</v>
      </c>
      <c r="L460" s="3" t="str">
        <f t="shared" si="238"/>
        <v>0</v>
      </c>
      <c r="M460" s="3">
        <f t="shared" si="239"/>
        <v>8031.87</v>
      </c>
      <c r="N460" s="3">
        <f t="shared" si="240"/>
        <v>0</v>
      </c>
      <c r="O460" s="3" t="str">
        <f t="shared" si="241"/>
        <v>0</v>
      </c>
      <c r="P460" s="3" t="str">
        <f t="shared" si="242"/>
        <v>0</v>
      </c>
      <c r="Q460" s="3" t="str">
        <f t="shared" si="243"/>
        <v>0</v>
      </c>
      <c r="R460" s="3" t="str">
        <f t="shared" si="244"/>
        <v>0</v>
      </c>
      <c r="S460" s="3">
        <f t="shared" si="245"/>
        <v>0</v>
      </c>
      <c r="T460" s="3" t="str">
        <f t="shared" si="246"/>
        <v>0</v>
      </c>
      <c r="U460" s="3"/>
      <c r="V460" s="3"/>
      <c r="W460" s="3"/>
      <c r="X460" s="3"/>
      <c r="Y460" s="3"/>
      <c r="Z460" s="3"/>
    </row>
    <row r="461" spans="1:26" x14ac:dyDescent="0.25">
      <c r="A461" s="2">
        <v>46121</v>
      </c>
      <c r="B461" s="3" t="s">
        <v>169</v>
      </c>
      <c r="C461" s="169" t="s">
        <v>246</v>
      </c>
      <c r="D461" s="4">
        <v>526.15199999999993</v>
      </c>
      <c r="E461" s="5">
        <v>0.88</v>
      </c>
      <c r="F461" s="6">
        <f t="shared" si="247"/>
        <v>463.01375999999993</v>
      </c>
      <c r="G461" s="223">
        <f t="shared" si="233"/>
        <v>6.7310206936398611</v>
      </c>
      <c r="H461" s="7">
        <v>3541.54</v>
      </c>
      <c r="I461" s="158">
        <f t="shared" si="235"/>
        <v>526.15199999999993</v>
      </c>
      <c r="J461" s="3" t="str">
        <f t="shared" si="236"/>
        <v>0</v>
      </c>
      <c r="K461" s="3">
        <f t="shared" si="237"/>
        <v>463.01375999999993</v>
      </c>
      <c r="L461" s="3" t="str">
        <f t="shared" si="238"/>
        <v>0</v>
      </c>
      <c r="M461" s="3">
        <f t="shared" si="239"/>
        <v>3718.6170000000002</v>
      </c>
      <c r="N461" s="3">
        <f t="shared" si="240"/>
        <v>0</v>
      </c>
      <c r="O461" s="3" t="str">
        <f t="shared" si="241"/>
        <v>0</v>
      </c>
      <c r="P461" s="3" t="str">
        <f t="shared" si="242"/>
        <v>0</v>
      </c>
      <c r="Q461" s="3" t="str">
        <f t="shared" si="243"/>
        <v>0</v>
      </c>
      <c r="R461" s="3" t="str">
        <f t="shared" si="244"/>
        <v>0</v>
      </c>
      <c r="S461" s="3">
        <f t="shared" si="245"/>
        <v>0</v>
      </c>
      <c r="T461" s="3" t="str">
        <f t="shared" si="246"/>
        <v>0</v>
      </c>
      <c r="U461" s="3"/>
      <c r="V461" s="3"/>
      <c r="W461" s="3"/>
      <c r="X461" s="3"/>
      <c r="Y461" s="3"/>
      <c r="Z461" s="3"/>
    </row>
    <row r="462" spans="1:26" x14ac:dyDescent="0.25">
      <c r="A462" s="2">
        <v>46121</v>
      </c>
      <c r="B462" s="3" t="s">
        <v>169</v>
      </c>
      <c r="C462" s="169" t="s">
        <v>228</v>
      </c>
      <c r="D462" s="4">
        <v>209.96799999999999</v>
      </c>
      <c r="E462" s="5">
        <v>0.88</v>
      </c>
      <c r="F462" s="6">
        <f t="shared" si="247"/>
        <v>184.77184</v>
      </c>
      <c r="G462" s="223">
        <f t="shared" si="233"/>
        <v>9.8917454088242014</v>
      </c>
      <c r="H462" s="7">
        <v>2076.9499999999998</v>
      </c>
      <c r="I462" s="158">
        <f t="shared" si="235"/>
        <v>209.96799999999999</v>
      </c>
      <c r="J462" s="3" t="str">
        <f t="shared" si="236"/>
        <v>0</v>
      </c>
      <c r="K462" s="3">
        <f t="shared" si="237"/>
        <v>184.77184</v>
      </c>
      <c r="L462" s="3" t="str">
        <f t="shared" si="238"/>
        <v>0</v>
      </c>
      <c r="M462" s="3">
        <f t="shared" si="239"/>
        <v>2180.7974999999997</v>
      </c>
      <c r="N462" s="3">
        <f t="shared" si="240"/>
        <v>0</v>
      </c>
      <c r="O462" s="3" t="str">
        <f t="shared" si="241"/>
        <v>0</v>
      </c>
      <c r="P462" s="3" t="str">
        <f t="shared" si="242"/>
        <v>0</v>
      </c>
      <c r="Q462" s="3" t="str">
        <f t="shared" si="243"/>
        <v>0</v>
      </c>
      <c r="R462" s="3" t="str">
        <f t="shared" si="244"/>
        <v>0</v>
      </c>
      <c r="S462" s="3">
        <f t="shared" si="245"/>
        <v>0</v>
      </c>
      <c r="T462" s="3" t="str">
        <f t="shared" si="246"/>
        <v>0</v>
      </c>
      <c r="U462" s="3"/>
      <c r="V462" s="3"/>
      <c r="W462" s="3"/>
      <c r="X462" s="3"/>
      <c r="Y462" s="3"/>
      <c r="Z462" s="3"/>
    </row>
    <row r="463" spans="1:26" x14ac:dyDescent="0.25">
      <c r="A463" s="2">
        <v>46121</v>
      </c>
      <c r="B463" s="3" t="s">
        <v>170</v>
      </c>
      <c r="C463" s="3" t="s">
        <v>231</v>
      </c>
      <c r="D463" s="4">
        <v>955.5920000000001</v>
      </c>
      <c r="E463" s="209">
        <v>0.995</v>
      </c>
      <c r="F463" s="184">
        <f>D463*E463</f>
        <v>950.81404000000009</v>
      </c>
      <c r="G463" s="223"/>
      <c r="H463" s="210"/>
      <c r="I463" s="158" t="str">
        <f t="shared" si="235"/>
        <v>0</v>
      </c>
      <c r="J463" s="3" t="str">
        <f t="shared" si="236"/>
        <v>0</v>
      </c>
      <c r="K463" s="3" t="str">
        <f t="shared" si="237"/>
        <v>0</v>
      </c>
      <c r="L463" s="3" t="str">
        <f t="shared" si="238"/>
        <v>0</v>
      </c>
      <c r="M463" s="3">
        <f t="shared" si="239"/>
        <v>0</v>
      </c>
      <c r="N463" s="3">
        <f t="shared" si="240"/>
        <v>0</v>
      </c>
      <c r="O463" s="3">
        <f t="shared" si="241"/>
        <v>955.5920000000001</v>
      </c>
      <c r="P463" s="3" t="str">
        <f t="shared" si="242"/>
        <v>0</v>
      </c>
      <c r="Q463" s="3">
        <f t="shared" si="243"/>
        <v>950.81404000000009</v>
      </c>
      <c r="R463" s="3" t="str">
        <f t="shared" si="244"/>
        <v>0</v>
      </c>
      <c r="S463" s="3">
        <f t="shared" si="245"/>
        <v>0</v>
      </c>
      <c r="T463" s="3" t="str">
        <f t="shared" si="246"/>
        <v>0</v>
      </c>
      <c r="U463" s="3"/>
      <c r="V463" s="3"/>
      <c r="W463" s="3"/>
      <c r="X463" s="3"/>
      <c r="Y463" s="3"/>
      <c r="Z463" s="3"/>
    </row>
    <row r="464" spans="1:26" x14ac:dyDescent="0.25">
      <c r="A464" s="2">
        <v>46121</v>
      </c>
      <c r="B464" s="3" t="s">
        <v>170</v>
      </c>
      <c r="C464" s="169" t="s">
        <v>246</v>
      </c>
      <c r="D464" s="4">
        <v>413.721</v>
      </c>
      <c r="E464" s="209">
        <v>0.995</v>
      </c>
      <c r="F464" s="184">
        <f>D464*E464</f>
        <v>411.65239500000001</v>
      </c>
      <c r="G464" s="223"/>
      <c r="H464" s="210"/>
      <c r="I464" s="158" t="str">
        <f t="shared" si="235"/>
        <v>0</v>
      </c>
      <c r="J464" s="3" t="str">
        <f t="shared" si="236"/>
        <v>0</v>
      </c>
      <c r="K464" s="3" t="str">
        <f t="shared" si="237"/>
        <v>0</v>
      </c>
      <c r="L464" s="3" t="str">
        <f t="shared" si="238"/>
        <v>0</v>
      </c>
      <c r="M464" s="3">
        <f t="shared" si="239"/>
        <v>0</v>
      </c>
      <c r="N464" s="3">
        <f t="shared" si="240"/>
        <v>0</v>
      </c>
      <c r="O464" s="3">
        <f t="shared" si="241"/>
        <v>413.721</v>
      </c>
      <c r="P464" s="3" t="str">
        <f t="shared" si="242"/>
        <v>0</v>
      </c>
      <c r="Q464" s="3">
        <f t="shared" si="243"/>
        <v>411.65239500000001</v>
      </c>
      <c r="R464" s="3" t="str">
        <f t="shared" si="244"/>
        <v>0</v>
      </c>
      <c r="S464" s="3">
        <f t="shared" si="245"/>
        <v>0</v>
      </c>
      <c r="T464" s="3" t="str">
        <f t="shared" si="246"/>
        <v>0</v>
      </c>
      <c r="U464" s="3"/>
      <c r="V464" s="3"/>
      <c r="W464" s="3"/>
      <c r="X464" s="3"/>
      <c r="Y464" s="3"/>
      <c r="Z464" s="3"/>
    </row>
    <row r="465" spans="1:26" x14ac:dyDescent="0.25">
      <c r="A465" s="2">
        <v>46121</v>
      </c>
      <c r="B465" s="3" t="s">
        <v>170</v>
      </c>
      <c r="C465" s="169" t="s">
        <v>228</v>
      </c>
      <c r="D465" s="4">
        <v>995</v>
      </c>
      <c r="E465" s="209">
        <v>0.995</v>
      </c>
      <c r="F465" s="184">
        <f>D465*E465</f>
        <v>990.02499999999998</v>
      </c>
      <c r="G465" s="223"/>
      <c r="H465" s="210"/>
      <c r="I465" s="158" t="str">
        <f t="shared" si="235"/>
        <v>0</v>
      </c>
      <c r="J465" s="3" t="str">
        <f t="shared" si="236"/>
        <v>0</v>
      </c>
      <c r="K465" s="3" t="str">
        <f t="shared" si="237"/>
        <v>0</v>
      </c>
      <c r="L465" s="3" t="str">
        <f t="shared" si="238"/>
        <v>0</v>
      </c>
      <c r="M465" s="3">
        <f t="shared" si="239"/>
        <v>0</v>
      </c>
      <c r="N465" s="3">
        <f t="shared" si="240"/>
        <v>0</v>
      </c>
      <c r="O465" s="3">
        <f t="shared" si="241"/>
        <v>995</v>
      </c>
      <c r="P465" s="3" t="str">
        <f t="shared" si="242"/>
        <v>0</v>
      </c>
      <c r="Q465" s="3">
        <f t="shared" si="243"/>
        <v>990.02499999999998</v>
      </c>
      <c r="R465" s="3" t="str">
        <f t="shared" si="244"/>
        <v>0</v>
      </c>
      <c r="S465" s="3">
        <f t="shared" si="245"/>
        <v>0</v>
      </c>
      <c r="T465" s="3" t="str">
        <f t="shared" si="246"/>
        <v>0</v>
      </c>
      <c r="U465" s="3"/>
      <c r="V465" s="3"/>
      <c r="W465" s="3"/>
      <c r="X465" s="3"/>
      <c r="Y465" s="3"/>
      <c r="Z465" s="3"/>
    </row>
    <row r="466" spans="1:26" x14ac:dyDescent="0.25">
      <c r="A466" s="2">
        <v>46121</v>
      </c>
      <c r="B466" s="3" t="s">
        <v>170</v>
      </c>
      <c r="C466" s="169" t="s">
        <v>239</v>
      </c>
      <c r="D466" s="4">
        <v>1585</v>
      </c>
      <c r="E466" s="209">
        <v>0.92</v>
      </c>
      <c r="F466" s="184">
        <f>D466*E466</f>
        <v>1458.2</v>
      </c>
      <c r="G466" s="223">
        <f>H466/D466</f>
        <v>0.54948264984227124</v>
      </c>
      <c r="H466" s="210">
        <v>870.93</v>
      </c>
      <c r="I466" s="158" t="str">
        <f t="shared" si="235"/>
        <v>0</v>
      </c>
      <c r="J466" s="3" t="str">
        <f t="shared" si="236"/>
        <v>0</v>
      </c>
      <c r="K466" s="3" t="str">
        <f t="shared" si="237"/>
        <v>0</v>
      </c>
      <c r="L466" s="3" t="str">
        <f t="shared" si="238"/>
        <v>0</v>
      </c>
      <c r="M466" s="3">
        <f t="shared" si="239"/>
        <v>0</v>
      </c>
      <c r="N466" s="3">
        <f t="shared" si="240"/>
        <v>0</v>
      </c>
      <c r="O466" s="3">
        <f t="shared" si="241"/>
        <v>1585</v>
      </c>
      <c r="P466" s="3" t="str">
        <f t="shared" si="242"/>
        <v>0</v>
      </c>
      <c r="Q466" s="3">
        <f t="shared" si="243"/>
        <v>1458.2</v>
      </c>
      <c r="R466" s="3" t="str">
        <f t="shared" si="244"/>
        <v>0</v>
      </c>
      <c r="S466" s="3">
        <f t="shared" si="245"/>
        <v>914.47649999999999</v>
      </c>
      <c r="T466" s="3" t="str">
        <f t="shared" si="246"/>
        <v>0</v>
      </c>
      <c r="U466" s="3"/>
      <c r="V466" s="3"/>
      <c r="W466" s="3"/>
      <c r="X466" s="3"/>
      <c r="Y466" s="3">
        <v>-7310.31</v>
      </c>
      <c r="Z466" s="3">
        <v>-128.45500000000001</v>
      </c>
    </row>
    <row r="467" spans="1:26" x14ac:dyDescent="0.25">
      <c r="A467" s="2">
        <v>46121</v>
      </c>
      <c r="B467" s="3" t="s">
        <v>209</v>
      </c>
      <c r="C467" s="169" t="s">
        <v>239</v>
      </c>
      <c r="D467" s="226">
        <v>995</v>
      </c>
      <c r="E467" s="227">
        <v>0.995</v>
      </c>
      <c r="F467" s="228">
        <f>+D467*E467</f>
        <v>990.02499999999998</v>
      </c>
      <c r="G467" s="229">
        <f t="shared" ref="G467:G481" si="248">+H467/D467</f>
        <v>0</v>
      </c>
      <c r="H467" s="225"/>
      <c r="I467" s="3" t="str">
        <f t="shared" si="235"/>
        <v>0</v>
      </c>
      <c r="J467" s="3" t="str">
        <f t="shared" si="236"/>
        <v>0</v>
      </c>
      <c r="K467" s="3" t="str">
        <f t="shared" si="237"/>
        <v>0</v>
      </c>
      <c r="L467" s="3" t="str">
        <f t="shared" si="238"/>
        <v>0</v>
      </c>
      <c r="M467" s="3">
        <f t="shared" si="239"/>
        <v>0</v>
      </c>
      <c r="N467" s="3">
        <f t="shared" si="240"/>
        <v>0</v>
      </c>
      <c r="O467" s="3" t="str">
        <f t="shared" si="241"/>
        <v>0</v>
      </c>
      <c r="P467" s="3">
        <f t="shared" si="242"/>
        <v>995</v>
      </c>
      <c r="Q467" s="3" t="str">
        <f t="shared" si="243"/>
        <v>0</v>
      </c>
      <c r="R467" s="3">
        <f t="shared" si="244"/>
        <v>990.02499999999998</v>
      </c>
      <c r="S467" s="3">
        <f t="shared" si="245"/>
        <v>0</v>
      </c>
      <c r="T467" s="3">
        <f t="shared" si="246"/>
        <v>0</v>
      </c>
      <c r="U467" s="3"/>
      <c r="V467" s="3"/>
      <c r="W467" s="3"/>
      <c r="X467" s="3"/>
      <c r="Y467" s="3"/>
      <c r="Z467" s="3"/>
    </row>
    <row r="468" spans="1:26" x14ac:dyDescent="0.25">
      <c r="A468" s="2">
        <v>46122</v>
      </c>
      <c r="B468" s="157" t="s">
        <v>169</v>
      </c>
      <c r="C468" s="169" t="s">
        <v>247</v>
      </c>
      <c r="D468" s="4">
        <v>354.5</v>
      </c>
      <c r="E468" s="5">
        <v>0.88</v>
      </c>
      <c r="F468" s="6">
        <f>+D468*E468</f>
        <v>311.95999999999998</v>
      </c>
      <c r="G468" s="6">
        <f t="shared" si="248"/>
        <v>5.7881523272214386</v>
      </c>
      <c r="H468" s="7">
        <v>2051.9</v>
      </c>
      <c r="I468" s="158">
        <f t="shared" si="235"/>
        <v>354.5</v>
      </c>
      <c r="J468" s="3" t="str">
        <f t="shared" si="236"/>
        <v>0</v>
      </c>
      <c r="K468" s="3">
        <f t="shared" si="237"/>
        <v>311.95999999999998</v>
      </c>
      <c r="L468" s="3" t="str">
        <f t="shared" si="238"/>
        <v>0</v>
      </c>
      <c r="M468" s="3">
        <f t="shared" si="239"/>
        <v>2154.4949999999999</v>
      </c>
      <c r="N468" s="3">
        <f t="shared" si="240"/>
        <v>0</v>
      </c>
      <c r="O468" s="3" t="str">
        <f t="shared" si="241"/>
        <v>0</v>
      </c>
      <c r="P468" s="3" t="str">
        <f t="shared" si="242"/>
        <v>0</v>
      </c>
      <c r="Q468" s="3" t="str">
        <f t="shared" si="243"/>
        <v>0</v>
      </c>
      <c r="R468" s="3" t="str">
        <f t="shared" si="244"/>
        <v>0</v>
      </c>
      <c r="S468" s="3">
        <f t="shared" si="245"/>
        <v>0</v>
      </c>
      <c r="T468" s="3" t="str">
        <f t="shared" si="246"/>
        <v>0</v>
      </c>
      <c r="U468" s="3"/>
      <c r="V468" s="3"/>
      <c r="W468" s="3"/>
      <c r="X468" s="3"/>
      <c r="Y468" s="3"/>
      <c r="Z468" s="3"/>
    </row>
    <row r="469" spans="1:26" x14ac:dyDescent="0.25">
      <c r="A469" s="2">
        <v>46122</v>
      </c>
      <c r="B469" s="157" t="s">
        <v>169</v>
      </c>
      <c r="C469" s="169" t="s">
        <v>246</v>
      </c>
      <c r="D469" s="4">
        <v>1761.44</v>
      </c>
      <c r="E469" s="5">
        <v>0.88</v>
      </c>
      <c r="F469" s="6">
        <f>+D469*E469</f>
        <v>1550.0672</v>
      </c>
      <c r="G469" s="6">
        <f t="shared" si="248"/>
        <v>6.2580104914161145</v>
      </c>
      <c r="H469" s="7">
        <v>11023.11</v>
      </c>
      <c r="I469" s="158">
        <f t="shared" si="235"/>
        <v>1761.44</v>
      </c>
      <c r="J469" s="3" t="str">
        <f t="shared" si="236"/>
        <v>0</v>
      </c>
      <c r="K469" s="3">
        <f t="shared" si="237"/>
        <v>1550.0672</v>
      </c>
      <c r="L469" s="3" t="str">
        <f t="shared" si="238"/>
        <v>0</v>
      </c>
      <c r="M469" s="3">
        <f t="shared" si="239"/>
        <v>11574.265500000001</v>
      </c>
      <c r="N469" s="3">
        <f t="shared" si="240"/>
        <v>0</v>
      </c>
      <c r="O469" s="3" t="str">
        <f t="shared" si="241"/>
        <v>0</v>
      </c>
      <c r="P469" s="3" t="str">
        <f t="shared" si="242"/>
        <v>0</v>
      </c>
      <c r="Q469" s="3" t="str">
        <f t="shared" si="243"/>
        <v>0</v>
      </c>
      <c r="R469" s="3" t="str">
        <f t="shared" si="244"/>
        <v>0</v>
      </c>
      <c r="S469" s="3">
        <f t="shared" si="245"/>
        <v>0</v>
      </c>
      <c r="T469" s="3" t="str">
        <f t="shared" si="246"/>
        <v>0</v>
      </c>
      <c r="U469" s="3"/>
      <c r="V469" s="3"/>
      <c r="W469" s="3"/>
      <c r="X469" s="3"/>
      <c r="Y469" s="3"/>
      <c r="Z469" s="3"/>
    </row>
    <row r="470" spans="1:26" x14ac:dyDescent="0.25">
      <c r="A470" s="2">
        <v>46122</v>
      </c>
      <c r="B470" s="157" t="s">
        <v>169</v>
      </c>
      <c r="C470" s="3" t="s">
        <v>235</v>
      </c>
      <c r="D470" s="4">
        <v>546.58000000000004</v>
      </c>
      <c r="E470" s="5">
        <v>0.88</v>
      </c>
      <c r="F470" s="6">
        <f>+D470*E470</f>
        <v>480.99040000000002</v>
      </c>
      <c r="G470" s="6">
        <f t="shared" si="248"/>
        <v>4.5</v>
      </c>
      <c r="H470" s="7">
        <v>2459.61</v>
      </c>
      <c r="I470" s="158">
        <f t="shared" si="235"/>
        <v>546.58000000000004</v>
      </c>
      <c r="J470" s="3" t="str">
        <f t="shared" si="236"/>
        <v>0</v>
      </c>
      <c r="K470" s="3">
        <f t="shared" si="237"/>
        <v>480.99040000000002</v>
      </c>
      <c r="L470" s="3" t="str">
        <f t="shared" si="238"/>
        <v>0</v>
      </c>
      <c r="M470" s="3">
        <f t="shared" si="239"/>
        <v>2582.5905000000002</v>
      </c>
      <c r="N470" s="3">
        <f t="shared" si="240"/>
        <v>0</v>
      </c>
      <c r="O470" s="3" t="str">
        <f t="shared" si="241"/>
        <v>0</v>
      </c>
      <c r="P470" s="3" t="str">
        <f t="shared" si="242"/>
        <v>0</v>
      </c>
      <c r="Q470" s="3" t="str">
        <f t="shared" si="243"/>
        <v>0</v>
      </c>
      <c r="R470" s="3" t="str">
        <f t="shared" si="244"/>
        <v>0</v>
      </c>
      <c r="S470" s="3">
        <f t="shared" si="245"/>
        <v>0</v>
      </c>
      <c r="T470" s="3" t="str">
        <f t="shared" si="246"/>
        <v>0</v>
      </c>
      <c r="U470" s="3"/>
      <c r="V470" s="3"/>
      <c r="W470" s="3"/>
      <c r="X470" s="3"/>
      <c r="Y470" s="3"/>
      <c r="Z470" s="3"/>
    </row>
    <row r="471" spans="1:26" x14ac:dyDescent="0.25">
      <c r="A471" s="2">
        <v>46122</v>
      </c>
      <c r="B471" s="157" t="s">
        <v>169</v>
      </c>
      <c r="C471" s="169" t="s">
        <v>229</v>
      </c>
      <c r="D471" s="4">
        <v>871.22199999999998</v>
      </c>
      <c r="E471" s="5">
        <v>0.88</v>
      </c>
      <c r="F471" s="6">
        <f>+D471*E471</f>
        <v>766.67535999999996</v>
      </c>
      <c r="G471" s="6">
        <f t="shared" si="248"/>
        <v>24.912134909357203</v>
      </c>
      <c r="H471" s="7">
        <v>21704</v>
      </c>
      <c r="I471" s="158">
        <f t="shared" si="235"/>
        <v>871.22199999999998</v>
      </c>
      <c r="J471" s="3" t="str">
        <f t="shared" si="236"/>
        <v>0</v>
      </c>
      <c r="K471" s="3">
        <f t="shared" si="237"/>
        <v>766.67535999999996</v>
      </c>
      <c r="L471" s="3" t="str">
        <f t="shared" si="238"/>
        <v>0</v>
      </c>
      <c r="M471" s="3">
        <f t="shared" si="239"/>
        <v>22789.200000000001</v>
      </c>
      <c r="N471" s="3">
        <f t="shared" si="240"/>
        <v>0</v>
      </c>
      <c r="O471" s="3" t="str">
        <f t="shared" si="241"/>
        <v>0</v>
      </c>
      <c r="P471" s="3" t="str">
        <f t="shared" si="242"/>
        <v>0</v>
      </c>
      <c r="Q471" s="3" t="str">
        <f t="shared" si="243"/>
        <v>0</v>
      </c>
      <c r="R471" s="3" t="str">
        <f t="shared" si="244"/>
        <v>0</v>
      </c>
      <c r="S471" s="3">
        <f t="shared" si="245"/>
        <v>0</v>
      </c>
      <c r="T471" s="3" t="str">
        <f t="shared" si="246"/>
        <v>0</v>
      </c>
      <c r="U471" s="3"/>
      <c r="V471" s="3"/>
      <c r="W471" s="3"/>
      <c r="X471" s="3"/>
      <c r="Y471" s="3"/>
      <c r="Z471" s="3"/>
    </row>
    <row r="472" spans="1:26" x14ac:dyDescent="0.25">
      <c r="A472" s="2">
        <v>46122</v>
      </c>
      <c r="B472" s="157" t="s">
        <v>170</v>
      </c>
      <c r="C472" s="169" t="s">
        <v>246</v>
      </c>
      <c r="D472" s="4">
        <v>274.52479999999997</v>
      </c>
      <c r="E472" s="209">
        <v>0.995</v>
      </c>
      <c r="F472" s="184">
        <f>D472*E472</f>
        <v>273.152176</v>
      </c>
      <c r="G472" s="6">
        <f t="shared" si="248"/>
        <v>0</v>
      </c>
      <c r="H472" s="219"/>
      <c r="I472" s="158" t="str">
        <f t="shared" si="235"/>
        <v>0</v>
      </c>
      <c r="J472" s="3" t="str">
        <f t="shared" si="236"/>
        <v>0</v>
      </c>
      <c r="K472" s="3" t="str">
        <f t="shared" si="237"/>
        <v>0</v>
      </c>
      <c r="L472" s="3" t="str">
        <f t="shared" si="238"/>
        <v>0</v>
      </c>
      <c r="M472" s="3">
        <f t="shared" si="239"/>
        <v>0</v>
      </c>
      <c r="N472" s="3">
        <f t="shared" si="240"/>
        <v>0</v>
      </c>
      <c r="O472" s="3">
        <f t="shared" si="241"/>
        <v>274.52479999999997</v>
      </c>
      <c r="P472" s="3" t="str">
        <f t="shared" si="242"/>
        <v>0</v>
      </c>
      <c r="Q472" s="3">
        <f t="shared" si="243"/>
        <v>273.152176</v>
      </c>
      <c r="R472" s="3" t="str">
        <f t="shared" si="244"/>
        <v>0</v>
      </c>
      <c r="S472" s="3">
        <f t="shared" si="245"/>
        <v>0</v>
      </c>
      <c r="T472" s="3" t="str">
        <f t="shared" si="246"/>
        <v>0</v>
      </c>
      <c r="U472" s="3"/>
      <c r="V472" s="3"/>
      <c r="W472" s="3"/>
      <c r="X472" s="3"/>
      <c r="Y472" s="3"/>
      <c r="Z472" s="3"/>
    </row>
    <row r="473" spans="1:26" x14ac:dyDescent="0.25">
      <c r="A473" s="2">
        <v>46122</v>
      </c>
      <c r="B473" s="157" t="s">
        <v>170</v>
      </c>
      <c r="C473" s="169" t="s">
        <v>246</v>
      </c>
      <c r="D473" s="4">
        <v>1542.3168639999999</v>
      </c>
      <c r="E473" s="209">
        <v>1</v>
      </c>
      <c r="F473" s="184">
        <f>D473*E473</f>
        <v>1542.3168639999999</v>
      </c>
      <c r="G473" s="6">
        <f t="shared" si="248"/>
        <v>0</v>
      </c>
      <c r="H473" s="219"/>
      <c r="I473" s="158" t="str">
        <f t="shared" si="235"/>
        <v>0</v>
      </c>
      <c r="J473" s="3" t="str">
        <f t="shared" si="236"/>
        <v>0</v>
      </c>
      <c r="K473" s="3" t="str">
        <f t="shared" si="237"/>
        <v>0</v>
      </c>
      <c r="L473" s="3" t="str">
        <f t="shared" si="238"/>
        <v>0</v>
      </c>
      <c r="M473" s="3">
        <f t="shared" si="239"/>
        <v>0</v>
      </c>
      <c r="N473" s="3">
        <f t="shared" si="240"/>
        <v>0</v>
      </c>
      <c r="O473" s="3">
        <f t="shared" si="241"/>
        <v>1542.3168639999999</v>
      </c>
      <c r="P473" s="3" t="str">
        <f t="shared" si="242"/>
        <v>0</v>
      </c>
      <c r="Q473" s="3">
        <f t="shared" si="243"/>
        <v>1542.3168639999999</v>
      </c>
      <c r="R473" s="3" t="str">
        <f t="shared" si="244"/>
        <v>0</v>
      </c>
      <c r="S473" s="3">
        <f t="shared" si="245"/>
        <v>0</v>
      </c>
      <c r="T473" s="3" t="str">
        <f t="shared" si="246"/>
        <v>0</v>
      </c>
      <c r="U473" s="3"/>
      <c r="V473" s="3"/>
      <c r="W473" s="3"/>
      <c r="X473" s="3"/>
      <c r="Y473" s="3"/>
      <c r="Z473" s="3"/>
    </row>
    <row r="474" spans="1:26" x14ac:dyDescent="0.25">
      <c r="A474" s="2">
        <v>46122</v>
      </c>
      <c r="B474" s="157" t="s">
        <v>170</v>
      </c>
      <c r="C474" s="169" t="s">
        <v>229</v>
      </c>
      <c r="D474" s="4">
        <v>478.58544800000004</v>
      </c>
      <c r="E474" s="209">
        <v>0.995</v>
      </c>
      <c r="F474" s="184">
        <f>D474*E474</f>
        <v>476.19252076000004</v>
      </c>
      <c r="G474" s="6">
        <f t="shared" si="248"/>
        <v>0</v>
      </c>
      <c r="H474" s="219"/>
      <c r="I474" s="3" t="str">
        <f t="shared" si="235"/>
        <v>0</v>
      </c>
      <c r="J474" s="3" t="str">
        <f t="shared" si="236"/>
        <v>0</v>
      </c>
      <c r="K474" s="3" t="str">
        <f t="shared" si="237"/>
        <v>0</v>
      </c>
      <c r="L474" s="3" t="str">
        <f t="shared" si="238"/>
        <v>0</v>
      </c>
      <c r="M474" s="3">
        <f t="shared" si="239"/>
        <v>0</v>
      </c>
      <c r="N474" s="3">
        <f t="shared" si="240"/>
        <v>0</v>
      </c>
      <c r="O474" s="3">
        <f t="shared" si="241"/>
        <v>478.58544800000004</v>
      </c>
      <c r="P474" s="3" t="str">
        <f t="shared" si="242"/>
        <v>0</v>
      </c>
      <c r="Q474" s="3">
        <f t="shared" si="243"/>
        <v>476.19252076000004</v>
      </c>
      <c r="R474" s="3" t="str">
        <f t="shared" si="244"/>
        <v>0</v>
      </c>
      <c r="S474" s="3">
        <f t="shared" si="245"/>
        <v>0</v>
      </c>
      <c r="T474" s="3" t="str">
        <f t="shared" si="246"/>
        <v>0</v>
      </c>
      <c r="U474" s="3"/>
      <c r="V474" s="3"/>
      <c r="W474" s="3"/>
      <c r="X474" s="3"/>
      <c r="Y474" s="3"/>
      <c r="Z474" s="3"/>
    </row>
    <row r="475" spans="1:26" x14ac:dyDescent="0.25">
      <c r="A475" s="2">
        <v>46122</v>
      </c>
      <c r="B475" s="157" t="s">
        <v>212</v>
      </c>
      <c r="C475" s="169" t="s">
        <v>247</v>
      </c>
      <c r="D475" s="4">
        <v>1680.75776</v>
      </c>
      <c r="E475" s="209">
        <v>0.88</v>
      </c>
      <c r="F475" s="184">
        <f t="shared" ref="F475:F481" si="249">+D475*E475</f>
        <v>1479.0668287999999</v>
      </c>
      <c r="G475" s="184">
        <f t="shared" si="248"/>
        <v>1.3109563153229173</v>
      </c>
      <c r="H475" s="185">
        <v>2203.4</v>
      </c>
      <c r="I475" s="3" t="str">
        <f t="shared" si="235"/>
        <v>0</v>
      </c>
      <c r="J475" s="3">
        <f t="shared" si="236"/>
        <v>1680.75776</v>
      </c>
      <c r="K475" s="3" t="str">
        <f t="shared" si="237"/>
        <v>0</v>
      </c>
      <c r="L475" s="3">
        <f t="shared" si="238"/>
        <v>1479.0668287999999</v>
      </c>
      <c r="M475" s="3">
        <f t="shared" si="239"/>
        <v>0</v>
      </c>
      <c r="N475" s="3">
        <f t="shared" si="240"/>
        <v>2313.5700000000002</v>
      </c>
      <c r="O475" s="3" t="str">
        <f t="shared" si="241"/>
        <v>0</v>
      </c>
      <c r="P475" s="3" t="str">
        <f t="shared" si="242"/>
        <v>0</v>
      </c>
      <c r="Q475" s="3" t="str">
        <f t="shared" si="243"/>
        <v>0</v>
      </c>
      <c r="R475" s="3" t="str">
        <f t="shared" si="244"/>
        <v>0</v>
      </c>
      <c r="S475" s="3">
        <f t="shared" si="245"/>
        <v>0</v>
      </c>
      <c r="T475" s="3" t="str">
        <f t="shared" si="246"/>
        <v>0</v>
      </c>
      <c r="U475" s="3"/>
      <c r="V475" s="3"/>
      <c r="W475" s="3"/>
      <c r="X475" s="3"/>
      <c r="Y475" s="3"/>
      <c r="Z475" s="3"/>
    </row>
    <row r="476" spans="1:26" x14ac:dyDescent="0.25">
      <c r="A476" s="2">
        <v>46123</v>
      </c>
      <c r="B476" s="3" t="s">
        <v>169</v>
      </c>
      <c r="C476" s="169" t="s">
        <v>229</v>
      </c>
      <c r="D476" s="4">
        <v>990.02499999999998</v>
      </c>
      <c r="E476" s="5">
        <v>0.88</v>
      </c>
      <c r="F476" s="6">
        <f t="shared" si="249"/>
        <v>871.22199999999998</v>
      </c>
      <c r="G476" s="6">
        <f t="shared" si="248"/>
        <v>7.7957627332643114</v>
      </c>
      <c r="H476" s="7">
        <v>7718</v>
      </c>
      <c r="I476" s="3">
        <f t="shared" si="235"/>
        <v>990.02499999999998</v>
      </c>
      <c r="J476" s="3" t="str">
        <f t="shared" si="236"/>
        <v>0</v>
      </c>
      <c r="K476" s="3">
        <f t="shared" si="237"/>
        <v>871.22199999999998</v>
      </c>
      <c r="L476" s="3" t="str">
        <f t="shared" si="238"/>
        <v>0</v>
      </c>
      <c r="M476" s="3">
        <f t="shared" si="239"/>
        <v>8103.9</v>
      </c>
      <c r="N476" s="3">
        <f t="shared" si="240"/>
        <v>0</v>
      </c>
      <c r="O476" s="3" t="str">
        <f t="shared" si="241"/>
        <v>0</v>
      </c>
      <c r="P476" s="3" t="str">
        <f t="shared" si="242"/>
        <v>0</v>
      </c>
      <c r="Q476" s="3" t="str">
        <f t="shared" si="243"/>
        <v>0</v>
      </c>
      <c r="R476" s="3" t="str">
        <f t="shared" si="244"/>
        <v>0</v>
      </c>
      <c r="S476" s="3">
        <f t="shared" si="245"/>
        <v>0</v>
      </c>
      <c r="T476" s="3" t="str">
        <f t="shared" si="246"/>
        <v>0</v>
      </c>
      <c r="U476" s="3"/>
      <c r="V476" s="3"/>
      <c r="W476" s="3"/>
      <c r="X476" s="3"/>
      <c r="Y476" s="3"/>
      <c r="Z476" s="3"/>
    </row>
    <row r="477" spans="1:26" x14ac:dyDescent="0.25">
      <c r="A477" s="2">
        <v>46123</v>
      </c>
      <c r="B477" s="3" t="s">
        <v>169</v>
      </c>
      <c r="C477" s="169" t="s">
        <v>228</v>
      </c>
      <c r="D477" s="4">
        <v>730.6</v>
      </c>
      <c r="E477" s="5">
        <v>0.88</v>
      </c>
      <c r="F477" s="6">
        <f t="shared" si="249"/>
        <v>642.928</v>
      </c>
      <c r="G477" s="6">
        <f t="shared" si="248"/>
        <v>8.3359567478784555</v>
      </c>
      <c r="H477" s="7">
        <v>6090.25</v>
      </c>
      <c r="I477" s="3">
        <f t="shared" si="235"/>
        <v>730.6</v>
      </c>
      <c r="J477" s="3" t="str">
        <f t="shared" si="236"/>
        <v>0</v>
      </c>
      <c r="K477" s="3">
        <f t="shared" si="237"/>
        <v>642.928</v>
      </c>
      <c r="L477" s="3" t="str">
        <f t="shared" si="238"/>
        <v>0</v>
      </c>
      <c r="M477" s="3">
        <f t="shared" si="239"/>
        <v>6394.7624999999998</v>
      </c>
      <c r="N477" s="3">
        <f t="shared" si="240"/>
        <v>0</v>
      </c>
      <c r="O477" s="3" t="str">
        <f t="shared" si="241"/>
        <v>0</v>
      </c>
      <c r="P477" s="3" t="str">
        <f t="shared" si="242"/>
        <v>0</v>
      </c>
      <c r="Q477" s="3" t="str">
        <f t="shared" si="243"/>
        <v>0</v>
      </c>
      <c r="R477" s="3" t="str">
        <f t="shared" si="244"/>
        <v>0</v>
      </c>
      <c r="S477" s="3">
        <f t="shared" si="245"/>
        <v>0</v>
      </c>
      <c r="T477" s="3" t="str">
        <f t="shared" si="246"/>
        <v>0</v>
      </c>
      <c r="U477" s="3"/>
      <c r="V477" s="3"/>
      <c r="W477" s="3"/>
      <c r="X477" s="3"/>
      <c r="Y477" s="3"/>
      <c r="Z477" s="3"/>
    </row>
    <row r="478" spans="1:26" x14ac:dyDescent="0.25">
      <c r="A478" s="2">
        <v>46123</v>
      </c>
      <c r="B478" s="3" t="s">
        <v>170</v>
      </c>
      <c r="C478" s="169" t="s">
        <v>229</v>
      </c>
      <c r="D478" s="4">
        <v>1000</v>
      </c>
      <c r="E478" s="209">
        <v>0.995</v>
      </c>
      <c r="F478" s="6">
        <f t="shared" si="249"/>
        <v>995</v>
      </c>
      <c r="G478" s="6">
        <f t="shared" si="248"/>
        <v>0</v>
      </c>
      <c r="H478" s="219"/>
      <c r="I478" s="3" t="str">
        <f t="shared" si="235"/>
        <v>0</v>
      </c>
      <c r="J478" s="3" t="str">
        <f t="shared" si="236"/>
        <v>0</v>
      </c>
      <c r="K478" s="3" t="str">
        <f t="shared" si="237"/>
        <v>0</v>
      </c>
      <c r="L478" s="3" t="str">
        <f t="shared" si="238"/>
        <v>0</v>
      </c>
      <c r="M478" s="3">
        <f t="shared" si="239"/>
        <v>0</v>
      </c>
      <c r="N478" s="3">
        <f t="shared" si="240"/>
        <v>0</v>
      </c>
      <c r="O478" s="3">
        <f t="shared" si="241"/>
        <v>1000</v>
      </c>
      <c r="P478" s="3" t="str">
        <f t="shared" si="242"/>
        <v>0</v>
      </c>
      <c r="Q478" s="3">
        <f t="shared" si="243"/>
        <v>995</v>
      </c>
      <c r="R478" s="3" t="str">
        <f t="shared" si="244"/>
        <v>0</v>
      </c>
      <c r="S478" s="3">
        <f t="shared" si="245"/>
        <v>0</v>
      </c>
      <c r="T478" s="3" t="str">
        <f t="shared" si="246"/>
        <v>0</v>
      </c>
      <c r="U478" s="3"/>
      <c r="V478" s="3"/>
      <c r="W478" s="3"/>
      <c r="X478" s="3"/>
      <c r="Y478" s="3"/>
      <c r="Z478" s="3"/>
    </row>
    <row r="479" spans="1:26" x14ac:dyDescent="0.25">
      <c r="A479" s="2">
        <v>46123</v>
      </c>
      <c r="B479" s="3" t="s">
        <v>171</v>
      </c>
      <c r="C479" s="169" t="s">
        <v>247</v>
      </c>
      <c r="D479" s="3"/>
      <c r="E479" s="3"/>
      <c r="F479" s="6">
        <f t="shared" si="249"/>
        <v>0</v>
      </c>
      <c r="G479" s="6" t="e">
        <f t="shared" si="248"/>
        <v>#DIV/0!</v>
      </c>
      <c r="H479" s="219"/>
      <c r="I479" s="3" t="str">
        <f t="shared" si="235"/>
        <v>0</v>
      </c>
      <c r="J479" s="3" t="str">
        <f t="shared" si="236"/>
        <v>0</v>
      </c>
      <c r="K479" s="3" t="str">
        <f t="shared" si="237"/>
        <v>0</v>
      </c>
      <c r="L479" s="3" t="str">
        <f t="shared" si="238"/>
        <v>0</v>
      </c>
      <c r="M479" s="3">
        <f t="shared" si="239"/>
        <v>0</v>
      </c>
      <c r="N479" s="3">
        <f t="shared" si="240"/>
        <v>0</v>
      </c>
      <c r="O479" s="3" t="str">
        <f t="shared" si="241"/>
        <v>0</v>
      </c>
      <c r="P479" s="3" t="str">
        <f t="shared" si="242"/>
        <v>0</v>
      </c>
      <c r="Q479" s="3" t="str">
        <f t="shared" si="243"/>
        <v>0</v>
      </c>
      <c r="R479" s="3" t="str">
        <f t="shared" si="244"/>
        <v>0</v>
      </c>
      <c r="S479" s="3">
        <f t="shared" si="245"/>
        <v>0</v>
      </c>
      <c r="T479" s="3" t="str">
        <f t="shared" si="246"/>
        <v>0</v>
      </c>
      <c r="U479" s="3">
        <v>953.85</v>
      </c>
      <c r="V479" s="3"/>
      <c r="W479" s="3"/>
      <c r="X479" s="3"/>
      <c r="Y479" s="3"/>
      <c r="Z479" s="3"/>
    </row>
    <row r="480" spans="1:26" x14ac:dyDescent="0.25">
      <c r="A480" s="2">
        <v>46125</v>
      </c>
      <c r="B480" s="3" t="s">
        <v>212</v>
      </c>
      <c r="C480" s="3" t="s">
        <v>230</v>
      </c>
      <c r="D480" s="4">
        <v>990.02499999999998</v>
      </c>
      <c r="E480" s="5">
        <v>0.88</v>
      </c>
      <c r="F480" s="6">
        <f t="shared" si="249"/>
        <v>871.22199999999998</v>
      </c>
      <c r="G480" s="6">
        <f t="shared" si="248"/>
        <v>1.1644150400242419</v>
      </c>
      <c r="H480" s="7">
        <v>1152.8</v>
      </c>
      <c r="I480" s="3" t="str">
        <f t="shared" si="235"/>
        <v>0</v>
      </c>
      <c r="J480" s="3">
        <f t="shared" si="236"/>
        <v>990.02499999999998</v>
      </c>
      <c r="K480" s="3" t="str">
        <f t="shared" si="237"/>
        <v>0</v>
      </c>
      <c r="L480" s="3">
        <f t="shared" si="238"/>
        <v>871.22199999999998</v>
      </c>
      <c r="M480" s="3">
        <f t="shared" si="239"/>
        <v>0</v>
      </c>
      <c r="N480" s="3">
        <f t="shared" si="240"/>
        <v>1210.44</v>
      </c>
      <c r="O480" s="3" t="str">
        <f t="shared" si="241"/>
        <v>0</v>
      </c>
      <c r="P480" s="3" t="str">
        <f t="shared" si="242"/>
        <v>0</v>
      </c>
      <c r="Q480" s="3" t="str">
        <f t="shared" si="243"/>
        <v>0</v>
      </c>
      <c r="R480" s="3" t="str">
        <f t="shared" si="244"/>
        <v>0</v>
      </c>
      <c r="S480" s="3">
        <f t="shared" si="245"/>
        <v>0</v>
      </c>
      <c r="T480" s="3" t="str">
        <f t="shared" si="246"/>
        <v>0</v>
      </c>
      <c r="U480" s="3"/>
      <c r="V480" s="3"/>
      <c r="W480" s="3"/>
      <c r="X480" s="3"/>
      <c r="Y480" s="3"/>
      <c r="Z480" s="3"/>
    </row>
    <row r="481" spans="1:26" x14ac:dyDescent="0.25">
      <c r="A481" s="2">
        <v>46125</v>
      </c>
      <c r="B481" s="3" t="s">
        <v>169</v>
      </c>
      <c r="C481" s="169" t="s">
        <v>229</v>
      </c>
      <c r="D481" s="4">
        <v>311.95999999999998</v>
      </c>
      <c r="E481" s="5">
        <v>0.88</v>
      </c>
      <c r="F481" s="6">
        <f t="shared" si="249"/>
        <v>274.52479999999997</v>
      </c>
      <c r="G481" s="6">
        <f t="shared" si="248"/>
        <v>33.79055007052186</v>
      </c>
      <c r="H481" s="7">
        <v>10541.3</v>
      </c>
      <c r="I481" s="3">
        <f t="shared" si="235"/>
        <v>311.95999999999998</v>
      </c>
      <c r="J481" s="3" t="str">
        <f t="shared" si="236"/>
        <v>0</v>
      </c>
      <c r="K481" s="3">
        <f t="shared" si="237"/>
        <v>274.52479999999997</v>
      </c>
      <c r="L481" s="3" t="str">
        <f t="shared" si="238"/>
        <v>0</v>
      </c>
      <c r="M481" s="3">
        <f t="shared" si="239"/>
        <v>11068.365</v>
      </c>
      <c r="N481" s="3">
        <f t="shared" si="240"/>
        <v>0</v>
      </c>
      <c r="O481" s="3" t="str">
        <f t="shared" si="241"/>
        <v>0</v>
      </c>
      <c r="P481" s="3" t="str">
        <f t="shared" si="242"/>
        <v>0</v>
      </c>
      <c r="Q481" s="3" t="str">
        <f t="shared" si="243"/>
        <v>0</v>
      </c>
      <c r="R481" s="3" t="str">
        <f t="shared" si="244"/>
        <v>0</v>
      </c>
      <c r="S481" s="3">
        <f t="shared" si="245"/>
        <v>0</v>
      </c>
      <c r="T481" s="3" t="str">
        <f t="shared" si="246"/>
        <v>0</v>
      </c>
      <c r="U481" s="3"/>
      <c r="V481" s="3"/>
      <c r="W481" s="3"/>
      <c r="X481" s="3"/>
      <c r="Y481" s="3"/>
      <c r="Z481" s="3"/>
    </row>
    <row r="482" spans="1:26" x14ac:dyDescent="0.25">
      <c r="A482" s="2">
        <v>46125</v>
      </c>
      <c r="B482" s="3" t="s">
        <v>170</v>
      </c>
      <c r="C482" s="169" t="s">
        <v>228</v>
      </c>
      <c r="D482" s="4">
        <v>1550.0672</v>
      </c>
      <c r="E482" s="209">
        <v>0.995</v>
      </c>
      <c r="F482" s="184">
        <f>D482*E482</f>
        <v>1542.3168639999999</v>
      </c>
      <c r="G482" s="6"/>
      <c r="H482" s="210"/>
      <c r="I482" s="3" t="str">
        <f t="shared" si="235"/>
        <v>0</v>
      </c>
      <c r="J482" s="3" t="str">
        <f t="shared" si="236"/>
        <v>0</v>
      </c>
      <c r="K482" s="3" t="str">
        <f t="shared" si="237"/>
        <v>0</v>
      </c>
      <c r="L482" s="3" t="str">
        <f t="shared" si="238"/>
        <v>0</v>
      </c>
      <c r="M482" s="3">
        <f t="shared" si="239"/>
        <v>0</v>
      </c>
      <c r="N482" s="3">
        <f t="shared" si="240"/>
        <v>0</v>
      </c>
      <c r="O482" s="3">
        <f t="shared" si="241"/>
        <v>1550.0672</v>
      </c>
      <c r="P482" s="3" t="str">
        <f t="shared" si="242"/>
        <v>0</v>
      </c>
      <c r="Q482" s="3">
        <f t="shared" si="243"/>
        <v>1542.3168639999999</v>
      </c>
      <c r="R482" s="3" t="str">
        <f t="shared" si="244"/>
        <v>0</v>
      </c>
      <c r="S482" s="3">
        <f t="shared" si="245"/>
        <v>0</v>
      </c>
      <c r="T482" s="3" t="str">
        <f t="shared" si="246"/>
        <v>0</v>
      </c>
      <c r="U482" s="3"/>
      <c r="V482" s="3"/>
      <c r="W482" s="3"/>
      <c r="X482" s="3"/>
      <c r="Y482" s="3"/>
      <c r="Z482" s="3"/>
    </row>
    <row r="483" spans="1:26" x14ac:dyDescent="0.25">
      <c r="A483" s="2">
        <v>46125</v>
      </c>
      <c r="B483" s="3" t="s">
        <v>170</v>
      </c>
      <c r="C483" s="169" t="s">
        <v>229</v>
      </c>
      <c r="D483" s="4">
        <v>480.99040000000002</v>
      </c>
      <c r="E483" s="209">
        <v>0.995</v>
      </c>
      <c r="F483" s="184">
        <f>D483*E483</f>
        <v>478.58544800000004</v>
      </c>
      <c r="G483" s="6"/>
      <c r="H483" s="210"/>
      <c r="I483" s="3" t="str">
        <f t="shared" si="235"/>
        <v>0</v>
      </c>
      <c r="J483" s="3" t="str">
        <f t="shared" si="236"/>
        <v>0</v>
      </c>
      <c r="K483" s="3" t="str">
        <f t="shared" si="237"/>
        <v>0</v>
      </c>
      <c r="L483" s="3" t="str">
        <f t="shared" si="238"/>
        <v>0</v>
      </c>
      <c r="M483" s="3">
        <f t="shared" si="239"/>
        <v>0</v>
      </c>
      <c r="N483" s="3">
        <f t="shared" si="240"/>
        <v>0</v>
      </c>
      <c r="O483" s="3">
        <f t="shared" si="241"/>
        <v>480.99040000000002</v>
      </c>
      <c r="P483" s="3" t="str">
        <f t="shared" si="242"/>
        <v>0</v>
      </c>
      <c r="Q483" s="3">
        <f t="shared" si="243"/>
        <v>478.58544800000004</v>
      </c>
      <c r="R483" s="3" t="str">
        <f t="shared" si="244"/>
        <v>0</v>
      </c>
      <c r="S483" s="3">
        <f t="shared" si="245"/>
        <v>0</v>
      </c>
      <c r="T483" s="3" t="str">
        <f t="shared" si="246"/>
        <v>0</v>
      </c>
      <c r="U483" s="3"/>
      <c r="V483" s="3"/>
      <c r="W483" s="3"/>
      <c r="X483" s="3"/>
      <c r="Y483" s="3"/>
      <c r="Z483" s="3"/>
    </row>
    <row r="484" spans="1:26" x14ac:dyDescent="0.25">
      <c r="A484" s="2">
        <v>46125</v>
      </c>
      <c r="B484" s="3" t="s">
        <v>170</v>
      </c>
      <c r="C484" s="169" t="s">
        <v>239</v>
      </c>
      <c r="D484" s="4">
        <v>1909.952</v>
      </c>
      <c r="E484" s="209">
        <v>0.88</v>
      </c>
      <c r="F484" s="184">
        <f>D484*E484</f>
        <v>1680.75776</v>
      </c>
      <c r="G484" s="6">
        <f>H484/D484</f>
        <v>0.24945129511108133</v>
      </c>
      <c r="H484" s="210">
        <v>476.44</v>
      </c>
      <c r="I484" s="3" t="str">
        <f t="shared" si="235"/>
        <v>0</v>
      </c>
      <c r="J484" s="3" t="str">
        <f t="shared" si="236"/>
        <v>0</v>
      </c>
      <c r="K484" s="3" t="str">
        <f t="shared" si="237"/>
        <v>0</v>
      </c>
      <c r="L484" s="3" t="str">
        <f t="shared" si="238"/>
        <v>0</v>
      </c>
      <c r="M484" s="3">
        <f t="shared" si="239"/>
        <v>0</v>
      </c>
      <c r="N484" s="3">
        <f t="shared" si="240"/>
        <v>0</v>
      </c>
      <c r="O484" s="3">
        <f t="shared" si="241"/>
        <v>1909.952</v>
      </c>
      <c r="P484" s="3" t="str">
        <f t="shared" si="242"/>
        <v>0</v>
      </c>
      <c r="Q484" s="3">
        <f t="shared" si="243"/>
        <v>1680.75776</v>
      </c>
      <c r="R484" s="3" t="str">
        <f t="shared" si="244"/>
        <v>0</v>
      </c>
      <c r="S484" s="3">
        <f t="shared" si="245"/>
        <v>500.262</v>
      </c>
      <c r="T484" s="3" t="str">
        <f t="shared" si="246"/>
        <v>0</v>
      </c>
      <c r="U484" s="3"/>
      <c r="V484" s="3"/>
      <c r="W484" s="3"/>
      <c r="X484" s="3"/>
      <c r="Y484" s="3"/>
      <c r="Z484" s="3"/>
    </row>
    <row r="485" spans="1:26" x14ac:dyDescent="0.25">
      <c r="A485" s="2">
        <v>46125</v>
      </c>
      <c r="B485" s="3" t="s">
        <v>209</v>
      </c>
      <c r="C485" s="169" t="s">
        <v>239</v>
      </c>
      <c r="D485" s="4">
        <v>995</v>
      </c>
      <c r="E485" s="209">
        <v>0.995</v>
      </c>
      <c r="F485" s="184">
        <f t="shared" ref="F485:F490" si="250">+D485*E485</f>
        <v>990.02499999999998</v>
      </c>
      <c r="G485" s="6">
        <f t="shared" ref="G485:G514" si="251">+H485/D485</f>
        <v>0</v>
      </c>
      <c r="H485" s="219"/>
      <c r="I485" s="3" t="str">
        <f t="shared" si="235"/>
        <v>0</v>
      </c>
      <c r="J485" s="3" t="str">
        <f t="shared" si="236"/>
        <v>0</v>
      </c>
      <c r="K485" s="3" t="str">
        <f t="shared" si="237"/>
        <v>0</v>
      </c>
      <c r="L485" s="3" t="str">
        <f t="shared" si="238"/>
        <v>0</v>
      </c>
      <c r="M485" s="3">
        <f t="shared" si="239"/>
        <v>0</v>
      </c>
      <c r="N485" s="3">
        <f t="shared" si="240"/>
        <v>0</v>
      </c>
      <c r="O485" s="3" t="str">
        <f t="shared" si="241"/>
        <v>0</v>
      </c>
      <c r="P485" s="3">
        <f t="shared" si="242"/>
        <v>995</v>
      </c>
      <c r="Q485" s="3" t="str">
        <f t="shared" si="243"/>
        <v>0</v>
      </c>
      <c r="R485" s="3">
        <f t="shared" si="244"/>
        <v>990.02499999999998</v>
      </c>
      <c r="S485" s="3">
        <f t="shared" si="245"/>
        <v>0</v>
      </c>
      <c r="T485" s="3">
        <f t="shared" si="246"/>
        <v>0</v>
      </c>
      <c r="U485" s="3"/>
      <c r="V485" s="3"/>
      <c r="W485" s="3"/>
      <c r="X485" s="3"/>
      <c r="Y485" s="3"/>
      <c r="Z485" s="3"/>
    </row>
    <row r="486" spans="1:26" x14ac:dyDescent="0.25">
      <c r="A486" s="2">
        <v>46125</v>
      </c>
      <c r="B486" s="3" t="s">
        <v>171</v>
      </c>
      <c r="C486" s="169" t="s">
        <v>229</v>
      </c>
      <c r="D486" s="3"/>
      <c r="E486" s="3"/>
      <c r="F486" s="6">
        <f t="shared" si="250"/>
        <v>0</v>
      </c>
      <c r="G486" s="6" t="e">
        <f t="shared" si="251"/>
        <v>#DIV/0!</v>
      </c>
      <c r="H486" s="219"/>
      <c r="I486" s="3" t="str">
        <f t="shared" si="235"/>
        <v>0</v>
      </c>
      <c r="J486" s="3" t="str">
        <f t="shared" si="236"/>
        <v>0</v>
      </c>
      <c r="K486" s="3" t="str">
        <f t="shared" si="237"/>
        <v>0</v>
      </c>
      <c r="L486" s="3" t="str">
        <f t="shared" si="238"/>
        <v>0</v>
      </c>
      <c r="M486" s="3">
        <f t="shared" si="239"/>
        <v>0</v>
      </c>
      <c r="N486" s="3">
        <f t="shared" si="240"/>
        <v>0</v>
      </c>
      <c r="O486" s="3" t="str">
        <f t="shared" si="241"/>
        <v>0</v>
      </c>
      <c r="P486" s="3" t="str">
        <f t="shared" si="242"/>
        <v>0</v>
      </c>
      <c r="Q486" s="3" t="str">
        <f t="shared" si="243"/>
        <v>0</v>
      </c>
      <c r="R486" s="3" t="str">
        <f t="shared" si="244"/>
        <v>0</v>
      </c>
      <c r="S486" s="3">
        <f t="shared" si="245"/>
        <v>0</v>
      </c>
      <c r="T486" s="3" t="str">
        <f t="shared" si="246"/>
        <v>0</v>
      </c>
      <c r="U486" s="3"/>
      <c r="V486" s="3">
        <v>60000</v>
      </c>
      <c r="W486" s="3"/>
      <c r="X486" s="3"/>
      <c r="Y486" s="3"/>
      <c r="Z486" s="3"/>
    </row>
    <row r="487" spans="1:26" x14ac:dyDescent="0.25">
      <c r="A487" s="2">
        <v>46126</v>
      </c>
      <c r="B487" s="3" t="s">
        <v>169</v>
      </c>
      <c r="C487" s="169" t="s">
        <v>228</v>
      </c>
      <c r="D487" s="4">
        <v>3046.56</v>
      </c>
      <c r="E487" s="5">
        <v>0.88</v>
      </c>
      <c r="F487" s="6">
        <f t="shared" si="250"/>
        <v>2680.9728</v>
      </c>
      <c r="G487" s="6">
        <f t="shared" si="251"/>
        <v>11.289848222257234</v>
      </c>
      <c r="H487" s="7">
        <v>34395.199999999997</v>
      </c>
      <c r="I487" s="3">
        <f t="shared" si="235"/>
        <v>3046.56</v>
      </c>
      <c r="J487" s="3" t="str">
        <f t="shared" si="236"/>
        <v>0</v>
      </c>
      <c r="K487" s="3">
        <f t="shared" si="237"/>
        <v>2680.9728</v>
      </c>
      <c r="L487" s="3" t="str">
        <f t="shared" si="238"/>
        <v>0</v>
      </c>
      <c r="M487" s="3">
        <f t="shared" si="239"/>
        <v>36114.959999999999</v>
      </c>
      <c r="N487" s="3">
        <f t="shared" si="240"/>
        <v>0</v>
      </c>
      <c r="O487" s="3" t="str">
        <f t="shared" si="241"/>
        <v>0</v>
      </c>
      <c r="P487" s="3" t="str">
        <f t="shared" si="242"/>
        <v>0</v>
      </c>
      <c r="Q487" s="3" t="str">
        <f t="shared" si="243"/>
        <v>0</v>
      </c>
      <c r="R487" s="3" t="str">
        <f t="shared" si="244"/>
        <v>0</v>
      </c>
      <c r="S487" s="3">
        <f t="shared" si="245"/>
        <v>0</v>
      </c>
      <c r="T487" s="3" t="str">
        <f t="shared" si="246"/>
        <v>0</v>
      </c>
      <c r="U487" s="3"/>
      <c r="V487" s="3"/>
      <c r="W487" s="3"/>
      <c r="X487" s="3"/>
      <c r="Y487" s="3"/>
      <c r="Z487" s="3"/>
    </row>
    <row r="488" spans="1:26" x14ac:dyDescent="0.25">
      <c r="A488" s="2">
        <v>46126</v>
      </c>
      <c r="B488" s="3" t="s">
        <v>169</v>
      </c>
      <c r="C488" s="3" t="s">
        <v>230</v>
      </c>
      <c r="D488" s="4">
        <v>389.928</v>
      </c>
      <c r="E488" s="5">
        <v>0.88</v>
      </c>
      <c r="F488" s="6">
        <f t="shared" si="250"/>
        <v>343.13664</v>
      </c>
      <c r="G488" s="6">
        <f t="shared" si="251"/>
        <v>9.0909090909090917</v>
      </c>
      <c r="H488" s="7">
        <v>3544.8</v>
      </c>
      <c r="I488" s="3">
        <f t="shared" si="235"/>
        <v>389.928</v>
      </c>
      <c r="J488" s="3" t="str">
        <f t="shared" si="236"/>
        <v>0</v>
      </c>
      <c r="K488" s="3">
        <f t="shared" si="237"/>
        <v>343.13664</v>
      </c>
      <c r="L488" s="3" t="str">
        <f t="shared" si="238"/>
        <v>0</v>
      </c>
      <c r="M488" s="3">
        <f t="shared" si="239"/>
        <v>3722.04</v>
      </c>
      <c r="N488" s="3">
        <f t="shared" si="240"/>
        <v>0</v>
      </c>
      <c r="O488" s="3" t="str">
        <f t="shared" si="241"/>
        <v>0</v>
      </c>
      <c r="P488" s="3" t="str">
        <f t="shared" si="242"/>
        <v>0</v>
      </c>
      <c r="Q488" s="3" t="str">
        <f t="shared" si="243"/>
        <v>0</v>
      </c>
      <c r="R488" s="3" t="str">
        <f t="shared" si="244"/>
        <v>0</v>
      </c>
      <c r="S488" s="3">
        <f t="shared" si="245"/>
        <v>0</v>
      </c>
      <c r="T488" s="3" t="str">
        <f t="shared" si="246"/>
        <v>0</v>
      </c>
      <c r="U488" s="3"/>
      <c r="V488" s="3"/>
      <c r="W488" s="3"/>
      <c r="X488" s="3"/>
      <c r="Y488" s="3"/>
      <c r="Z488" s="3"/>
    </row>
    <row r="489" spans="1:26" x14ac:dyDescent="0.25">
      <c r="A489" s="2">
        <v>46126</v>
      </c>
      <c r="B489" s="3" t="s">
        <v>169</v>
      </c>
      <c r="C489" s="169" t="s">
        <v>247</v>
      </c>
      <c r="D489" s="4">
        <v>234.16800000000003</v>
      </c>
      <c r="E489" s="5">
        <v>0.88</v>
      </c>
      <c r="F489" s="6">
        <f t="shared" si="250"/>
        <v>206.06784000000002</v>
      </c>
      <c r="G489" s="6">
        <f t="shared" si="251"/>
        <v>7.1692118479040676</v>
      </c>
      <c r="H489" s="7">
        <v>1678.8</v>
      </c>
      <c r="I489" s="3">
        <f t="shared" si="235"/>
        <v>234.16800000000003</v>
      </c>
      <c r="J489" s="3" t="str">
        <f t="shared" si="236"/>
        <v>0</v>
      </c>
      <c r="K489" s="3">
        <f t="shared" si="237"/>
        <v>206.06784000000002</v>
      </c>
      <c r="L489" s="3" t="str">
        <f t="shared" si="238"/>
        <v>0</v>
      </c>
      <c r="M489" s="3">
        <f t="shared" si="239"/>
        <v>1762.74</v>
      </c>
      <c r="N489" s="3">
        <f t="shared" si="240"/>
        <v>0</v>
      </c>
      <c r="O489" s="3" t="str">
        <f t="shared" si="241"/>
        <v>0</v>
      </c>
      <c r="P489" s="3" t="str">
        <f t="shared" si="242"/>
        <v>0</v>
      </c>
      <c r="Q489" s="3" t="str">
        <f t="shared" si="243"/>
        <v>0</v>
      </c>
      <c r="R489" s="3" t="str">
        <f t="shared" si="244"/>
        <v>0</v>
      </c>
      <c r="S489" s="3">
        <f t="shared" si="245"/>
        <v>0</v>
      </c>
      <c r="T489" s="3" t="str">
        <f t="shared" si="246"/>
        <v>0</v>
      </c>
      <c r="U489" s="3"/>
      <c r="V489" s="3"/>
      <c r="W489" s="3"/>
      <c r="X489" s="3"/>
      <c r="Y489" s="3"/>
      <c r="Z489" s="3"/>
    </row>
    <row r="490" spans="1:26" x14ac:dyDescent="0.25">
      <c r="A490" s="2">
        <v>46126</v>
      </c>
      <c r="B490" s="3" t="s">
        <v>169</v>
      </c>
      <c r="C490" s="169" t="s">
        <v>246</v>
      </c>
      <c r="D490" s="4">
        <v>1804.2288000000001</v>
      </c>
      <c r="E490" s="5">
        <v>0.88</v>
      </c>
      <c r="F490" s="6">
        <f t="shared" si="250"/>
        <v>1587.721344</v>
      </c>
      <c r="G490" s="6">
        <f t="shared" si="251"/>
        <v>6.4749271267590895</v>
      </c>
      <c r="H490" s="7">
        <v>11682.25</v>
      </c>
      <c r="I490" s="3">
        <f t="shared" si="235"/>
        <v>1804.2288000000001</v>
      </c>
      <c r="J490" s="3" t="str">
        <f t="shared" si="236"/>
        <v>0</v>
      </c>
      <c r="K490" s="3">
        <f t="shared" si="237"/>
        <v>1587.721344</v>
      </c>
      <c r="L490" s="3" t="str">
        <f t="shared" si="238"/>
        <v>0</v>
      </c>
      <c r="M490" s="3">
        <f t="shared" si="239"/>
        <v>12266.362499999999</v>
      </c>
      <c r="N490" s="3">
        <f t="shared" si="240"/>
        <v>0</v>
      </c>
      <c r="O490" s="3" t="str">
        <f t="shared" si="241"/>
        <v>0</v>
      </c>
      <c r="P490" s="3" t="str">
        <f t="shared" si="242"/>
        <v>0</v>
      </c>
      <c r="Q490" s="3" t="str">
        <f t="shared" si="243"/>
        <v>0</v>
      </c>
      <c r="R490" s="3" t="str">
        <f t="shared" si="244"/>
        <v>0</v>
      </c>
      <c r="S490" s="3">
        <f t="shared" si="245"/>
        <v>0</v>
      </c>
      <c r="T490" s="3" t="str">
        <f t="shared" si="246"/>
        <v>0</v>
      </c>
      <c r="U490" s="3"/>
      <c r="V490" s="3"/>
      <c r="W490" s="3"/>
      <c r="X490" s="3"/>
      <c r="Y490" s="3"/>
      <c r="Z490" s="3"/>
    </row>
    <row r="491" spans="1:26" x14ac:dyDescent="0.25">
      <c r="A491" s="2">
        <v>46126</v>
      </c>
      <c r="B491" s="3" t="s">
        <v>170</v>
      </c>
      <c r="C491" s="169" t="s">
        <v>228</v>
      </c>
      <c r="D491" s="4">
        <v>2985</v>
      </c>
      <c r="E491" s="209">
        <v>0.995</v>
      </c>
      <c r="F491" s="184">
        <f>D491*E491</f>
        <v>2970.0749999999998</v>
      </c>
      <c r="G491" s="6">
        <f t="shared" si="251"/>
        <v>0</v>
      </c>
      <c r="H491" s="219"/>
      <c r="I491" s="3" t="str">
        <f t="shared" si="235"/>
        <v>0</v>
      </c>
      <c r="J491" s="3" t="str">
        <f t="shared" si="236"/>
        <v>0</v>
      </c>
      <c r="K491" s="3" t="str">
        <f t="shared" si="237"/>
        <v>0</v>
      </c>
      <c r="L491" s="3" t="str">
        <f t="shared" si="238"/>
        <v>0</v>
      </c>
      <c r="M491" s="3">
        <f t="shared" si="239"/>
        <v>0</v>
      </c>
      <c r="N491" s="3">
        <f t="shared" si="240"/>
        <v>0</v>
      </c>
      <c r="O491" s="3">
        <f t="shared" si="241"/>
        <v>2985</v>
      </c>
      <c r="P491" s="3" t="str">
        <f t="shared" si="242"/>
        <v>0</v>
      </c>
      <c r="Q491" s="3">
        <f t="shared" si="243"/>
        <v>2970.0749999999998</v>
      </c>
      <c r="R491" s="3" t="str">
        <f t="shared" si="244"/>
        <v>0</v>
      </c>
      <c r="S491" s="3">
        <f t="shared" si="245"/>
        <v>0</v>
      </c>
      <c r="T491" s="3" t="str">
        <f t="shared" si="246"/>
        <v>0</v>
      </c>
      <c r="U491" s="3"/>
      <c r="V491" s="3"/>
      <c r="W491" s="3"/>
      <c r="X491" s="3"/>
      <c r="Y491" s="3"/>
      <c r="Z491" s="3"/>
    </row>
    <row r="492" spans="1:26" x14ac:dyDescent="0.25">
      <c r="A492" s="2">
        <v>46126</v>
      </c>
      <c r="B492" s="3" t="s">
        <v>170</v>
      </c>
      <c r="C492" s="169" t="s">
        <v>246</v>
      </c>
      <c r="D492" s="4">
        <v>1831.7353000000001</v>
      </c>
      <c r="E492" s="209">
        <v>0.995</v>
      </c>
      <c r="F492" s="184">
        <f>D492*E492</f>
        <v>1822.5766235000001</v>
      </c>
      <c r="G492" s="6">
        <f t="shared" si="251"/>
        <v>0</v>
      </c>
      <c r="H492" s="219"/>
      <c r="I492" s="3" t="str">
        <f t="shared" si="235"/>
        <v>0</v>
      </c>
      <c r="J492" s="3" t="str">
        <f t="shared" si="236"/>
        <v>0</v>
      </c>
      <c r="K492" s="3" t="str">
        <f t="shared" si="237"/>
        <v>0</v>
      </c>
      <c r="L492" s="3" t="str">
        <f t="shared" si="238"/>
        <v>0</v>
      </c>
      <c r="M492" s="3">
        <f t="shared" si="239"/>
        <v>0</v>
      </c>
      <c r="N492" s="3">
        <f t="shared" si="240"/>
        <v>0</v>
      </c>
      <c r="O492" s="3">
        <f t="shared" si="241"/>
        <v>1831.7353000000001</v>
      </c>
      <c r="P492" s="3" t="str">
        <f t="shared" si="242"/>
        <v>0</v>
      </c>
      <c r="Q492" s="3">
        <f t="shared" si="243"/>
        <v>1822.5766235000001</v>
      </c>
      <c r="R492" s="3" t="str">
        <f t="shared" si="244"/>
        <v>0</v>
      </c>
      <c r="S492" s="3">
        <f t="shared" si="245"/>
        <v>0</v>
      </c>
      <c r="T492" s="3" t="str">
        <f t="shared" si="246"/>
        <v>0</v>
      </c>
      <c r="U492" s="3"/>
      <c r="V492" s="3"/>
      <c r="W492" s="3"/>
      <c r="X492" s="3"/>
      <c r="Y492" s="3"/>
      <c r="Z492" s="3"/>
    </row>
    <row r="493" spans="1:26" x14ac:dyDescent="0.25">
      <c r="A493" s="2">
        <v>46126</v>
      </c>
      <c r="B493" s="3" t="s">
        <v>170</v>
      </c>
      <c r="C493" s="3" t="s">
        <v>235</v>
      </c>
      <c r="D493" s="4">
        <v>542.24</v>
      </c>
      <c r="E493" s="209">
        <v>0.995</v>
      </c>
      <c r="F493" s="184">
        <f>D493*E493</f>
        <v>539.52880000000005</v>
      </c>
      <c r="G493" s="6">
        <f t="shared" si="251"/>
        <v>0</v>
      </c>
      <c r="H493" s="219"/>
      <c r="I493" s="158" t="str">
        <f t="shared" si="235"/>
        <v>0</v>
      </c>
      <c r="J493" s="3" t="str">
        <f t="shared" si="236"/>
        <v>0</v>
      </c>
      <c r="K493" s="3" t="str">
        <f t="shared" si="237"/>
        <v>0</v>
      </c>
      <c r="L493" s="3" t="str">
        <f t="shared" si="238"/>
        <v>0</v>
      </c>
      <c r="M493" s="3">
        <f t="shared" si="239"/>
        <v>0</v>
      </c>
      <c r="N493" s="3">
        <f t="shared" si="240"/>
        <v>0</v>
      </c>
      <c r="O493" s="3">
        <f t="shared" si="241"/>
        <v>542.24</v>
      </c>
      <c r="P493" s="3" t="str">
        <f t="shared" si="242"/>
        <v>0</v>
      </c>
      <c r="Q493" s="3">
        <f t="shared" si="243"/>
        <v>539.52880000000005</v>
      </c>
      <c r="R493" s="3" t="str">
        <f t="shared" si="244"/>
        <v>0</v>
      </c>
      <c r="S493" s="3">
        <f t="shared" si="245"/>
        <v>0</v>
      </c>
      <c r="T493" s="3" t="str">
        <f t="shared" si="246"/>
        <v>0</v>
      </c>
      <c r="U493" s="3"/>
      <c r="V493" s="3"/>
      <c r="W493" s="3"/>
      <c r="X493" s="3"/>
      <c r="Y493" s="3"/>
      <c r="Z493" s="3"/>
    </row>
    <row r="494" spans="1:26" x14ac:dyDescent="0.25">
      <c r="A494" s="2">
        <v>46126</v>
      </c>
      <c r="B494" s="3" t="s">
        <v>171</v>
      </c>
      <c r="C494" s="3" t="s">
        <v>235</v>
      </c>
      <c r="D494" s="3"/>
      <c r="E494" s="3"/>
      <c r="F494" s="211">
        <f>+D494*E494</f>
        <v>0</v>
      </c>
      <c r="G494" s="211" t="e">
        <f t="shared" si="251"/>
        <v>#DIV/0!</v>
      </c>
      <c r="H494" s="219"/>
      <c r="I494" s="158" t="str">
        <f t="shared" si="235"/>
        <v>0</v>
      </c>
      <c r="J494" s="3" t="str">
        <f t="shared" si="236"/>
        <v>0</v>
      </c>
      <c r="K494" s="3" t="str">
        <f t="shared" si="237"/>
        <v>0</v>
      </c>
      <c r="L494" s="3" t="str">
        <f t="shared" si="238"/>
        <v>0</v>
      </c>
      <c r="M494" s="3">
        <f t="shared" si="239"/>
        <v>0</v>
      </c>
      <c r="N494" s="3">
        <f t="shared" si="240"/>
        <v>0</v>
      </c>
      <c r="O494" s="3" t="str">
        <f t="shared" si="241"/>
        <v>0</v>
      </c>
      <c r="P494" s="3" t="str">
        <f t="shared" si="242"/>
        <v>0</v>
      </c>
      <c r="Q494" s="3" t="str">
        <f t="shared" si="243"/>
        <v>0</v>
      </c>
      <c r="R494" s="3" t="str">
        <f t="shared" si="244"/>
        <v>0</v>
      </c>
      <c r="S494" s="3">
        <f t="shared" si="245"/>
        <v>0</v>
      </c>
      <c r="T494" s="3" t="str">
        <f t="shared" si="246"/>
        <v>0</v>
      </c>
      <c r="U494" s="3">
        <v>8090</v>
      </c>
      <c r="V494" s="3"/>
      <c r="W494" s="3"/>
      <c r="X494" s="3"/>
      <c r="Y494" s="3"/>
      <c r="Z494" s="3"/>
    </row>
    <row r="495" spans="1:26" x14ac:dyDescent="0.25">
      <c r="A495" s="2">
        <v>46127</v>
      </c>
      <c r="B495" s="3" t="s">
        <v>169</v>
      </c>
      <c r="C495" s="169" t="s">
        <v>232</v>
      </c>
      <c r="D495" s="4">
        <v>3462</v>
      </c>
      <c r="E495" s="5">
        <v>0.88</v>
      </c>
      <c r="F495" s="6">
        <f>+D495*E495</f>
        <v>3046.56</v>
      </c>
      <c r="G495" s="6">
        <f t="shared" si="251"/>
        <v>2.8792605430387059</v>
      </c>
      <c r="H495" s="7">
        <v>9968</v>
      </c>
      <c r="I495" s="158">
        <f t="shared" si="235"/>
        <v>3462</v>
      </c>
      <c r="J495" s="3" t="str">
        <f t="shared" si="236"/>
        <v>0</v>
      </c>
      <c r="K495" s="3">
        <f t="shared" si="237"/>
        <v>3046.56</v>
      </c>
      <c r="L495" s="3" t="str">
        <f t="shared" si="238"/>
        <v>0</v>
      </c>
      <c r="M495" s="3">
        <f t="shared" si="239"/>
        <v>10466.4</v>
      </c>
      <c r="N495" s="3">
        <f t="shared" si="240"/>
        <v>0</v>
      </c>
      <c r="O495" s="3" t="str">
        <f t="shared" si="241"/>
        <v>0</v>
      </c>
      <c r="P495" s="3" t="str">
        <f t="shared" si="242"/>
        <v>0</v>
      </c>
      <c r="Q495" s="3" t="str">
        <f t="shared" si="243"/>
        <v>0</v>
      </c>
      <c r="R495" s="3" t="str">
        <f t="shared" si="244"/>
        <v>0</v>
      </c>
      <c r="S495" s="3">
        <f t="shared" si="245"/>
        <v>0</v>
      </c>
      <c r="T495" s="3" t="str">
        <f t="shared" si="246"/>
        <v>0</v>
      </c>
      <c r="U495" s="3"/>
      <c r="V495" s="3"/>
      <c r="W495" s="3"/>
      <c r="X495" s="3"/>
      <c r="Y495" s="3">
        <v>2103.8200000000002</v>
      </c>
      <c r="Z495" s="3">
        <v>55.555</v>
      </c>
    </row>
    <row r="496" spans="1:26" x14ac:dyDescent="0.25">
      <c r="A496" s="2">
        <v>46127</v>
      </c>
      <c r="B496" s="3" t="s">
        <v>169</v>
      </c>
      <c r="C496" s="169" t="s">
        <v>240</v>
      </c>
      <c r="D496" s="4">
        <v>443.1</v>
      </c>
      <c r="E496" s="5">
        <v>0.88</v>
      </c>
      <c r="F496" s="6">
        <f>+D496*E496</f>
        <v>389.928</v>
      </c>
      <c r="G496" s="6">
        <f t="shared" si="251"/>
        <v>10.867072895508914</v>
      </c>
      <c r="H496" s="7">
        <v>4815.2</v>
      </c>
      <c r="I496" s="158">
        <f t="shared" si="235"/>
        <v>443.1</v>
      </c>
      <c r="J496" s="3" t="str">
        <f t="shared" si="236"/>
        <v>0</v>
      </c>
      <c r="K496" s="3">
        <f t="shared" si="237"/>
        <v>389.928</v>
      </c>
      <c r="L496" s="3" t="str">
        <f t="shared" si="238"/>
        <v>0</v>
      </c>
      <c r="M496" s="3">
        <f t="shared" si="239"/>
        <v>5055.96</v>
      </c>
      <c r="N496" s="3">
        <f t="shared" si="240"/>
        <v>0</v>
      </c>
      <c r="O496" s="3" t="str">
        <f t="shared" si="241"/>
        <v>0</v>
      </c>
      <c r="P496" s="3" t="str">
        <f t="shared" si="242"/>
        <v>0</v>
      </c>
      <c r="Q496" s="3" t="str">
        <f t="shared" si="243"/>
        <v>0</v>
      </c>
      <c r="R496" s="3" t="str">
        <f t="shared" si="244"/>
        <v>0</v>
      </c>
      <c r="S496" s="3">
        <f t="shared" si="245"/>
        <v>0</v>
      </c>
      <c r="T496" s="3" t="str">
        <f t="shared" si="246"/>
        <v>0</v>
      </c>
      <c r="U496" s="3"/>
      <c r="V496" s="3"/>
      <c r="W496" s="3"/>
      <c r="X496" s="3"/>
      <c r="Y496" s="3"/>
      <c r="Z496" s="3"/>
    </row>
    <row r="497" spans="1:26" x14ac:dyDescent="0.25">
      <c r="A497" s="2">
        <v>46127</v>
      </c>
      <c r="B497" s="3" t="s">
        <v>169</v>
      </c>
      <c r="C497" s="169" t="s">
        <v>238</v>
      </c>
      <c r="D497" s="4">
        <v>266.10000000000002</v>
      </c>
      <c r="E497" s="5">
        <v>0.88</v>
      </c>
      <c r="F497" s="6">
        <f>+D497*E497</f>
        <v>234.16800000000003</v>
      </c>
      <c r="G497" s="6">
        <f t="shared" si="251"/>
        <v>6.7653889515219836</v>
      </c>
      <c r="H497" s="7">
        <v>1800.27</v>
      </c>
      <c r="I497" s="158">
        <f t="shared" si="235"/>
        <v>266.10000000000002</v>
      </c>
      <c r="J497" s="3" t="str">
        <f t="shared" si="236"/>
        <v>0</v>
      </c>
      <c r="K497" s="3">
        <f t="shared" si="237"/>
        <v>234.16800000000003</v>
      </c>
      <c r="L497" s="3" t="str">
        <f t="shared" si="238"/>
        <v>0</v>
      </c>
      <c r="M497" s="3">
        <f t="shared" si="239"/>
        <v>1890.2835</v>
      </c>
      <c r="N497" s="3">
        <f t="shared" si="240"/>
        <v>0</v>
      </c>
      <c r="O497" s="3" t="str">
        <f t="shared" si="241"/>
        <v>0</v>
      </c>
      <c r="P497" s="3" t="str">
        <f t="shared" si="242"/>
        <v>0</v>
      </c>
      <c r="Q497" s="3" t="str">
        <f t="shared" si="243"/>
        <v>0</v>
      </c>
      <c r="R497" s="3" t="str">
        <f t="shared" si="244"/>
        <v>0</v>
      </c>
      <c r="S497" s="3">
        <f t="shared" si="245"/>
        <v>0</v>
      </c>
      <c r="T497" s="3" t="str">
        <f t="shared" si="246"/>
        <v>0</v>
      </c>
      <c r="U497" s="3"/>
      <c r="V497" s="3"/>
      <c r="W497" s="3"/>
      <c r="X497" s="3"/>
      <c r="Y497" s="3">
        <v>4599.54</v>
      </c>
      <c r="Z497" s="3">
        <v>5.0000000000000001E-3</v>
      </c>
    </row>
    <row r="498" spans="1:26" x14ac:dyDescent="0.25">
      <c r="A498" s="2">
        <v>46127</v>
      </c>
      <c r="B498" s="3" t="s">
        <v>169</v>
      </c>
      <c r="C498" s="169" t="s">
        <v>228</v>
      </c>
      <c r="D498" s="4">
        <v>2050.2600000000002</v>
      </c>
      <c r="E498" s="5">
        <v>0.88</v>
      </c>
      <c r="F498" s="6">
        <f>+D498*E498</f>
        <v>1804.2288000000001</v>
      </c>
      <c r="G498" s="6">
        <f t="shared" si="251"/>
        <v>4.4705549540058325</v>
      </c>
      <c r="H498" s="7">
        <v>9165.7999999999993</v>
      </c>
      <c r="I498" s="158">
        <f t="shared" si="235"/>
        <v>2050.2600000000002</v>
      </c>
      <c r="J498" s="3" t="str">
        <f t="shared" si="236"/>
        <v>0</v>
      </c>
      <c r="K498" s="3">
        <f t="shared" si="237"/>
        <v>1804.2288000000001</v>
      </c>
      <c r="L498" s="3" t="str">
        <f t="shared" si="238"/>
        <v>0</v>
      </c>
      <c r="M498" s="3">
        <f t="shared" si="239"/>
        <v>9624.09</v>
      </c>
      <c r="N498" s="3">
        <f t="shared" si="240"/>
        <v>0</v>
      </c>
      <c r="O498" s="3" t="str">
        <f t="shared" si="241"/>
        <v>0</v>
      </c>
      <c r="P498" s="3" t="str">
        <f t="shared" si="242"/>
        <v>0</v>
      </c>
      <c r="Q498" s="3" t="str">
        <f t="shared" si="243"/>
        <v>0</v>
      </c>
      <c r="R498" s="3" t="str">
        <f t="shared" si="244"/>
        <v>0</v>
      </c>
      <c r="S498" s="3">
        <f t="shared" si="245"/>
        <v>0</v>
      </c>
      <c r="T498" s="3" t="str">
        <f t="shared" si="246"/>
        <v>0</v>
      </c>
      <c r="U498" s="3"/>
      <c r="V498" s="3"/>
      <c r="W498" s="3"/>
      <c r="X498" s="3"/>
      <c r="Y498" s="3"/>
      <c r="Z498" s="3"/>
    </row>
    <row r="499" spans="1:26" x14ac:dyDescent="0.25">
      <c r="A499" s="2">
        <v>46127</v>
      </c>
      <c r="B499" s="3" t="s">
        <v>170</v>
      </c>
      <c r="C499" s="169" t="s">
        <v>228</v>
      </c>
      <c r="D499" s="4">
        <v>3000</v>
      </c>
      <c r="E499" s="209">
        <v>0.995</v>
      </c>
      <c r="F499" s="184">
        <f>D499*E499</f>
        <v>2985</v>
      </c>
      <c r="G499" s="6">
        <f t="shared" si="251"/>
        <v>0</v>
      </c>
      <c r="H499" s="219"/>
      <c r="I499" s="158" t="str">
        <f t="shared" si="235"/>
        <v>0</v>
      </c>
      <c r="J499" s="3" t="str">
        <f t="shared" si="236"/>
        <v>0</v>
      </c>
      <c r="K499" s="3" t="str">
        <f t="shared" si="237"/>
        <v>0</v>
      </c>
      <c r="L499" s="3" t="str">
        <f t="shared" si="238"/>
        <v>0</v>
      </c>
      <c r="M499" s="3">
        <f t="shared" si="239"/>
        <v>0</v>
      </c>
      <c r="N499" s="3">
        <f t="shared" si="240"/>
        <v>0</v>
      </c>
      <c r="O499" s="3">
        <f t="shared" si="241"/>
        <v>3000</v>
      </c>
      <c r="P499" s="3" t="str">
        <f t="shared" si="242"/>
        <v>0</v>
      </c>
      <c r="Q499" s="3">
        <f t="shared" si="243"/>
        <v>2985</v>
      </c>
      <c r="R499" s="3" t="str">
        <f t="shared" si="244"/>
        <v>0</v>
      </c>
      <c r="S499" s="3">
        <f t="shared" si="245"/>
        <v>0</v>
      </c>
      <c r="T499" s="3" t="str">
        <f t="shared" si="246"/>
        <v>0</v>
      </c>
      <c r="U499" s="3"/>
      <c r="V499" s="3"/>
      <c r="W499" s="3"/>
      <c r="X499" s="3"/>
      <c r="Y499" s="3"/>
      <c r="Z499" s="3"/>
    </row>
    <row r="500" spans="1:26" x14ac:dyDescent="0.25">
      <c r="A500" s="2">
        <v>46127</v>
      </c>
      <c r="B500" s="3" t="s">
        <v>170</v>
      </c>
      <c r="C500" s="169" t="s">
        <v>247</v>
      </c>
      <c r="D500" s="4">
        <v>1840.94</v>
      </c>
      <c r="E500" s="209">
        <v>0.995</v>
      </c>
      <c r="F500" s="184">
        <f>D500*E500</f>
        <v>1831.7353000000001</v>
      </c>
      <c r="G500" s="6">
        <f t="shared" si="251"/>
        <v>0</v>
      </c>
      <c r="H500" s="219"/>
      <c r="I500" s="158" t="str">
        <f t="shared" si="235"/>
        <v>0</v>
      </c>
      <c r="J500" s="3" t="str">
        <f t="shared" si="236"/>
        <v>0</v>
      </c>
      <c r="K500" s="3" t="str">
        <f t="shared" si="237"/>
        <v>0</v>
      </c>
      <c r="L500" s="3" t="str">
        <f t="shared" si="238"/>
        <v>0</v>
      </c>
      <c r="M500" s="3">
        <f t="shared" si="239"/>
        <v>0</v>
      </c>
      <c r="N500" s="3">
        <f t="shared" si="240"/>
        <v>0</v>
      </c>
      <c r="O500" s="3">
        <f t="shared" si="241"/>
        <v>1840.94</v>
      </c>
      <c r="P500" s="3" t="str">
        <f t="shared" si="242"/>
        <v>0</v>
      </c>
      <c r="Q500" s="3">
        <f t="shared" si="243"/>
        <v>1831.7353000000001</v>
      </c>
      <c r="R500" s="3" t="str">
        <f t="shared" si="244"/>
        <v>0</v>
      </c>
      <c r="S500" s="3">
        <f t="shared" si="245"/>
        <v>0</v>
      </c>
      <c r="T500" s="3" t="str">
        <f t="shared" si="246"/>
        <v>0</v>
      </c>
      <c r="U500" s="3"/>
      <c r="V500" s="3"/>
      <c r="W500" s="3"/>
      <c r="X500" s="3"/>
      <c r="Y500" s="3"/>
      <c r="Z500" s="3"/>
    </row>
    <row r="501" spans="1:26" x14ac:dyDescent="0.25">
      <c r="A501" s="2">
        <v>46128</v>
      </c>
      <c r="B501" s="3" t="s">
        <v>169</v>
      </c>
      <c r="C501" s="169" t="s">
        <v>232</v>
      </c>
      <c r="D501" s="4">
        <v>420.6</v>
      </c>
      <c r="E501" s="5">
        <v>0.88</v>
      </c>
      <c r="F501" s="6">
        <f>+D501*E501</f>
        <v>370.12800000000004</v>
      </c>
      <c r="G501" s="6">
        <f t="shared" si="251"/>
        <v>3.4999999999999996</v>
      </c>
      <c r="H501" s="7">
        <v>1472.1</v>
      </c>
      <c r="I501" s="158">
        <f t="shared" si="235"/>
        <v>420.6</v>
      </c>
      <c r="J501" s="3" t="str">
        <f t="shared" si="236"/>
        <v>0</v>
      </c>
      <c r="K501" s="3">
        <f t="shared" si="237"/>
        <v>370.12800000000004</v>
      </c>
      <c r="L501" s="3" t="str">
        <f t="shared" si="238"/>
        <v>0</v>
      </c>
      <c r="M501" s="3">
        <f t="shared" si="239"/>
        <v>1545.7049999999999</v>
      </c>
      <c r="N501" s="3">
        <f t="shared" si="240"/>
        <v>0</v>
      </c>
      <c r="O501" s="3" t="str">
        <f t="shared" si="241"/>
        <v>0</v>
      </c>
      <c r="P501" s="3" t="str">
        <f t="shared" si="242"/>
        <v>0</v>
      </c>
      <c r="Q501" s="3" t="str">
        <f t="shared" si="243"/>
        <v>0</v>
      </c>
      <c r="R501" s="3" t="str">
        <f t="shared" si="244"/>
        <v>0</v>
      </c>
      <c r="S501" s="3">
        <f t="shared" si="245"/>
        <v>0</v>
      </c>
      <c r="T501" s="3" t="str">
        <f t="shared" si="246"/>
        <v>0</v>
      </c>
      <c r="U501" s="3"/>
      <c r="V501" s="3"/>
      <c r="W501" s="3"/>
      <c r="X501" s="3"/>
      <c r="Y501" s="3"/>
      <c r="Z501" s="3"/>
    </row>
    <row r="502" spans="1:26" x14ac:dyDescent="0.25">
      <c r="A502" s="2">
        <v>46128</v>
      </c>
      <c r="B502" s="3" t="s">
        <v>169</v>
      </c>
      <c r="C502" s="169" t="s">
        <v>229</v>
      </c>
      <c r="D502" s="4">
        <v>2258.4320000000002</v>
      </c>
      <c r="E502" s="5">
        <v>0.88</v>
      </c>
      <c r="F502" s="6">
        <f>+D502*E502</f>
        <v>1987.4201600000001</v>
      </c>
      <c r="G502" s="6">
        <f t="shared" si="251"/>
        <v>8.6892144638403987</v>
      </c>
      <c r="H502" s="7">
        <v>19624</v>
      </c>
      <c r="I502" s="158">
        <f t="shared" si="235"/>
        <v>2258.4320000000002</v>
      </c>
      <c r="J502" s="3" t="str">
        <f t="shared" si="236"/>
        <v>0</v>
      </c>
      <c r="K502" s="3">
        <f t="shared" si="237"/>
        <v>1987.4201600000001</v>
      </c>
      <c r="L502" s="3" t="str">
        <f t="shared" si="238"/>
        <v>0</v>
      </c>
      <c r="M502" s="3">
        <f t="shared" si="239"/>
        <v>20605.2</v>
      </c>
      <c r="N502" s="3">
        <f t="shared" si="240"/>
        <v>0</v>
      </c>
      <c r="O502" s="3" t="str">
        <f t="shared" si="241"/>
        <v>0</v>
      </c>
      <c r="P502" s="3" t="str">
        <f t="shared" si="242"/>
        <v>0</v>
      </c>
      <c r="Q502" s="3" t="str">
        <f t="shared" si="243"/>
        <v>0</v>
      </c>
      <c r="R502" s="3" t="str">
        <f t="shared" si="244"/>
        <v>0</v>
      </c>
      <c r="S502" s="3">
        <f t="shared" si="245"/>
        <v>0</v>
      </c>
      <c r="T502" s="3" t="str">
        <f t="shared" si="246"/>
        <v>0</v>
      </c>
      <c r="U502" s="3"/>
      <c r="V502" s="3"/>
      <c r="W502" s="3"/>
      <c r="X502" s="3"/>
      <c r="Y502" s="3"/>
      <c r="Z502" s="3"/>
    </row>
    <row r="503" spans="1:26" x14ac:dyDescent="0.25">
      <c r="A503" s="2">
        <v>46128</v>
      </c>
      <c r="B503" s="3" t="s">
        <v>169</v>
      </c>
      <c r="C503" s="169" t="s">
        <v>233</v>
      </c>
      <c r="D503" s="4">
        <v>217.096</v>
      </c>
      <c r="E503" s="5">
        <v>0.88</v>
      </c>
      <c r="F503" s="6">
        <f>+D503*E503</f>
        <v>191.04447999999999</v>
      </c>
      <c r="G503" s="6">
        <f t="shared" si="251"/>
        <v>8.8886944024763235</v>
      </c>
      <c r="H503" s="7">
        <v>1929.7</v>
      </c>
      <c r="I503" s="158">
        <f t="shared" si="235"/>
        <v>217.096</v>
      </c>
      <c r="J503" s="3" t="str">
        <f t="shared" si="236"/>
        <v>0</v>
      </c>
      <c r="K503" s="3">
        <f t="shared" si="237"/>
        <v>191.04447999999999</v>
      </c>
      <c r="L503" s="3" t="str">
        <f t="shared" si="238"/>
        <v>0</v>
      </c>
      <c r="M503" s="3">
        <f t="shared" si="239"/>
        <v>2026.1849999999999</v>
      </c>
      <c r="N503" s="3">
        <f t="shared" si="240"/>
        <v>0</v>
      </c>
      <c r="O503" s="3" t="str">
        <f t="shared" si="241"/>
        <v>0</v>
      </c>
      <c r="P503" s="3" t="str">
        <f t="shared" si="242"/>
        <v>0</v>
      </c>
      <c r="Q503" s="3" t="str">
        <f t="shared" si="243"/>
        <v>0</v>
      </c>
      <c r="R503" s="3" t="str">
        <f t="shared" si="244"/>
        <v>0</v>
      </c>
      <c r="S503" s="3">
        <f t="shared" si="245"/>
        <v>0</v>
      </c>
      <c r="T503" s="3" t="str">
        <f t="shared" si="246"/>
        <v>0</v>
      </c>
      <c r="U503" s="3"/>
      <c r="V503" s="3"/>
      <c r="W503" s="3"/>
      <c r="X503" s="3"/>
      <c r="Y503" s="3"/>
      <c r="Z503" s="3"/>
    </row>
    <row r="504" spans="1:26" x14ac:dyDescent="0.25">
      <c r="A504" s="2">
        <v>46128</v>
      </c>
      <c r="B504" s="3" t="s">
        <v>169</v>
      </c>
      <c r="C504" s="169" t="s">
        <v>246</v>
      </c>
      <c r="D504" s="4">
        <v>440.80080000000004</v>
      </c>
      <c r="E504" s="5">
        <v>0.88</v>
      </c>
      <c r="F504" s="6">
        <f>+D504*E504</f>
        <v>387.90470400000004</v>
      </c>
      <c r="G504" s="6">
        <f t="shared" si="251"/>
        <v>5.8143723877089144</v>
      </c>
      <c r="H504" s="7">
        <v>2562.98</v>
      </c>
      <c r="I504" s="158">
        <f t="shared" si="235"/>
        <v>440.80080000000004</v>
      </c>
      <c r="J504" s="3" t="str">
        <f t="shared" si="236"/>
        <v>0</v>
      </c>
      <c r="K504" s="3">
        <f t="shared" si="237"/>
        <v>387.90470400000004</v>
      </c>
      <c r="L504" s="3" t="str">
        <f t="shared" si="238"/>
        <v>0</v>
      </c>
      <c r="M504" s="3">
        <f t="shared" si="239"/>
        <v>2691.1289999999999</v>
      </c>
      <c r="N504" s="3">
        <f t="shared" si="240"/>
        <v>0</v>
      </c>
      <c r="O504" s="3" t="str">
        <f t="shared" si="241"/>
        <v>0</v>
      </c>
      <c r="P504" s="3" t="str">
        <f t="shared" si="242"/>
        <v>0</v>
      </c>
      <c r="Q504" s="3" t="str">
        <f t="shared" si="243"/>
        <v>0</v>
      </c>
      <c r="R504" s="3" t="str">
        <f t="shared" si="244"/>
        <v>0</v>
      </c>
      <c r="S504" s="3">
        <f t="shared" si="245"/>
        <v>0</v>
      </c>
      <c r="T504" s="3" t="str">
        <f t="shared" si="246"/>
        <v>0</v>
      </c>
      <c r="U504" s="3"/>
      <c r="V504" s="3"/>
      <c r="W504" s="3"/>
      <c r="X504" s="3"/>
      <c r="Y504" s="3"/>
      <c r="Z504" s="3"/>
    </row>
    <row r="505" spans="1:26" x14ac:dyDescent="0.25">
      <c r="A505" s="2">
        <v>46128</v>
      </c>
      <c r="B505" s="3" t="s">
        <v>169</v>
      </c>
      <c r="C505" s="169" t="s">
        <v>228</v>
      </c>
      <c r="D505" s="4">
        <v>725.47199999999998</v>
      </c>
      <c r="E505" s="5">
        <v>0.88</v>
      </c>
      <c r="F505" s="6">
        <f>+D505*E505</f>
        <v>638.41535999999996</v>
      </c>
      <c r="G505" s="6">
        <f t="shared" si="251"/>
        <v>11.510506263508447</v>
      </c>
      <c r="H505" s="7">
        <v>8350.5499999999993</v>
      </c>
      <c r="I505" s="158">
        <f t="shared" si="235"/>
        <v>725.47199999999998</v>
      </c>
      <c r="J505" s="3" t="str">
        <f t="shared" si="236"/>
        <v>0</v>
      </c>
      <c r="K505" s="3">
        <f t="shared" si="237"/>
        <v>638.41535999999996</v>
      </c>
      <c r="L505" s="3" t="str">
        <f t="shared" si="238"/>
        <v>0</v>
      </c>
      <c r="M505" s="3">
        <f t="shared" si="239"/>
        <v>8768.0774999999994</v>
      </c>
      <c r="N505" s="3">
        <f t="shared" si="240"/>
        <v>0</v>
      </c>
      <c r="O505" s="3" t="str">
        <f t="shared" si="241"/>
        <v>0</v>
      </c>
      <c r="P505" s="3" t="str">
        <f t="shared" si="242"/>
        <v>0</v>
      </c>
      <c r="Q505" s="3" t="str">
        <f t="shared" si="243"/>
        <v>0</v>
      </c>
      <c r="R505" s="3" t="str">
        <f t="shared" si="244"/>
        <v>0</v>
      </c>
      <c r="S505" s="3">
        <f t="shared" si="245"/>
        <v>0</v>
      </c>
      <c r="T505" s="3" t="str">
        <f t="shared" si="246"/>
        <v>0</v>
      </c>
      <c r="U505" s="3"/>
      <c r="V505" s="3"/>
      <c r="W505" s="3"/>
      <c r="X505" s="3"/>
      <c r="Y505" s="3"/>
      <c r="Z505" s="3"/>
    </row>
    <row r="506" spans="1:26" x14ac:dyDescent="0.25">
      <c r="A506" s="2">
        <v>46128</v>
      </c>
      <c r="B506" s="3" t="s">
        <v>170</v>
      </c>
      <c r="C506" s="169" t="s">
        <v>229</v>
      </c>
      <c r="D506" s="4">
        <v>995</v>
      </c>
      <c r="E506" s="209">
        <v>0.995</v>
      </c>
      <c r="F506" s="184">
        <f t="shared" ref="F506:F511" si="252">D506*E506</f>
        <v>990.02499999999998</v>
      </c>
      <c r="G506" s="6">
        <f t="shared" si="251"/>
        <v>0</v>
      </c>
      <c r="H506" s="219"/>
      <c r="I506" s="158" t="str">
        <f t="shared" si="235"/>
        <v>0</v>
      </c>
      <c r="J506" s="3" t="str">
        <f t="shared" si="236"/>
        <v>0</v>
      </c>
      <c r="K506" s="3" t="str">
        <f t="shared" si="237"/>
        <v>0</v>
      </c>
      <c r="L506" s="3" t="str">
        <f t="shared" si="238"/>
        <v>0</v>
      </c>
      <c r="M506" s="3">
        <f t="shared" si="239"/>
        <v>0</v>
      </c>
      <c r="N506" s="3">
        <f t="shared" si="240"/>
        <v>0</v>
      </c>
      <c r="O506" s="3">
        <f t="shared" si="241"/>
        <v>995</v>
      </c>
      <c r="P506" s="3" t="str">
        <f t="shared" si="242"/>
        <v>0</v>
      </c>
      <c r="Q506" s="3">
        <f t="shared" si="243"/>
        <v>990.02499999999998</v>
      </c>
      <c r="R506" s="3" t="str">
        <f t="shared" si="244"/>
        <v>0</v>
      </c>
      <c r="S506" s="3">
        <f t="shared" si="245"/>
        <v>0</v>
      </c>
      <c r="T506" s="3" t="str">
        <f t="shared" si="246"/>
        <v>0</v>
      </c>
      <c r="U506" s="3"/>
      <c r="V506" s="3"/>
      <c r="W506" s="3"/>
      <c r="X506" s="3"/>
      <c r="Y506" s="3"/>
      <c r="Z506" s="3"/>
    </row>
    <row r="507" spans="1:26" x14ac:dyDescent="0.25">
      <c r="A507" s="2">
        <v>46128</v>
      </c>
      <c r="B507" s="3" t="s">
        <v>170</v>
      </c>
      <c r="C507" s="3" t="s">
        <v>252</v>
      </c>
      <c r="D507" s="4">
        <v>334.09214500000002</v>
      </c>
      <c r="E507" s="209">
        <v>0.995</v>
      </c>
      <c r="F507" s="184">
        <f t="shared" si="252"/>
        <v>332.42168427500002</v>
      </c>
      <c r="G507" s="6">
        <f t="shared" si="251"/>
        <v>0</v>
      </c>
      <c r="H507" s="219"/>
      <c r="I507" s="158" t="str">
        <f t="shared" si="235"/>
        <v>0</v>
      </c>
      <c r="J507" s="3" t="str">
        <f t="shared" si="236"/>
        <v>0</v>
      </c>
      <c r="K507" s="3" t="str">
        <f t="shared" si="237"/>
        <v>0</v>
      </c>
      <c r="L507" s="3" t="str">
        <f t="shared" si="238"/>
        <v>0</v>
      </c>
      <c r="M507" s="3">
        <f t="shared" si="239"/>
        <v>0</v>
      </c>
      <c r="N507" s="3">
        <f t="shared" si="240"/>
        <v>0</v>
      </c>
      <c r="O507" s="3">
        <f t="shared" si="241"/>
        <v>334.09214500000002</v>
      </c>
      <c r="P507" s="3" t="str">
        <f t="shared" si="242"/>
        <v>0</v>
      </c>
      <c r="Q507" s="3">
        <f t="shared" si="243"/>
        <v>332.42168427500002</v>
      </c>
      <c r="R507" s="3" t="str">
        <f t="shared" si="244"/>
        <v>0</v>
      </c>
      <c r="S507" s="3">
        <f t="shared" si="245"/>
        <v>0</v>
      </c>
      <c r="T507" s="3" t="str">
        <f t="shared" si="246"/>
        <v>0</v>
      </c>
      <c r="U507" s="3"/>
      <c r="V507" s="3"/>
      <c r="W507" s="3"/>
      <c r="X507" s="3"/>
      <c r="Y507" s="3">
        <v>3987.42</v>
      </c>
      <c r="Z507" s="3">
        <v>334.09</v>
      </c>
    </row>
    <row r="508" spans="1:26" x14ac:dyDescent="0.25">
      <c r="A508" s="2">
        <v>46128</v>
      </c>
      <c r="B508" s="3" t="s">
        <v>170</v>
      </c>
      <c r="C508" s="3" t="s">
        <v>230</v>
      </c>
      <c r="D508" s="4">
        <v>469.44100000000003</v>
      </c>
      <c r="E508" s="209">
        <v>0.995</v>
      </c>
      <c r="F508" s="184">
        <f>D508*E508</f>
        <v>467.09379500000006</v>
      </c>
      <c r="G508" s="6">
        <f t="shared" si="251"/>
        <v>0</v>
      </c>
      <c r="H508" s="219"/>
      <c r="I508" s="158" t="str">
        <f t="shared" si="235"/>
        <v>0</v>
      </c>
      <c r="J508" s="3" t="str">
        <f t="shared" si="236"/>
        <v>0</v>
      </c>
      <c r="K508" s="3" t="str">
        <f t="shared" si="237"/>
        <v>0</v>
      </c>
      <c r="L508" s="3" t="str">
        <f t="shared" si="238"/>
        <v>0</v>
      </c>
      <c r="M508" s="3">
        <f t="shared" si="239"/>
        <v>0</v>
      </c>
      <c r="N508" s="3">
        <f t="shared" si="240"/>
        <v>0</v>
      </c>
      <c r="O508" s="3">
        <f t="shared" si="241"/>
        <v>469.44100000000003</v>
      </c>
      <c r="P508" s="3" t="str">
        <f t="shared" si="242"/>
        <v>0</v>
      </c>
      <c r="Q508" s="3">
        <f t="shared" si="243"/>
        <v>467.09379500000006</v>
      </c>
      <c r="R508" s="3" t="str">
        <f t="shared" si="244"/>
        <v>0</v>
      </c>
      <c r="S508" s="3">
        <f t="shared" si="245"/>
        <v>0</v>
      </c>
      <c r="T508" s="3" t="str">
        <f t="shared" si="246"/>
        <v>0</v>
      </c>
      <c r="U508" s="3"/>
      <c r="V508" s="3"/>
      <c r="W508" s="3"/>
      <c r="X508" s="3"/>
      <c r="Y508" s="3"/>
      <c r="Z508" s="3"/>
    </row>
    <row r="509" spans="1:26" x14ac:dyDescent="0.25">
      <c r="A509" s="2">
        <v>46128</v>
      </c>
      <c r="B509" s="3" t="s">
        <v>170</v>
      </c>
      <c r="C509" s="169" t="s">
        <v>233</v>
      </c>
      <c r="D509" s="4">
        <v>470.03799999999995</v>
      </c>
      <c r="E509" s="209">
        <v>0.995</v>
      </c>
      <c r="F509" s="184">
        <f t="shared" si="252"/>
        <v>467.68780999999996</v>
      </c>
      <c r="G509" s="6">
        <f t="shared" si="251"/>
        <v>0</v>
      </c>
      <c r="H509" s="219"/>
      <c r="I509" s="158" t="str">
        <f t="shared" si="235"/>
        <v>0</v>
      </c>
      <c r="J509" s="3" t="str">
        <f t="shared" si="236"/>
        <v>0</v>
      </c>
      <c r="K509" s="3" t="str">
        <f t="shared" si="237"/>
        <v>0</v>
      </c>
      <c r="L509" s="3" t="str">
        <f t="shared" si="238"/>
        <v>0</v>
      </c>
      <c r="M509" s="3">
        <f t="shared" si="239"/>
        <v>0</v>
      </c>
      <c r="N509" s="3">
        <f t="shared" si="240"/>
        <v>0</v>
      </c>
      <c r="O509" s="3">
        <f t="shared" si="241"/>
        <v>470.03799999999995</v>
      </c>
      <c r="P509" s="3" t="str">
        <f t="shared" si="242"/>
        <v>0</v>
      </c>
      <c r="Q509" s="3">
        <f t="shared" si="243"/>
        <v>467.68780999999996</v>
      </c>
      <c r="R509" s="3" t="str">
        <f t="shared" si="244"/>
        <v>0</v>
      </c>
      <c r="S509" s="3">
        <f t="shared" si="245"/>
        <v>0</v>
      </c>
      <c r="T509" s="3" t="str">
        <f t="shared" si="246"/>
        <v>0</v>
      </c>
      <c r="U509" s="3"/>
      <c r="V509" s="3"/>
      <c r="W509" s="3"/>
      <c r="X509" s="3"/>
      <c r="Y509" s="3"/>
      <c r="Z509" s="3"/>
    </row>
    <row r="510" spans="1:26" x14ac:dyDescent="0.25">
      <c r="A510" s="2">
        <v>46128</v>
      </c>
      <c r="B510" s="3" t="s">
        <v>170</v>
      </c>
      <c r="C510" s="169" t="s">
        <v>246</v>
      </c>
      <c r="D510" s="4">
        <v>500</v>
      </c>
      <c r="E510" s="209">
        <v>1</v>
      </c>
      <c r="F510" s="184">
        <f t="shared" si="252"/>
        <v>500</v>
      </c>
      <c r="G510" s="6">
        <f t="shared" si="251"/>
        <v>0</v>
      </c>
      <c r="H510" s="219"/>
      <c r="I510" s="158" t="str">
        <f t="shared" si="235"/>
        <v>0</v>
      </c>
      <c r="J510" s="3" t="str">
        <f t="shared" si="236"/>
        <v>0</v>
      </c>
      <c r="K510" s="3" t="str">
        <f t="shared" si="237"/>
        <v>0</v>
      </c>
      <c r="L510" s="3" t="str">
        <f t="shared" si="238"/>
        <v>0</v>
      </c>
      <c r="M510" s="3">
        <f t="shared" si="239"/>
        <v>0</v>
      </c>
      <c r="N510" s="3">
        <f t="shared" si="240"/>
        <v>0</v>
      </c>
      <c r="O510" s="3">
        <f t="shared" si="241"/>
        <v>500</v>
      </c>
      <c r="P510" s="3" t="str">
        <f t="shared" si="242"/>
        <v>0</v>
      </c>
      <c r="Q510" s="3">
        <f t="shared" si="243"/>
        <v>500</v>
      </c>
      <c r="R510" s="3" t="str">
        <f t="shared" si="244"/>
        <v>0</v>
      </c>
      <c r="S510" s="3">
        <f t="shared" si="245"/>
        <v>0</v>
      </c>
      <c r="T510" s="3" t="str">
        <f t="shared" si="246"/>
        <v>0</v>
      </c>
      <c r="U510" s="3"/>
      <c r="V510" s="3"/>
      <c r="W510" s="3"/>
      <c r="X510" s="3"/>
      <c r="Y510" s="3"/>
      <c r="Z510" s="3"/>
    </row>
    <row r="511" spans="1:26" x14ac:dyDescent="0.25">
      <c r="A511" s="2">
        <v>46128</v>
      </c>
      <c r="B511" s="3" t="s">
        <v>170</v>
      </c>
      <c r="C511" s="169" t="s">
        <v>240</v>
      </c>
      <c r="D511" s="4">
        <v>424.86500000000001</v>
      </c>
      <c r="E511" s="209">
        <v>0.995</v>
      </c>
      <c r="F511" s="184">
        <f t="shared" si="252"/>
        <v>422.74067500000001</v>
      </c>
      <c r="G511" s="6">
        <f t="shared" si="251"/>
        <v>0</v>
      </c>
      <c r="H511" s="219"/>
      <c r="I511" s="3" t="str">
        <f t="shared" si="235"/>
        <v>0</v>
      </c>
      <c r="J511" s="3" t="str">
        <f t="shared" si="236"/>
        <v>0</v>
      </c>
      <c r="K511" s="3" t="str">
        <f t="shared" si="237"/>
        <v>0</v>
      </c>
      <c r="L511" s="3" t="str">
        <f t="shared" si="238"/>
        <v>0</v>
      </c>
      <c r="M511" s="3">
        <f t="shared" si="239"/>
        <v>0</v>
      </c>
      <c r="N511" s="3">
        <f t="shared" si="240"/>
        <v>0</v>
      </c>
      <c r="O511" s="3">
        <f t="shared" si="241"/>
        <v>424.86500000000001</v>
      </c>
      <c r="P511" s="3" t="str">
        <f t="shared" si="242"/>
        <v>0</v>
      </c>
      <c r="Q511" s="3">
        <f t="shared" si="243"/>
        <v>422.74067500000001</v>
      </c>
      <c r="R511" s="3" t="str">
        <f t="shared" si="244"/>
        <v>0</v>
      </c>
      <c r="S511" s="3">
        <f t="shared" si="245"/>
        <v>0</v>
      </c>
      <c r="T511" s="3" t="str">
        <f t="shared" si="246"/>
        <v>0</v>
      </c>
      <c r="U511" s="3"/>
      <c r="V511" s="3"/>
      <c r="W511" s="3"/>
      <c r="X511" s="3"/>
      <c r="Y511" s="3"/>
      <c r="Z511" s="3"/>
    </row>
    <row r="512" spans="1:26" x14ac:dyDescent="0.25">
      <c r="A512" s="2">
        <v>46128</v>
      </c>
      <c r="B512" s="3" t="s">
        <v>171</v>
      </c>
      <c r="C512" s="169" t="s">
        <v>240</v>
      </c>
      <c r="D512" s="3"/>
      <c r="E512" s="3"/>
      <c r="F512" s="211">
        <f t="shared" ref="F512:F518" si="253">+D512*E512</f>
        <v>0</v>
      </c>
      <c r="G512" s="211" t="e">
        <f t="shared" si="251"/>
        <v>#DIV/0!</v>
      </c>
      <c r="H512" s="219"/>
      <c r="I512" s="3" t="str">
        <f t="shared" si="235"/>
        <v>0</v>
      </c>
      <c r="J512" s="3" t="str">
        <f t="shared" si="236"/>
        <v>0</v>
      </c>
      <c r="K512" s="3" t="str">
        <f t="shared" si="237"/>
        <v>0</v>
      </c>
      <c r="L512" s="3" t="str">
        <f t="shared" si="238"/>
        <v>0</v>
      </c>
      <c r="M512" s="3">
        <f t="shared" si="239"/>
        <v>0</v>
      </c>
      <c r="N512" s="3">
        <f t="shared" si="240"/>
        <v>0</v>
      </c>
      <c r="O512" s="3" t="str">
        <f t="shared" si="241"/>
        <v>0</v>
      </c>
      <c r="P512" s="3" t="str">
        <f t="shared" si="242"/>
        <v>0</v>
      </c>
      <c r="Q512" s="3" t="str">
        <f t="shared" si="243"/>
        <v>0</v>
      </c>
      <c r="R512" s="3" t="str">
        <f t="shared" si="244"/>
        <v>0</v>
      </c>
      <c r="S512" s="3">
        <f t="shared" si="245"/>
        <v>0</v>
      </c>
      <c r="T512" s="3" t="str">
        <f t="shared" si="246"/>
        <v>0</v>
      </c>
      <c r="U512" s="3"/>
      <c r="V512" s="3">
        <v>25887</v>
      </c>
      <c r="W512" s="3"/>
      <c r="X512" s="3"/>
      <c r="Y512" s="3"/>
      <c r="Z512" s="3"/>
    </row>
    <row r="513" spans="1:26" x14ac:dyDescent="0.25">
      <c r="A513" s="2">
        <v>46128</v>
      </c>
      <c r="B513" s="3" t="s">
        <v>171</v>
      </c>
      <c r="C513" s="3" t="s">
        <v>252</v>
      </c>
      <c r="D513" s="3"/>
      <c r="E513" s="3"/>
      <c r="F513" s="211">
        <f t="shared" si="253"/>
        <v>0</v>
      </c>
      <c r="G513" s="211" t="e">
        <f t="shared" si="251"/>
        <v>#DIV/0!</v>
      </c>
      <c r="H513" s="219"/>
      <c r="I513" s="158" t="str">
        <f t="shared" si="235"/>
        <v>0</v>
      </c>
      <c r="J513" s="3" t="str">
        <f t="shared" si="236"/>
        <v>0</v>
      </c>
      <c r="K513" s="3" t="str">
        <f t="shared" si="237"/>
        <v>0</v>
      </c>
      <c r="L513" s="3" t="str">
        <f t="shared" si="238"/>
        <v>0</v>
      </c>
      <c r="M513" s="3">
        <f t="shared" si="239"/>
        <v>0</v>
      </c>
      <c r="N513" s="3">
        <f t="shared" si="240"/>
        <v>0</v>
      </c>
      <c r="O513" s="3" t="str">
        <f t="shared" si="241"/>
        <v>0</v>
      </c>
      <c r="P513" s="3" t="str">
        <f t="shared" si="242"/>
        <v>0</v>
      </c>
      <c r="Q513" s="3" t="str">
        <f t="shared" si="243"/>
        <v>0</v>
      </c>
      <c r="R513" s="3" t="str">
        <f t="shared" si="244"/>
        <v>0</v>
      </c>
      <c r="S513" s="3">
        <f t="shared" si="245"/>
        <v>0</v>
      </c>
      <c r="T513" s="3" t="str">
        <f t="shared" si="246"/>
        <v>0</v>
      </c>
      <c r="U513" s="3">
        <v>3988</v>
      </c>
      <c r="V513" s="3"/>
      <c r="W513" s="3"/>
      <c r="X513" s="3"/>
      <c r="Y513" s="3"/>
      <c r="Z513" s="3"/>
    </row>
    <row r="514" spans="1:26" x14ac:dyDescent="0.25">
      <c r="A514" s="2">
        <v>46128</v>
      </c>
      <c r="B514" s="3" t="s">
        <v>212</v>
      </c>
      <c r="C514" s="169" t="s">
        <v>228</v>
      </c>
      <c r="D514" s="4">
        <v>3531.44</v>
      </c>
      <c r="E514" s="209">
        <v>0.88</v>
      </c>
      <c r="F514" s="184">
        <f t="shared" si="253"/>
        <v>3107.6671999999999</v>
      </c>
      <c r="G514" s="184">
        <f t="shared" si="251"/>
        <v>2.0231973359309516</v>
      </c>
      <c r="H514" s="185">
        <v>7144.8</v>
      </c>
      <c r="I514" s="158" t="str">
        <f t="shared" ref="I514:I577" si="254">IF(B514="SALES",D514,"0")</f>
        <v>0</v>
      </c>
      <c r="J514" s="3">
        <f t="shared" ref="J514:J577" si="255">IF(B514="SALES RETURN",D514,"0")</f>
        <v>3531.44</v>
      </c>
      <c r="K514" s="3" t="str">
        <f t="shared" ref="K514:K577" si="256">IF(B514="SALES",F514,"0")</f>
        <v>0</v>
      </c>
      <c r="L514" s="3">
        <f t="shared" ref="L514:L577" si="257">IF(B514="SALES RETURN",F514,"0")</f>
        <v>3107.6671999999999</v>
      </c>
      <c r="M514" s="3">
        <f t="shared" ref="M514:M577" si="258">IF(B514="SALES",H514,"0")+IF(B514="SALES",H514,"0")*5%</f>
        <v>0</v>
      </c>
      <c r="N514" s="3">
        <f t="shared" ref="N514:N577" si="259">IF(B514="SALES RETURN",H514,"0")+IF(B514="SALES RETURN",H514,"0")*5%</f>
        <v>7502.04</v>
      </c>
      <c r="O514" s="3" t="str">
        <f t="shared" ref="O514:O577" si="260">IF(B514="PURCHASE",D514,"0")</f>
        <v>0</v>
      </c>
      <c r="P514" s="3" t="str">
        <f t="shared" ref="P514:P577" si="261">IF(B514="METAL PAYMENT",D514,"0")</f>
        <v>0</v>
      </c>
      <c r="Q514" s="3" t="str">
        <f t="shared" ref="Q514:Q577" si="262">IF(B514="PURCHASE",F514,"0")</f>
        <v>0</v>
      </c>
      <c r="R514" s="3" t="str">
        <f t="shared" ref="R514:R577" si="263">IF(B514="METAL PAYMENT",F514,"0")</f>
        <v>0</v>
      </c>
      <c r="S514" s="3">
        <f t="shared" ref="S514:S577" si="264">IF(B514="PURCHASE",H514,"0")+IF(B514="PURCHASE",H514,"0")*5%</f>
        <v>0</v>
      </c>
      <c r="T514" s="3" t="str">
        <f t="shared" ref="T514:T577" si="265">IF(B514="METAL PAYMENT",H514,"0")</f>
        <v>0</v>
      </c>
      <c r="U514" s="3"/>
      <c r="V514" s="3"/>
      <c r="W514" s="3"/>
      <c r="X514" s="3"/>
      <c r="Y514" s="3"/>
      <c r="Z514" s="3"/>
    </row>
    <row r="515" spans="1:26" x14ac:dyDescent="0.25">
      <c r="A515" s="2">
        <v>46128</v>
      </c>
      <c r="B515" s="3" t="s">
        <v>212</v>
      </c>
      <c r="C515" s="169" t="s">
        <v>228</v>
      </c>
      <c r="D515" s="4">
        <v>575.22500000000002</v>
      </c>
      <c r="E515" s="209">
        <v>0.875</v>
      </c>
      <c r="F515" s="184">
        <f t="shared" si="253"/>
        <v>503.32187500000003</v>
      </c>
      <c r="G515" s="184"/>
      <c r="H515" s="185"/>
      <c r="I515" s="158" t="str">
        <f t="shared" si="254"/>
        <v>0</v>
      </c>
      <c r="J515" s="3">
        <f t="shared" si="255"/>
        <v>575.22500000000002</v>
      </c>
      <c r="K515" s="3" t="str">
        <f t="shared" si="256"/>
        <v>0</v>
      </c>
      <c r="L515" s="3">
        <f t="shared" si="257"/>
        <v>503.32187500000003</v>
      </c>
      <c r="M515" s="3">
        <f t="shared" si="258"/>
        <v>0</v>
      </c>
      <c r="N515" s="3">
        <f t="shared" si="259"/>
        <v>0</v>
      </c>
      <c r="O515" s="3" t="str">
        <f t="shared" si="260"/>
        <v>0</v>
      </c>
      <c r="P515" s="3" t="str">
        <f t="shared" si="261"/>
        <v>0</v>
      </c>
      <c r="Q515" s="3" t="str">
        <f t="shared" si="262"/>
        <v>0</v>
      </c>
      <c r="R515" s="3" t="str">
        <f t="shared" si="263"/>
        <v>0</v>
      </c>
      <c r="S515" s="3">
        <f t="shared" si="264"/>
        <v>0</v>
      </c>
      <c r="T515" s="3" t="str">
        <f t="shared" si="265"/>
        <v>0</v>
      </c>
      <c r="U515" s="3"/>
      <c r="V515" s="3"/>
      <c r="W515" s="3"/>
      <c r="X515" s="3"/>
      <c r="Y515" s="3"/>
      <c r="Z515" s="3"/>
    </row>
    <row r="516" spans="1:26" x14ac:dyDescent="0.25">
      <c r="A516" s="2">
        <v>46129</v>
      </c>
      <c r="B516" s="3" t="s">
        <v>169</v>
      </c>
      <c r="C516" s="3" t="s">
        <v>235</v>
      </c>
      <c r="D516" s="4">
        <v>877.08720000000005</v>
      </c>
      <c r="E516" s="5">
        <v>0.88</v>
      </c>
      <c r="F516" s="6">
        <f t="shared" si="253"/>
        <v>771.83673600000009</v>
      </c>
      <c r="G516" s="6">
        <f t="shared" ref="G516:G538" si="266">+H516/D516</f>
        <v>8.4955406942433989</v>
      </c>
      <c r="H516" s="7">
        <v>7451.33</v>
      </c>
      <c r="I516" s="158">
        <f t="shared" si="254"/>
        <v>877.08720000000005</v>
      </c>
      <c r="J516" s="3" t="str">
        <f t="shared" si="255"/>
        <v>0</v>
      </c>
      <c r="K516" s="3">
        <f t="shared" si="256"/>
        <v>771.83673600000009</v>
      </c>
      <c r="L516" s="3" t="str">
        <f t="shared" si="257"/>
        <v>0</v>
      </c>
      <c r="M516" s="3">
        <f t="shared" si="258"/>
        <v>7823.8964999999998</v>
      </c>
      <c r="N516" s="3">
        <f t="shared" si="259"/>
        <v>0</v>
      </c>
      <c r="O516" s="3" t="str">
        <f t="shared" si="260"/>
        <v>0</v>
      </c>
      <c r="P516" s="3" t="str">
        <f t="shared" si="261"/>
        <v>0</v>
      </c>
      <c r="Q516" s="3" t="str">
        <f t="shared" si="262"/>
        <v>0</v>
      </c>
      <c r="R516" s="3" t="str">
        <f t="shared" si="263"/>
        <v>0</v>
      </c>
      <c r="S516" s="3">
        <f t="shared" si="264"/>
        <v>0</v>
      </c>
      <c r="T516" s="3" t="str">
        <f t="shared" si="265"/>
        <v>0</v>
      </c>
      <c r="U516" s="3"/>
      <c r="V516" s="3"/>
      <c r="W516" s="3"/>
      <c r="X516" s="3"/>
      <c r="Y516" s="3"/>
      <c r="Z516" s="3"/>
    </row>
    <row r="517" spans="1:26" x14ac:dyDescent="0.25">
      <c r="A517" s="2">
        <v>46129</v>
      </c>
      <c r="B517" s="3" t="s">
        <v>169</v>
      </c>
      <c r="C517" s="169" t="s">
        <v>228</v>
      </c>
      <c r="D517" s="4">
        <v>365</v>
      </c>
      <c r="E517" s="5">
        <v>0.88</v>
      </c>
      <c r="F517" s="6">
        <f t="shared" si="253"/>
        <v>321.2</v>
      </c>
      <c r="G517" s="6">
        <f t="shared" si="266"/>
        <v>23.455342465753425</v>
      </c>
      <c r="H517" s="7">
        <v>8561.2000000000007</v>
      </c>
      <c r="I517" s="158">
        <f t="shared" si="254"/>
        <v>365</v>
      </c>
      <c r="J517" s="3" t="str">
        <f t="shared" si="255"/>
        <v>0</v>
      </c>
      <c r="K517" s="3">
        <f t="shared" si="256"/>
        <v>321.2</v>
      </c>
      <c r="L517" s="3" t="str">
        <f t="shared" si="257"/>
        <v>0</v>
      </c>
      <c r="M517" s="3">
        <f t="shared" si="258"/>
        <v>8989.26</v>
      </c>
      <c r="N517" s="3">
        <f t="shared" si="259"/>
        <v>0</v>
      </c>
      <c r="O517" s="3" t="str">
        <f t="shared" si="260"/>
        <v>0</v>
      </c>
      <c r="P517" s="3" t="str">
        <f t="shared" si="261"/>
        <v>0</v>
      </c>
      <c r="Q517" s="3" t="str">
        <f t="shared" si="262"/>
        <v>0</v>
      </c>
      <c r="R517" s="3" t="str">
        <f t="shared" si="263"/>
        <v>0</v>
      </c>
      <c r="S517" s="3">
        <f t="shared" si="264"/>
        <v>0</v>
      </c>
      <c r="T517" s="3" t="str">
        <f t="shared" si="265"/>
        <v>0</v>
      </c>
      <c r="U517" s="3"/>
      <c r="V517" s="3"/>
      <c r="W517" s="3"/>
      <c r="X517" s="3"/>
      <c r="Y517" s="3"/>
      <c r="Z517" s="3"/>
    </row>
    <row r="518" spans="1:26" x14ac:dyDescent="0.25">
      <c r="A518" s="2">
        <v>46129</v>
      </c>
      <c r="B518" s="3" t="s">
        <v>169</v>
      </c>
      <c r="C518" s="169" t="s">
        <v>229</v>
      </c>
      <c r="D518" s="4">
        <v>877.08720000000005</v>
      </c>
      <c r="E518" s="5">
        <v>0.88</v>
      </c>
      <c r="F518" s="6">
        <f t="shared" si="253"/>
        <v>771.83673600000009</v>
      </c>
      <c r="G518" s="6">
        <f t="shared" si="266"/>
        <v>7.0542586871636015</v>
      </c>
      <c r="H518" s="7">
        <v>6187.2</v>
      </c>
      <c r="I518" s="158">
        <f t="shared" si="254"/>
        <v>877.08720000000005</v>
      </c>
      <c r="J518" s="3" t="str">
        <f t="shared" si="255"/>
        <v>0</v>
      </c>
      <c r="K518" s="3">
        <f t="shared" si="256"/>
        <v>771.83673600000009</v>
      </c>
      <c r="L518" s="3" t="str">
        <f t="shared" si="257"/>
        <v>0</v>
      </c>
      <c r="M518" s="3">
        <f t="shared" si="258"/>
        <v>6496.5599999999995</v>
      </c>
      <c r="N518" s="3">
        <f t="shared" si="259"/>
        <v>0</v>
      </c>
      <c r="O518" s="3" t="str">
        <f t="shared" si="260"/>
        <v>0</v>
      </c>
      <c r="P518" s="3" t="str">
        <f t="shared" si="261"/>
        <v>0</v>
      </c>
      <c r="Q518" s="3" t="str">
        <f t="shared" si="262"/>
        <v>0</v>
      </c>
      <c r="R518" s="3" t="str">
        <f t="shared" si="263"/>
        <v>0</v>
      </c>
      <c r="S518" s="3">
        <f t="shared" si="264"/>
        <v>0</v>
      </c>
      <c r="T518" s="3" t="str">
        <f t="shared" si="265"/>
        <v>0</v>
      </c>
      <c r="U518" s="3"/>
      <c r="V518" s="3"/>
      <c r="W518" s="3"/>
      <c r="X518" s="3"/>
      <c r="Y518" s="3"/>
      <c r="Z518" s="3"/>
    </row>
    <row r="519" spans="1:26" x14ac:dyDescent="0.25">
      <c r="A519" s="2">
        <v>46129</v>
      </c>
      <c r="B519" s="3" t="s">
        <v>170</v>
      </c>
      <c r="C519" s="169" t="s">
        <v>232</v>
      </c>
      <c r="D519" s="4">
        <v>995</v>
      </c>
      <c r="E519" s="209">
        <v>0.995</v>
      </c>
      <c r="F519" s="184">
        <f>D519*E519</f>
        <v>990.02499999999998</v>
      </c>
      <c r="G519" s="6">
        <f t="shared" si="266"/>
        <v>0</v>
      </c>
      <c r="H519" s="219"/>
      <c r="I519" s="158" t="str">
        <f t="shared" si="254"/>
        <v>0</v>
      </c>
      <c r="J519" s="3" t="str">
        <f t="shared" si="255"/>
        <v>0</v>
      </c>
      <c r="K519" s="3" t="str">
        <f t="shared" si="256"/>
        <v>0</v>
      </c>
      <c r="L519" s="3" t="str">
        <f t="shared" si="257"/>
        <v>0</v>
      </c>
      <c r="M519" s="3">
        <f t="shared" si="258"/>
        <v>0</v>
      </c>
      <c r="N519" s="3">
        <f t="shared" si="259"/>
        <v>0</v>
      </c>
      <c r="O519" s="3">
        <f t="shared" si="260"/>
        <v>995</v>
      </c>
      <c r="P519" s="3" t="str">
        <f t="shared" si="261"/>
        <v>0</v>
      </c>
      <c r="Q519" s="3">
        <f t="shared" si="262"/>
        <v>990.02499999999998</v>
      </c>
      <c r="R519" s="3" t="str">
        <f t="shared" si="263"/>
        <v>0</v>
      </c>
      <c r="S519" s="3">
        <f t="shared" si="264"/>
        <v>0</v>
      </c>
      <c r="T519" s="3" t="str">
        <f t="shared" si="265"/>
        <v>0</v>
      </c>
      <c r="U519" s="3"/>
      <c r="V519" s="3"/>
      <c r="W519" s="3"/>
      <c r="X519" s="3"/>
      <c r="Y519" s="3"/>
      <c r="Z519" s="3"/>
    </row>
    <row r="520" spans="1:26" x14ac:dyDescent="0.25">
      <c r="A520" s="2">
        <v>46129</v>
      </c>
      <c r="B520" s="3" t="s">
        <v>170</v>
      </c>
      <c r="C520" s="169" t="s">
        <v>228</v>
      </c>
      <c r="D520" s="4">
        <v>995</v>
      </c>
      <c r="E520" s="209">
        <v>0.995</v>
      </c>
      <c r="F520" s="184">
        <f>D520*E520</f>
        <v>990.02499999999998</v>
      </c>
      <c r="G520" s="6">
        <f t="shared" si="266"/>
        <v>0</v>
      </c>
      <c r="H520" s="219"/>
      <c r="I520" s="158" t="str">
        <f t="shared" si="254"/>
        <v>0</v>
      </c>
      <c r="J520" s="3" t="str">
        <f t="shared" si="255"/>
        <v>0</v>
      </c>
      <c r="K520" s="3" t="str">
        <f t="shared" si="256"/>
        <v>0</v>
      </c>
      <c r="L520" s="3" t="str">
        <f t="shared" si="257"/>
        <v>0</v>
      </c>
      <c r="M520" s="3">
        <f t="shared" si="258"/>
        <v>0</v>
      </c>
      <c r="N520" s="3">
        <f t="shared" si="259"/>
        <v>0</v>
      </c>
      <c r="O520" s="3">
        <f t="shared" si="260"/>
        <v>995</v>
      </c>
      <c r="P520" s="3" t="str">
        <f t="shared" si="261"/>
        <v>0</v>
      </c>
      <c r="Q520" s="3">
        <f t="shared" si="262"/>
        <v>990.02499999999998</v>
      </c>
      <c r="R520" s="3" t="str">
        <f t="shared" si="263"/>
        <v>0</v>
      </c>
      <c r="S520" s="3">
        <f t="shared" si="264"/>
        <v>0</v>
      </c>
      <c r="T520" s="3" t="str">
        <f t="shared" si="265"/>
        <v>0</v>
      </c>
      <c r="U520" s="3"/>
      <c r="V520" s="3"/>
      <c r="W520" s="3"/>
      <c r="X520" s="3"/>
      <c r="Y520" s="3"/>
      <c r="Z520" s="3"/>
    </row>
    <row r="521" spans="1:26" x14ac:dyDescent="0.25">
      <c r="A521" s="2">
        <v>46129</v>
      </c>
      <c r="B521" s="3" t="s">
        <v>170</v>
      </c>
      <c r="C521" s="3" t="s">
        <v>235</v>
      </c>
      <c r="D521" s="4">
        <v>478.04775000000001</v>
      </c>
      <c r="E521" s="209">
        <v>0.995</v>
      </c>
      <c r="F521" s="184">
        <f>D521*E521</f>
        <v>475.65751125000003</v>
      </c>
      <c r="G521" s="6">
        <f t="shared" si="266"/>
        <v>0</v>
      </c>
      <c r="H521" s="219"/>
      <c r="I521" s="158" t="str">
        <f t="shared" si="254"/>
        <v>0</v>
      </c>
      <c r="J521" s="3" t="str">
        <f t="shared" si="255"/>
        <v>0</v>
      </c>
      <c r="K521" s="3" t="str">
        <f t="shared" si="256"/>
        <v>0</v>
      </c>
      <c r="L521" s="3" t="str">
        <f t="shared" si="257"/>
        <v>0</v>
      </c>
      <c r="M521" s="3">
        <f t="shared" si="258"/>
        <v>0</v>
      </c>
      <c r="N521" s="3">
        <f t="shared" si="259"/>
        <v>0</v>
      </c>
      <c r="O521" s="3">
        <f t="shared" si="260"/>
        <v>478.04775000000001</v>
      </c>
      <c r="P521" s="3" t="str">
        <f t="shared" si="261"/>
        <v>0</v>
      </c>
      <c r="Q521" s="3">
        <f t="shared" si="262"/>
        <v>475.65751125000003</v>
      </c>
      <c r="R521" s="3" t="str">
        <f t="shared" si="263"/>
        <v>0</v>
      </c>
      <c r="S521" s="3">
        <f t="shared" si="264"/>
        <v>0</v>
      </c>
      <c r="T521" s="3" t="str">
        <f t="shared" si="265"/>
        <v>0</v>
      </c>
      <c r="U521" s="3"/>
      <c r="V521" s="3"/>
      <c r="W521" s="3"/>
      <c r="X521" s="3"/>
      <c r="Y521" s="3"/>
      <c r="Z521" s="3"/>
    </row>
    <row r="522" spans="1:26" x14ac:dyDescent="0.25">
      <c r="A522" s="2">
        <v>46130</v>
      </c>
      <c r="B522" s="3" t="s">
        <v>169</v>
      </c>
      <c r="C522" s="169" t="s">
        <v>228</v>
      </c>
      <c r="D522" s="4">
        <v>619.34399999999994</v>
      </c>
      <c r="E522" s="5">
        <v>0.88</v>
      </c>
      <c r="F522" s="6">
        <f>+D522*E522</f>
        <v>545.02271999999994</v>
      </c>
      <c r="G522" s="6">
        <f t="shared" si="266"/>
        <v>10.940931049626702</v>
      </c>
      <c r="H522" s="7">
        <v>6776.2</v>
      </c>
      <c r="I522" s="158">
        <f t="shared" si="254"/>
        <v>619.34399999999994</v>
      </c>
      <c r="J522" s="3" t="str">
        <f t="shared" si="255"/>
        <v>0</v>
      </c>
      <c r="K522" s="3">
        <f t="shared" si="256"/>
        <v>545.02271999999994</v>
      </c>
      <c r="L522" s="3" t="str">
        <f t="shared" si="257"/>
        <v>0</v>
      </c>
      <c r="M522" s="3">
        <f t="shared" si="258"/>
        <v>7115.01</v>
      </c>
      <c r="N522" s="3">
        <f t="shared" si="259"/>
        <v>0</v>
      </c>
      <c r="O522" s="3" t="str">
        <f t="shared" si="260"/>
        <v>0</v>
      </c>
      <c r="P522" s="3" t="str">
        <f t="shared" si="261"/>
        <v>0</v>
      </c>
      <c r="Q522" s="3" t="str">
        <f t="shared" si="262"/>
        <v>0</v>
      </c>
      <c r="R522" s="3" t="str">
        <f t="shared" si="263"/>
        <v>0</v>
      </c>
      <c r="S522" s="3">
        <f t="shared" si="264"/>
        <v>0</v>
      </c>
      <c r="T522" s="3" t="str">
        <f t="shared" si="265"/>
        <v>0</v>
      </c>
      <c r="U522" s="3"/>
      <c r="V522" s="3"/>
      <c r="W522" s="3"/>
      <c r="X522" s="3"/>
      <c r="Y522" s="3"/>
      <c r="Z522" s="3"/>
    </row>
    <row r="523" spans="1:26" x14ac:dyDescent="0.25">
      <c r="A523" s="2">
        <v>46130</v>
      </c>
      <c r="B523" s="3" t="s">
        <v>169</v>
      </c>
      <c r="C523" s="3" t="s">
        <v>230</v>
      </c>
      <c r="D523" s="4">
        <v>1587.3440000000001</v>
      </c>
      <c r="E523" s="5">
        <v>0.88</v>
      </c>
      <c r="F523" s="6">
        <f>+D523*E523</f>
        <v>1396.8627200000001</v>
      </c>
      <c r="G523" s="6">
        <f t="shared" si="266"/>
        <v>9.0909090909090899</v>
      </c>
      <c r="H523" s="7">
        <v>14430.4</v>
      </c>
      <c r="I523" s="158">
        <f t="shared" si="254"/>
        <v>1587.3440000000001</v>
      </c>
      <c r="J523" s="3" t="str">
        <f t="shared" si="255"/>
        <v>0</v>
      </c>
      <c r="K523" s="3">
        <f t="shared" si="256"/>
        <v>1396.8627200000001</v>
      </c>
      <c r="L523" s="3" t="str">
        <f t="shared" si="257"/>
        <v>0</v>
      </c>
      <c r="M523" s="3">
        <f t="shared" si="258"/>
        <v>15151.92</v>
      </c>
      <c r="N523" s="3">
        <f t="shared" si="259"/>
        <v>0</v>
      </c>
      <c r="O523" s="3" t="str">
        <f t="shared" si="260"/>
        <v>0</v>
      </c>
      <c r="P523" s="3" t="str">
        <f t="shared" si="261"/>
        <v>0</v>
      </c>
      <c r="Q523" s="3" t="str">
        <f t="shared" si="262"/>
        <v>0</v>
      </c>
      <c r="R523" s="3" t="str">
        <f t="shared" si="263"/>
        <v>0</v>
      </c>
      <c r="S523" s="3">
        <f t="shared" si="264"/>
        <v>0</v>
      </c>
      <c r="T523" s="3" t="str">
        <f t="shared" si="265"/>
        <v>0</v>
      </c>
      <c r="U523" s="3"/>
      <c r="V523" s="3"/>
      <c r="W523" s="3"/>
      <c r="X523" s="3"/>
      <c r="Y523" s="3"/>
      <c r="Z523" s="3"/>
    </row>
    <row r="524" spans="1:26" x14ac:dyDescent="0.25">
      <c r="A524" s="2">
        <v>46130</v>
      </c>
      <c r="B524" s="3" t="s">
        <v>169</v>
      </c>
      <c r="C524" s="3" t="s">
        <v>235</v>
      </c>
      <c r="D524" s="4">
        <v>194.77040000000002</v>
      </c>
      <c r="E524" s="5">
        <v>0.88</v>
      </c>
      <c r="F524" s="6">
        <f>+D524*E524</f>
        <v>171.39795200000003</v>
      </c>
      <c r="G524" s="6">
        <f t="shared" si="266"/>
        <v>13.636363636363635</v>
      </c>
      <c r="H524" s="7">
        <v>2655.96</v>
      </c>
      <c r="I524" s="158">
        <f t="shared" si="254"/>
        <v>194.77040000000002</v>
      </c>
      <c r="J524" s="3" t="str">
        <f t="shared" si="255"/>
        <v>0</v>
      </c>
      <c r="K524" s="3">
        <f t="shared" si="256"/>
        <v>171.39795200000003</v>
      </c>
      <c r="L524" s="3" t="str">
        <f t="shared" si="257"/>
        <v>0</v>
      </c>
      <c r="M524" s="3">
        <f t="shared" si="258"/>
        <v>2788.7579999999998</v>
      </c>
      <c r="N524" s="3">
        <f t="shared" si="259"/>
        <v>0</v>
      </c>
      <c r="O524" s="3" t="str">
        <f t="shared" si="260"/>
        <v>0</v>
      </c>
      <c r="P524" s="3" t="str">
        <f t="shared" si="261"/>
        <v>0</v>
      </c>
      <c r="Q524" s="3" t="str">
        <f t="shared" si="262"/>
        <v>0</v>
      </c>
      <c r="R524" s="3" t="str">
        <f t="shared" si="263"/>
        <v>0</v>
      </c>
      <c r="S524" s="3">
        <f t="shared" si="264"/>
        <v>0</v>
      </c>
      <c r="T524" s="3" t="str">
        <f t="shared" si="265"/>
        <v>0</v>
      </c>
      <c r="U524" s="3"/>
      <c r="V524" s="3"/>
      <c r="W524" s="3"/>
      <c r="X524" s="3"/>
      <c r="Y524" s="3"/>
      <c r="Z524" s="3"/>
    </row>
    <row r="525" spans="1:26" x14ac:dyDescent="0.25">
      <c r="A525" s="2">
        <v>46130</v>
      </c>
      <c r="B525" s="3" t="s">
        <v>170</v>
      </c>
      <c r="C525" s="3" t="s">
        <v>250</v>
      </c>
      <c r="D525" s="4">
        <v>308.94749999999999</v>
      </c>
      <c r="E525" s="209">
        <v>0.995</v>
      </c>
      <c r="F525" s="184">
        <f>D525*E525</f>
        <v>307.40276249999999</v>
      </c>
      <c r="G525" s="6">
        <f t="shared" si="266"/>
        <v>0</v>
      </c>
      <c r="H525" s="219"/>
      <c r="I525" s="158" t="str">
        <f t="shared" si="254"/>
        <v>0</v>
      </c>
      <c r="J525" s="3" t="str">
        <f t="shared" si="255"/>
        <v>0</v>
      </c>
      <c r="K525" s="3" t="str">
        <f t="shared" si="256"/>
        <v>0</v>
      </c>
      <c r="L525" s="3" t="str">
        <f t="shared" si="257"/>
        <v>0</v>
      </c>
      <c r="M525" s="3">
        <f t="shared" si="258"/>
        <v>0</v>
      </c>
      <c r="N525" s="3">
        <f t="shared" si="259"/>
        <v>0</v>
      </c>
      <c r="O525" s="3">
        <f t="shared" si="260"/>
        <v>308.94749999999999</v>
      </c>
      <c r="P525" s="3" t="str">
        <f t="shared" si="261"/>
        <v>0</v>
      </c>
      <c r="Q525" s="3">
        <f t="shared" si="262"/>
        <v>307.40276249999999</v>
      </c>
      <c r="R525" s="3" t="str">
        <f t="shared" si="263"/>
        <v>0</v>
      </c>
      <c r="S525" s="3">
        <f t="shared" si="264"/>
        <v>0</v>
      </c>
      <c r="T525" s="3" t="str">
        <f t="shared" si="265"/>
        <v>0</v>
      </c>
      <c r="U525" s="3"/>
      <c r="V525" s="3"/>
      <c r="W525" s="3"/>
      <c r="X525" s="3"/>
      <c r="Y525" s="3">
        <v>20895.009999999998</v>
      </c>
      <c r="Z525" s="3">
        <v>505.899</v>
      </c>
    </row>
    <row r="526" spans="1:26" x14ac:dyDescent="0.25">
      <c r="A526" s="2">
        <v>46130</v>
      </c>
      <c r="B526" s="3" t="s">
        <v>170</v>
      </c>
      <c r="C526" s="169" t="s">
        <v>228</v>
      </c>
      <c r="D526" s="4">
        <v>1990</v>
      </c>
      <c r="E526" s="209">
        <v>0.995</v>
      </c>
      <c r="F526" s="184">
        <f>D526*E526</f>
        <v>1980.05</v>
      </c>
      <c r="G526" s="6">
        <f t="shared" si="266"/>
        <v>0</v>
      </c>
      <c r="H526" s="219"/>
      <c r="I526" s="158" t="str">
        <f t="shared" si="254"/>
        <v>0</v>
      </c>
      <c r="J526" s="3" t="str">
        <f t="shared" si="255"/>
        <v>0</v>
      </c>
      <c r="K526" s="3" t="str">
        <f t="shared" si="256"/>
        <v>0</v>
      </c>
      <c r="L526" s="3" t="str">
        <f t="shared" si="257"/>
        <v>0</v>
      </c>
      <c r="M526" s="3">
        <f t="shared" si="258"/>
        <v>0</v>
      </c>
      <c r="N526" s="3">
        <f t="shared" si="259"/>
        <v>0</v>
      </c>
      <c r="O526" s="3">
        <f t="shared" si="260"/>
        <v>1990</v>
      </c>
      <c r="P526" s="3" t="str">
        <f t="shared" si="261"/>
        <v>0</v>
      </c>
      <c r="Q526" s="3">
        <f t="shared" si="262"/>
        <v>1980.05</v>
      </c>
      <c r="R526" s="3" t="str">
        <f t="shared" si="263"/>
        <v>0</v>
      </c>
      <c r="S526" s="3">
        <f t="shared" si="264"/>
        <v>0</v>
      </c>
      <c r="T526" s="3" t="str">
        <f t="shared" si="265"/>
        <v>0</v>
      </c>
      <c r="U526" s="3"/>
      <c r="V526" s="3"/>
      <c r="W526" s="3"/>
      <c r="X526" s="3"/>
      <c r="Y526" s="3"/>
      <c r="Z526" s="3"/>
    </row>
    <row r="527" spans="1:26" x14ac:dyDescent="0.25">
      <c r="A527" s="2">
        <v>46130</v>
      </c>
      <c r="B527" s="3" t="s">
        <v>170</v>
      </c>
      <c r="C527" s="169" t="s">
        <v>229</v>
      </c>
      <c r="D527" s="4">
        <v>517.798</v>
      </c>
      <c r="E527" s="209">
        <v>0.995</v>
      </c>
      <c r="F527" s="184">
        <f>D527*E527</f>
        <v>515.20901000000003</v>
      </c>
      <c r="G527" s="6">
        <f t="shared" si="266"/>
        <v>0</v>
      </c>
      <c r="H527" s="219"/>
      <c r="I527" s="158" t="str">
        <f t="shared" si="254"/>
        <v>0</v>
      </c>
      <c r="J527" s="3" t="str">
        <f t="shared" si="255"/>
        <v>0</v>
      </c>
      <c r="K527" s="3" t="str">
        <f t="shared" si="256"/>
        <v>0</v>
      </c>
      <c r="L527" s="3" t="str">
        <f t="shared" si="257"/>
        <v>0</v>
      </c>
      <c r="M527" s="3">
        <f t="shared" si="258"/>
        <v>0</v>
      </c>
      <c r="N527" s="3">
        <f t="shared" si="259"/>
        <v>0</v>
      </c>
      <c r="O527" s="3">
        <f t="shared" si="260"/>
        <v>517.798</v>
      </c>
      <c r="P527" s="3" t="str">
        <f t="shared" si="261"/>
        <v>0</v>
      </c>
      <c r="Q527" s="3">
        <f t="shared" si="262"/>
        <v>515.20901000000003</v>
      </c>
      <c r="R527" s="3" t="str">
        <f t="shared" si="263"/>
        <v>0</v>
      </c>
      <c r="S527" s="3">
        <f t="shared" si="264"/>
        <v>0</v>
      </c>
      <c r="T527" s="3" t="str">
        <f t="shared" si="265"/>
        <v>0</v>
      </c>
      <c r="U527" s="3"/>
      <c r="V527" s="3"/>
      <c r="W527" s="3"/>
      <c r="X527" s="3"/>
      <c r="Y527" s="3"/>
      <c r="Z527" s="3"/>
    </row>
    <row r="528" spans="1:26" x14ac:dyDescent="0.25">
      <c r="A528" s="2">
        <v>46130</v>
      </c>
      <c r="B528" s="3" t="s">
        <v>170</v>
      </c>
      <c r="C528" s="3" t="s">
        <v>230</v>
      </c>
      <c r="D528" s="4">
        <v>399.09450000000004</v>
      </c>
      <c r="E528" s="209">
        <v>0.995</v>
      </c>
      <c r="F528" s="184">
        <f>D528*E528</f>
        <v>397.09902750000003</v>
      </c>
      <c r="G528" s="6">
        <f t="shared" si="266"/>
        <v>0</v>
      </c>
      <c r="H528" s="219"/>
      <c r="I528" s="158" t="str">
        <f t="shared" si="254"/>
        <v>0</v>
      </c>
      <c r="J528" s="3" t="str">
        <f t="shared" si="255"/>
        <v>0</v>
      </c>
      <c r="K528" s="3" t="str">
        <f t="shared" si="256"/>
        <v>0</v>
      </c>
      <c r="L528" s="3" t="str">
        <f t="shared" si="257"/>
        <v>0</v>
      </c>
      <c r="M528" s="3">
        <f t="shared" si="258"/>
        <v>0</v>
      </c>
      <c r="N528" s="3">
        <f t="shared" si="259"/>
        <v>0</v>
      </c>
      <c r="O528" s="3">
        <f t="shared" si="260"/>
        <v>399.09450000000004</v>
      </c>
      <c r="P528" s="3" t="str">
        <f t="shared" si="261"/>
        <v>0</v>
      </c>
      <c r="Q528" s="3">
        <f t="shared" si="262"/>
        <v>397.09902750000003</v>
      </c>
      <c r="R528" s="3" t="str">
        <f t="shared" si="263"/>
        <v>0</v>
      </c>
      <c r="S528" s="3">
        <f t="shared" si="264"/>
        <v>0</v>
      </c>
      <c r="T528" s="3" t="str">
        <f t="shared" si="265"/>
        <v>0</v>
      </c>
      <c r="U528" s="3"/>
      <c r="V528" s="3"/>
      <c r="W528" s="3"/>
      <c r="X528" s="3"/>
      <c r="Y528" s="3"/>
      <c r="Z528" s="3"/>
    </row>
    <row r="529" spans="1:26" x14ac:dyDescent="0.25">
      <c r="A529" s="2">
        <v>46130</v>
      </c>
      <c r="B529" s="3" t="s">
        <v>170</v>
      </c>
      <c r="C529" s="3" t="s">
        <v>230</v>
      </c>
      <c r="D529" s="4">
        <v>250</v>
      </c>
      <c r="E529" s="209">
        <v>1</v>
      </c>
      <c r="F529" s="184">
        <f>D529*E529</f>
        <v>250</v>
      </c>
      <c r="G529" s="6">
        <f t="shared" si="266"/>
        <v>0</v>
      </c>
      <c r="H529" s="219"/>
      <c r="I529" s="3" t="str">
        <f t="shared" si="254"/>
        <v>0</v>
      </c>
      <c r="J529" s="3" t="str">
        <f t="shared" si="255"/>
        <v>0</v>
      </c>
      <c r="K529" s="3" t="str">
        <f t="shared" si="256"/>
        <v>0</v>
      </c>
      <c r="L529" s="3" t="str">
        <f t="shared" si="257"/>
        <v>0</v>
      </c>
      <c r="M529" s="3">
        <f t="shared" si="258"/>
        <v>0</v>
      </c>
      <c r="N529" s="3">
        <f t="shared" si="259"/>
        <v>0</v>
      </c>
      <c r="O529" s="3">
        <f t="shared" si="260"/>
        <v>250</v>
      </c>
      <c r="P529" s="3" t="str">
        <f t="shared" si="261"/>
        <v>0</v>
      </c>
      <c r="Q529" s="3">
        <f t="shared" si="262"/>
        <v>250</v>
      </c>
      <c r="R529" s="3" t="str">
        <f t="shared" si="263"/>
        <v>0</v>
      </c>
      <c r="S529" s="3">
        <f t="shared" si="264"/>
        <v>0</v>
      </c>
      <c r="T529" s="3" t="str">
        <f t="shared" si="265"/>
        <v>0</v>
      </c>
      <c r="U529" s="3"/>
      <c r="V529" s="3"/>
      <c r="W529" s="3"/>
      <c r="X529" s="3"/>
      <c r="Y529" s="3"/>
      <c r="Z529" s="3"/>
    </row>
    <row r="530" spans="1:26" x14ac:dyDescent="0.25">
      <c r="A530" s="2">
        <v>46130</v>
      </c>
      <c r="B530" s="3" t="s">
        <v>171</v>
      </c>
      <c r="C530" s="169" t="s">
        <v>228</v>
      </c>
      <c r="D530" s="3"/>
      <c r="E530" s="3"/>
      <c r="F530" s="211">
        <f>+D530*E530</f>
        <v>0</v>
      </c>
      <c r="G530" s="211" t="e">
        <f t="shared" si="266"/>
        <v>#DIV/0!</v>
      </c>
      <c r="H530" s="219"/>
      <c r="I530" s="3" t="str">
        <f t="shared" si="254"/>
        <v>0</v>
      </c>
      <c r="J530" s="3" t="str">
        <f t="shared" si="255"/>
        <v>0</v>
      </c>
      <c r="K530" s="3" t="str">
        <f t="shared" si="256"/>
        <v>0</v>
      </c>
      <c r="L530" s="3" t="str">
        <f t="shared" si="257"/>
        <v>0</v>
      </c>
      <c r="M530" s="3">
        <f t="shared" si="258"/>
        <v>0</v>
      </c>
      <c r="N530" s="3">
        <f t="shared" si="259"/>
        <v>0</v>
      </c>
      <c r="O530" s="3" t="str">
        <f t="shared" si="260"/>
        <v>0</v>
      </c>
      <c r="P530" s="3" t="str">
        <f t="shared" si="261"/>
        <v>0</v>
      </c>
      <c r="Q530" s="3" t="str">
        <f t="shared" si="262"/>
        <v>0</v>
      </c>
      <c r="R530" s="3" t="str">
        <f t="shared" si="263"/>
        <v>0</v>
      </c>
      <c r="S530" s="3">
        <f t="shared" si="264"/>
        <v>0</v>
      </c>
      <c r="T530" s="3" t="str">
        <f t="shared" si="265"/>
        <v>0</v>
      </c>
      <c r="U530" s="3">
        <v>50000</v>
      </c>
      <c r="V530" s="3"/>
      <c r="W530" s="3"/>
      <c r="X530" s="3"/>
      <c r="Y530" s="3"/>
      <c r="Z530" s="3"/>
    </row>
    <row r="531" spans="1:26" x14ac:dyDescent="0.25">
      <c r="A531" s="2">
        <v>46130</v>
      </c>
      <c r="B531" s="3" t="s">
        <v>171</v>
      </c>
      <c r="C531" s="169" t="s">
        <v>246</v>
      </c>
      <c r="D531" s="3"/>
      <c r="E531" s="3"/>
      <c r="F531" s="211">
        <f>+D531*E531</f>
        <v>0</v>
      </c>
      <c r="G531" s="211" t="e">
        <f t="shared" si="266"/>
        <v>#DIV/0!</v>
      </c>
      <c r="H531" s="230"/>
      <c r="I531" s="3" t="str">
        <f t="shared" si="254"/>
        <v>0</v>
      </c>
      <c r="J531" s="3" t="str">
        <f t="shared" si="255"/>
        <v>0</v>
      </c>
      <c r="K531" s="3" t="str">
        <f t="shared" si="256"/>
        <v>0</v>
      </c>
      <c r="L531" s="3" t="str">
        <f t="shared" si="257"/>
        <v>0</v>
      </c>
      <c r="M531" s="3">
        <f t="shared" si="258"/>
        <v>0</v>
      </c>
      <c r="N531" s="3">
        <f t="shared" si="259"/>
        <v>0</v>
      </c>
      <c r="O531" s="3" t="str">
        <f t="shared" si="260"/>
        <v>0</v>
      </c>
      <c r="P531" s="3" t="str">
        <f t="shared" si="261"/>
        <v>0</v>
      </c>
      <c r="Q531" s="3" t="str">
        <f t="shared" si="262"/>
        <v>0</v>
      </c>
      <c r="R531" s="3" t="str">
        <f t="shared" si="263"/>
        <v>0</v>
      </c>
      <c r="S531" s="3">
        <f t="shared" si="264"/>
        <v>0</v>
      </c>
      <c r="T531" s="3" t="str">
        <f t="shared" si="265"/>
        <v>0</v>
      </c>
      <c r="U531" s="3"/>
      <c r="V531" s="3">
        <v>25000</v>
      </c>
      <c r="W531" s="3"/>
      <c r="X531" s="3"/>
      <c r="Y531" s="3"/>
      <c r="Z531" s="3"/>
    </row>
    <row r="532" spans="1:26" x14ac:dyDescent="0.25">
      <c r="A532" s="2">
        <v>46132</v>
      </c>
      <c r="B532" s="3" t="s">
        <v>169</v>
      </c>
      <c r="C532" s="169" t="s">
        <v>228</v>
      </c>
      <c r="D532" s="4">
        <v>2126.9</v>
      </c>
      <c r="E532" s="5">
        <v>0.88</v>
      </c>
      <c r="F532" s="6">
        <f>+D532*E532</f>
        <v>1871.672</v>
      </c>
      <c r="G532" s="6">
        <f t="shared" si="266"/>
        <v>10.724481639945461</v>
      </c>
      <c r="H532" s="7">
        <v>22809.9</v>
      </c>
      <c r="I532" s="3">
        <f t="shared" si="254"/>
        <v>2126.9</v>
      </c>
      <c r="J532" s="3" t="str">
        <f t="shared" si="255"/>
        <v>0</v>
      </c>
      <c r="K532" s="3">
        <f t="shared" si="256"/>
        <v>1871.672</v>
      </c>
      <c r="L532" s="3" t="str">
        <f t="shared" si="257"/>
        <v>0</v>
      </c>
      <c r="M532" s="3">
        <f t="shared" si="258"/>
        <v>23950.395</v>
      </c>
      <c r="N532" s="3">
        <f t="shared" si="259"/>
        <v>0</v>
      </c>
      <c r="O532" s="3" t="str">
        <f t="shared" si="260"/>
        <v>0</v>
      </c>
      <c r="P532" s="3" t="str">
        <f t="shared" si="261"/>
        <v>0</v>
      </c>
      <c r="Q532" s="3" t="str">
        <f t="shared" si="262"/>
        <v>0</v>
      </c>
      <c r="R532" s="3" t="str">
        <f t="shared" si="263"/>
        <v>0</v>
      </c>
      <c r="S532" s="3">
        <f t="shared" si="264"/>
        <v>0</v>
      </c>
      <c r="T532" s="3" t="str">
        <f t="shared" si="265"/>
        <v>0</v>
      </c>
      <c r="U532" s="3"/>
      <c r="V532" s="3"/>
      <c r="W532" s="3"/>
      <c r="X532" s="3"/>
      <c r="Y532" s="3"/>
      <c r="Z532" s="3"/>
    </row>
    <row r="533" spans="1:26" x14ac:dyDescent="0.25">
      <c r="A533" s="2">
        <v>46132</v>
      </c>
      <c r="B533" s="3" t="s">
        <v>170</v>
      </c>
      <c r="C533" s="169" t="s">
        <v>228</v>
      </c>
      <c r="D533" s="4">
        <v>2000</v>
      </c>
      <c r="E533" s="209">
        <v>0.995</v>
      </c>
      <c r="F533" s="184">
        <f>D533*E533</f>
        <v>1990</v>
      </c>
      <c r="G533" s="6">
        <f t="shared" si="266"/>
        <v>0</v>
      </c>
      <c r="H533" s="219"/>
      <c r="I533" s="3" t="str">
        <f t="shared" si="254"/>
        <v>0</v>
      </c>
      <c r="J533" s="3" t="str">
        <f t="shared" si="255"/>
        <v>0</v>
      </c>
      <c r="K533" s="3" t="str">
        <f t="shared" si="256"/>
        <v>0</v>
      </c>
      <c r="L533" s="3" t="str">
        <f t="shared" si="257"/>
        <v>0</v>
      </c>
      <c r="M533" s="3">
        <f t="shared" si="258"/>
        <v>0</v>
      </c>
      <c r="N533" s="3">
        <f t="shared" si="259"/>
        <v>0</v>
      </c>
      <c r="O533" s="3">
        <f t="shared" si="260"/>
        <v>2000</v>
      </c>
      <c r="P533" s="3" t="str">
        <f t="shared" si="261"/>
        <v>0</v>
      </c>
      <c r="Q533" s="3">
        <f t="shared" si="262"/>
        <v>1990</v>
      </c>
      <c r="R533" s="3" t="str">
        <f t="shared" si="263"/>
        <v>0</v>
      </c>
      <c r="S533" s="3">
        <f t="shared" si="264"/>
        <v>0</v>
      </c>
      <c r="T533" s="3" t="str">
        <f t="shared" si="265"/>
        <v>0</v>
      </c>
      <c r="U533" s="3"/>
      <c r="V533" s="3"/>
      <c r="W533" s="3"/>
      <c r="X533" s="3"/>
      <c r="Y533" s="3"/>
      <c r="Z533" s="3"/>
    </row>
    <row r="534" spans="1:26" x14ac:dyDescent="0.25">
      <c r="A534" s="2">
        <v>46132</v>
      </c>
      <c r="B534" s="3" t="s">
        <v>170</v>
      </c>
      <c r="C534" s="169" t="s">
        <v>232</v>
      </c>
      <c r="D534" s="4">
        <v>288.60000000000002</v>
      </c>
      <c r="E534" s="209">
        <v>0.995</v>
      </c>
      <c r="F534" s="184">
        <f>D534*E534</f>
        <v>287.15700000000004</v>
      </c>
      <c r="G534" s="6">
        <f t="shared" si="266"/>
        <v>0</v>
      </c>
      <c r="H534" s="219"/>
      <c r="I534" s="3" t="str">
        <f t="shared" si="254"/>
        <v>0</v>
      </c>
      <c r="J534" s="3" t="str">
        <f t="shared" si="255"/>
        <v>0</v>
      </c>
      <c r="K534" s="3" t="str">
        <f t="shared" si="256"/>
        <v>0</v>
      </c>
      <c r="L534" s="3" t="str">
        <f t="shared" si="257"/>
        <v>0</v>
      </c>
      <c r="M534" s="3">
        <f t="shared" si="258"/>
        <v>0</v>
      </c>
      <c r="N534" s="3">
        <f t="shared" si="259"/>
        <v>0</v>
      </c>
      <c r="O534" s="3">
        <f t="shared" si="260"/>
        <v>288.60000000000002</v>
      </c>
      <c r="P534" s="3" t="str">
        <f t="shared" si="261"/>
        <v>0</v>
      </c>
      <c r="Q534" s="3">
        <f t="shared" si="262"/>
        <v>287.15700000000004</v>
      </c>
      <c r="R534" s="3" t="str">
        <f t="shared" si="263"/>
        <v>0</v>
      </c>
      <c r="S534" s="3">
        <f t="shared" si="264"/>
        <v>0</v>
      </c>
      <c r="T534" s="3" t="str">
        <f t="shared" si="265"/>
        <v>0</v>
      </c>
      <c r="U534" s="3"/>
      <c r="V534" s="3"/>
      <c r="W534" s="3"/>
      <c r="X534" s="3"/>
      <c r="Y534" s="3"/>
      <c r="Z534" s="3"/>
    </row>
    <row r="535" spans="1:26" x14ac:dyDescent="0.25">
      <c r="A535" s="2">
        <v>46132</v>
      </c>
      <c r="B535" s="3" t="s">
        <v>170</v>
      </c>
      <c r="C535" s="169" t="s">
        <v>229</v>
      </c>
      <c r="D535" s="4">
        <v>1000</v>
      </c>
      <c r="E535" s="209">
        <v>0.995</v>
      </c>
      <c r="F535" s="184">
        <f>D535*E535</f>
        <v>995</v>
      </c>
      <c r="G535" s="6">
        <f t="shared" si="266"/>
        <v>0</v>
      </c>
      <c r="H535" s="219"/>
      <c r="I535" s="3" t="str">
        <f t="shared" si="254"/>
        <v>0</v>
      </c>
      <c r="J535" s="3" t="str">
        <f t="shared" si="255"/>
        <v>0</v>
      </c>
      <c r="K535" s="3" t="str">
        <f t="shared" si="256"/>
        <v>0</v>
      </c>
      <c r="L535" s="3" t="str">
        <f t="shared" si="257"/>
        <v>0</v>
      </c>
      <c r="M535" s="3">
        <f t="shared" si="258"/>
        <v>0</v>
      </c>
      <c r="N535" s="3">
        <f t="shared" si="259"/>
        <v>0</v>
      </c>
      <c r="O535" s="3">
        <f t="shared" si="260"/>
        <v>1000</v>
      </c>
      <c r="P535" s="3" t="str">
        <f t="shared" si="261"/>
        <v>0</v>
      </c>
      <c r="Q535" s="3">
        <f t="shared" si="262"/>
        <v>995</v>
      </c>
      <c r="R535" s="3" t="str">
        <f t="shared" si="263"/>
        <v>0</v>
      </c>
      <c r="S535" s="3">
        <f t="shared" si="264"/>
        <v>0</v>
      </c>
      <c r="T535" s="3" t="str">
        <f t="shared" si="265"/>
        <v>0</v>
      </c>
      <c r="U535" s="3"/>
      <c r="V535" s="3"/>
      <c r="W535" s="3"/>
      <c r="X535" s="3"/>
      <c r="Y535" s="3"/>
      <c r="Z535" s="3"/>
    </row>
    <row r="536" spans="1:26" x14ac:dyDescent="0.25">
      <c r="A536" s="2">
        <v>46132</v>
      </c>
      <c r="B536" s="3" t="s">
        <v>171</v>
      </c>
      <c r="C536" s="169" t="s">
        <v>247</v>
      </c>
      <c r="D536" s="3"/>
      <c r="E536" s="3"/>
      <c r="F536" s="6">
        <f>+D536*E536</f>
        <v>0</v>
      </c>
      <c r="G536" s="6" t="e">
        <f t="shared" si="266"/>
        <v>#DIV/0!</v>
      </c>
      <c r="H536" s="219"/>
      <c r="I536" s="158" t="str">
        <f t="shared" si="254"/>
        <v>0</v>
      </c>
      <c r="J536" s="3" t="str">
        <f t="shared" si="255"/>
        <v>0</v>
      </c>
      <c r="K536" s="3" t="str">
        <f t="shared" si="256"/>
        <v>0</v>
      </c>
      <c r="L536" s="3" t="str">
        <f t="shared" si="257"/>
        <v>0</v>
      </c>
      <c r="M536" s="3">
        <f t="shared" si="258"/>
        <v>0</v>
      </c>
      <c r="N536" s="3">
        <f t="shared" si="259"/>
        <v>0</v>
      </c>
      <c r="O536" s="3" t="str">
        <f t="shared" si="260"/>
        <v>0</v>
      </c>
      <c r="P536" s="3" t="str">
        <f t="shared" si="261"/>
        <v>0</v>
      </c>
      <c r="Q536" s="3" t="str">
        <f t="shared" si="262"/>
        <v>0</v>
      </c>
      <c r="R536" s="3" t="str">
        <f t="shared" si="263"/>
        <v>0</v>
      </c>
      <c r="S536" s="3">
        <f t="shared" si="264"/>
        <v>0</v>
      </c>
      <c r="T536" s="3" t="str">
        <f t="shared" si="265"/>
        <v>0</v>
      </c>
      <c r="U536" s="3">
        <v>5000</v>
      </c>
      <c r="V536" s="3"/>
      <c r="W536" s="3"/>
      <c r="X536" s="3"/>
      <c r="Y536" s="3"/>
      <c r="Z536" s="3"/>
    </row>
    <row r="537" spans="1:26" x14ac:dyDescent="0.25">
      <c r="A537" s="2">
        <v>46133</v>
      </c>
      <c r="B537" s="3" t="s">
        <v>169</v>
      </c>
      <c r="C537" s="169" t="s">
        <v>246</v>
      </c>
      <c r="D537" s="4">
        <v>193.61760000000001</v>
      </c>
      <c r="E537" s="5">
        <v>0.88</v>
      </c>
      <c r="F537" s="6">
        <f>+D537*E537</f>
        <v>170.383488</v>
      </c>
      <c r="G537" s="6">
        <f t="shared" si="266"/>
        <v>3.4090909090909087</v>
      </c>
      <c r="H537" s="7">
        <v>660.06</v>
      </c>
      <c r="I537" s="158">
        <f t="shared" si="254"/>
        <v>193.61760000000001</v>
      </c>
      <c r="J537" s="3" t="str">
        <f t="shared" si="255"/>
        <v>0</v>
      </c>
      <c r="K537" s="3">
        <f t="shared" si="256"/>
        <v>170.383488</v>
      </c>
      <c r="L537" s="3" t="str">
        <f t="shared" si="257"/>
        <v>0</v>
      </c>
      <c r="M537" s="3">
        <f t="shared" si="258"/>
        <v>693.06299999999999</v>
      </c>
      <c r="N537" s="3">
        <f t="shared" si="259"/>
        <v>0</v>
      </c>
      <c r="O537" s="3" t="str">
        <f t="shared" si="260"/>
        <v>0</v>
      </c>
      <c r="P537" s="3" t="str">
        <f t="shared" si="261"/>
        <v>0</v>
      </c>
      <c r="Q537" s="3" t="str">
        <f t="shared" si="262"/>
        <v>0</v>
      </c>
      <c r="R537" s="3" t="str">
        <f t="shared" si="263"/>
        <v>0</v>
      </c>
      <c r="S537" s="3">
        <f t="shared" si="264"/>
        <v>0</v>
      </c>
      <c r="T537" s="3" t="str">
        <f t="shared" si="265"/>
        <v>0</v>
      </c>
      <c r="U537" s="3"/>
      <c r="V537" s="3"/>
      <c r="W537" s="3"/>
      <c r="X537" s="3"/>
      <c r="Y537" s="3"/>
      <c r="Z537" s="3"/>
    </row>
    <row r="538" spans="1:26" x14ac:dyDescent="0.25">
      <c r="A538" s="2">
        <v>46133</v>
      </c>
      <c r="B538" s="3" t="s">
        <v>169</v>
      </c>
      <c r="C538" s="169" t="s">
        <v>228</v>
      </c>
      <c r="D538" s="4">
        <v>1655.0160000000001</v>
      </c>
      <c r="E538" s="5">
        <v>0.88</v>
      </c>
      <c r="F538" s="6">
        <f>+D538*E538</f>
        <v>1456.41408</v>
      </c>
      <c r="G538" s="6">
        <f t="shared" si="266"/>
        <v>11.966712104293855</v>
      </c>
      <c r="H538" s="7">
        <v>19805.099999999999</v>
      </c>
      <c r="I538" s="158">
        <f t="shared" si="254"/>
        <v>1655.0160000000001</v>
      </c>
      <c r="J538" s="3" t="str">
        <f t="shared" si="255"/>
        <v>0</v>
      </c>
      <c r="K538" s="3">
        <f t="shared" si="256"/>
        <v>1456.41408</v>
      </c>
      <c r="L538" s="3" t="str">
        <f t="shared" si="257"/>
        <v>0</v>
      </c>
      <c r="M538" s="3">
        <f t="shared" si="258"/>
        <v>20795.355</v>
      </c>
      <c r="N538" s="3">
        <f t="shared" si="259"/>
        <v>0</v>
      </c>
      <c r="O538" s="3" t="str">
        <f t="shared" si="260"/>
        <v>0</v>
      </c>
      <c r="P538" s="3" t="str">
        <f t="shared" si="261"/>
        <v>0</v>
      </c>
      <c r="Q538" s="3" t="str">
        <f t="shared" si="262"/>
        <v>0</v>
      </c>
      <c r="R538" s="3" t="str">
        <f t="shared" si="263"/>
        <v>0</v>
      </c>
      <c r="S538" s="3">
        <f t="shared" si="264"/>
        <v>0</v>
      </c>
      <c r="T538" s="3" t="str">
        <f t="shared" si="265"/>
        <v>0</v>
      </c>
      <c r="U538" s="3"/>
      <c r="V538" s="3"/>
      <c r="W538" s="3"/>
      <c r="X538" s="3"/>
      <c r="Y538" s="3"/>
      <c r="Z538" s="3"/>
    </row>
    <row r="539" spans="1:26" x14ac:dyDescent="0.25">
      <c r="A539" s="2">
        <v>46133</v>
      </c>
      <c r="B539" s="3" t="s">
        <v>170</v>
      </c>
      <c r="C539" s="3" t="s">
        <v>230</v>
      </c>
      <c r="D539" s="4">
        <v>533.02150000000006</v>
      </c>
      <c r="E539" s="209">
        <v>0.995</v>
      </c>
      <c r="F539" s="184">
        <f>D539*E539</f>
        <v>530.35639250000008</v>
      </c>
      <c r="G539" s="6"/>
      <c r="H539" s="210"/>
      <c r="I539" s="158" t="str">
        <f t="shared" si="254"/>
        <v>0</v>
      </c>
      <c r="J539" s="3" t="str">
        <f t="shared" si="255"/>
        <v>0</v>
      </c>
      <c r="K539" s="3" t="str">
        <f t="shared" si="256"/>
        <v>0</v>
      </c>
      <c r="L539" s="3" t="str">
        <f t="shared" si="257"/>
        <v>0</v>
      </c>
      <c r="M539" s="3">
        <f t="shared" si="258"/>
        <v>0</v>
      </c>
      <c r="N539" s="3">
        <f t="shared" si="259"/>
        <v>0</v>
      </c>
      <c r="O539" s="3">
        <f t="shared" si="260"/>
        <v>533.02150000000006</v>
      </c>
      <c r="P539" s="3" t="str">
        <f t="shared" si="261"/>
        <v>0</v>
      </c>
      <c r="Q539" s="3">
        <f t="shared" si="262"/>
        <v>530.35639250000008</v>
      </c>
      <c r="R539" s="3" t="str">
        <f t="shared" si="263"/>
        <v>0</v>
      </c>
      <c r="S539" s="3">
        <f t="shared" si="264"/>
        <v>0</v>
      </c>
      <c r="T539" s="3" t="str">
        <f t="shared" si="265"/>
        <v>0</v>
      </c>
      <c r="U539" s="3"/>
      <c r="V539" s="3"/>
      <c r="W539" s="3"/>
      <c r="X539" s="3"/>
      <c r="Y539" s="3"/>
      <c r="Z539" s="3"/>
    </row>
    <row r="540" spans="1:26" x14ac:dyDescent="0.25">
      <c r="A540" s="2">
        <v>46133</v>
      </c>
      <c r="B540" s="3" t="s">
        <v>170</v>
      </c>
      <c r="C540" s="169" t="s">
        <v>228</v>
      </c>
      <c r="D540" s="4">
        <v>1990</v>
      </c>
      <c r="E540" s="209">
        <v>0.995</v>
      </c>
      <c r="F540" s="184">
        <f>D540*E540</f>
        <v>1980.05</v>
      </c>
      <c r="G540" s="6"/>
      <c r="H540" s="210"/>
      <c r="I540" s="158" t="str">
        <f t="shared" si="254"/>
        <v>0</v>
      </c>
      <c r="J540" s="3" t="str">
        <f t="shared" si="255"/>
        <v>0</v>
      </c>
      <c r="K540" s="3" t="str">
        <f t="shared" si="256"/>
        <v>0</v>
      </c>
      <c r="L540" s="3" t="str">
        <f t="shared" si="257"/>
        <v>0</v>
      </c>
      <c r="M540" s="3">
        <f t="shared" si="258"/>
        <v>0</v>
      </c>
      <c r="N540" s="3">
        <f t="shared" si="259"/>
        <v>0</v>
      </c>
      <c r="O540" s="3">
        <f t="shared" si="260"/>
        <v>1990</v>
      </c>
      <c r="P540" s="3" t="str">
        <f t="shared" si="261"/>
        <v>0</v>
      </c>
      <c r="Q540" s="3">
        <f t="shared" si="262"/>
        <v>1980.05</v>
      </c>
      <c r="R540" s="3" t="str">
        <f t="shared" si="263"/>
        <v>0</v>
      </c>
      <c r="S540" s="3">
        <f t="shared" si="264"/>
        <v>0</v>
      </c>
      <c r="T540" s="3" t="str">
        <f t="shared" si="265"/>
        <v>0</v>
      </c>
      <c r="U540" s="3"/>
      <c r="V540" s="3"/>
      <c r="W540" s="3"/>
      <c r="X540" s="3"/>
      <c r="Y540" s="3"/>
      <c r="Z540" s="3"/>
    </row>
    <row r="541" spans="1:26" x14ac:dyDescent="0.25">
      <c r="A541" s="2">
        <v>46133</v>
      </c>
      <c r="B541" s="3" t="s">
        <v>170</v>
      </c>
      <c r="C541" s="3" t="s">
        <v>235</v>
      </c>
      <c r="D541" s="4">
        <v>404.84559999999999</v>
      </c>
      <c r="E541" s="209">
        <v>0.995</v>
      </c>
      <c r="F541" s="184">
        <f>D541*E541</f>
        <v>402.821372</v>
      </c>
      <c r="G541" s="6"/>
      <c r="H541" s="210"/>
      <c r="I541" s="158" t="str">
        <f t="shared" si="254"/>
        <v>0</v>
      </c>
      <c r="J541" s="3" t="str">
        <f t="shared" si="255"/>
        <v>0</v>
      </c>
      <c r="K541" s="3" t="str">
        <f t="shared" si="256"/>
        <v>0</v>
      </c>
      <c r="L541" s="3" t="str">
        <f t="shared" si="257"/>
        <v>0</v>
      </c>
      <c r="M541" s="3">
        <f t="shared" si="258"/>
        <v>0</v>
      </c>
      <c r="N541" s="3">
        <f t="shared" si="259"/>
        <v>0</v>
      </c>
      <c r="O541" s="3">
        <f t="shared" si="260"/>
        <v>404.84559999999999</v>
      </c>
      <c r="P541" s="3" t="str">
        <f t="shared" si="261"/>
        <v>0</v>
      </c>
      <c r="Q541" s="3">
        <f t="shared" si="262"/>
        <v>402.821372</v>
      </c>
      <c r="R541" s="3" t="str">
        <f t="shared" si="263"/>
        <v>0</v>
      </c>
      <c r="S541" s="3">
        <f t="shared" si="264"/>
        <v>0</v>
      </c>
      <c r="T541" s="3" t="str">
        <f t="shared" si="265"/>
        <v>0</v>
      </c>
      <c r="U541" s="3"/>
      <c r="V541" s="3"/>
      <c r="W541" s="3"/>
      <c r="X541" s="3"/>
      <c r="Y541" s="3"/>
      <c r="Z541" s="3"/>
    </row>
    <row r="542" spans="1:26" x14ac:dyDescent="0.25">
      <c r="A542" s="2">
        <v>46133</v>
      </c>
      <c r="B542" s="3" t="s">
        <v>170</v>
      </c>
      <c r="C542" s="169" t="s">
        <v>239</v>
      </c>
      <c r="D542" s="4">
        <v>234.45840000000001</v>
      </c>
      <c r="E542" s="209">
        <v>0.88</v>
      </c>
      <c r="F542" s="184">
        <f>D542*E542</f>
        <v>206.32339200000001</v>
      </c>
      <c r="G542" s="6">
        <f t="shared" ref="G542:G571" si="267">+H542/D542</f>
        <v>2.8409304166538711</v>
      </c>
      <c r="H542" s="210">
        <v>666.08</v>
      </c>
      <c r="I542" s="158" t="str">
        <f t="shared" si="254"/>
        <v>0</v>
      </c>
      <c r="J542" s="3" t="str">
        <f t="shared" si="255"/>
        <v>0</v>
      </c>
      <c r="K542" s="3" t="str">
        <f t="shared" si="256"/>
        <v>0</v>
      </c>
      <c r="L542" s="3" t="str">
        <f t="shared" si="257"/>
        <v>0</v>
      </c>
      <c r="M542" s="3">
        <f t="shared" si="258"/>
        <v>0</v>
      </c>
      <c r="N542" s="3">
        <f t="shared" si="259"/>
        <v>0</v>
      </c>
      <c r="O542" s="3">
        <f t="shared" si="260"/>
        <v>234.45840000000001</v>
      </c>
      <c r="P542" s="3" t="str">
        <f t="shared" si="261"/>
        <v>0</v>
      </c>
      <c r="Q542" s="3">
        <f t="shared" si="262"/>
        <v>206.32339200000001</v>
      </c>
      <c r="R542" s="3" t="str">
        <f t="shared" si="263"/>
        <v>0</v>
      </c>
      <c r="S542" s="3">
        <f t="shared" si="264"/>
        <v>699.38400000000001</v>
      </c>
      <c r="T542" s="3" t="str">
        <f t="shared" si="265"/>
        <v>0</v>
      </c>
      <c r="U542" s="3"/>
      <c r="V542" s="3"/>
      <c r="W542" s="3"/>
      <c r="X542" s="3"/>
      <c r="Y542" s="3"/>
      <c r="Z542" s="3"/>
    </row>
    <row r="543" spans="1:26" x14ac:dyDescent="0.25">
      <c r="A543" s="2">
        <v>46133</v>
      </c>
      <c r="B543" s="3" t="s">
        <v>209</v>
      </c>
      <c r="C543" s="169" t="s">
        <v>239</v>
      </c>
      <c r="D543" s="4">
        <v>212.93</v>
      </c>
      <c r="E543" s="209">
        <v>0.995</v>
      </c>
      <c r="F543" s="184">
        <f t="shared" ref="F543:F548" si="268">+D543*E543</f>
        <v>211.86535000000001</v>
      </c>
      <c r="G543" s="6">
        <f t="shared" si="267"/>
        <v>0</v>
      </c>
      <c r="H543" s="219"/>
      <c r="I543" s="158" t="str">
        <f t="shared" si="254"/>
        <v>0</v>
      </c>
      <c r="J543" s="3" t="str">
        <f t="shared" si="255"/>
        <v>0</v>
      </c>
      <c r="K543" s="3" t="str">
        <f t="shared" si="256"/>
        <v>0</v>
      </c>
      <c r="L543" s="3" t="str">
        <f t="shared" si="257"/>
        <v>0</v>
      </c>
      <c r="M543" s="3">
        <f t="shared" si="258"/>
        <v>0</v>
      </c>
      <c r="N543" s="3">
        <f t="shared" si="259"/>
        <v>0</v>
      </c>
      <c r="O543" s="3" t="str">
        <f t="shared" si="260"/>
        <v>0</v>
      </c>
      <c r="P543" s="3">
        <f t="shared" si="261"/>
        <v>212.93</v>
      </c>
      <c r="Q543" s="3" t="str">
        <f t="shared" si="262"/>
        <v>0</v>
      </c>
      <c r="R543" s="3">
        <f t="shared" si="263"/>
        <v>211.86535000000001</v>
      </c>
      <c r="S543" s="3">
        <f t="shared" si="264"/>
        <v>0</v>
      </c>
      <c r="T543" s="3">
        <f t="shared" si="265"/>
        <v>0</v>
      </c>
      <c r="U543" s="3"/>
      <c r="V543" s="3"/>
      <c r="W543" s="3"/>
      <c r="X543" s="3"/>
      <c r="Y543" s="3"/>
      <c r="Z543" s="3"/>
    </row>
    <row r="544" spans="1:26" x14ac:dyDescent="0.25">
      <c r="A544" s="2">
        <v>46133</v>
      </c>
      <c r="B544" s="3" t="s">
        <v>211</v>
      </c>
      <c r="C544" s="169" t="s">
        <v>239</v>
      </c>
      <c r="D544" s="3"/>
      <c r="E544" s="3"/>
      <c r="F544" s="6">
        <f t="shared" si="268"/>
        <v>0</v>
      </c>
      <c r="G544" s="6" t="e">
        <f t="shared" si="267"/>
        <v>#DIV/0!</v>
      </c>
      <c r="H544" s="219"/>
      <c r="I544" s="158" t="str">
        <f t="shared" si="254"/>
        <v>0</v>
      </c>
      <c r="J544" s="3" t="str">
        <f t="shared" si="255"/>
        <v>0</v>
      </c>
      <c r="K544" s="3" t="str">
        <f t="shared" si="256"/>
        <v>0</v>
      </c>
      <c r="L544" s="3" t="str">
        <f t="shared" si="257"/>
        <v>0</v>
      </c>
      <c r="M544" s="3">
        <f t="shared" si="258"/>
        <v>0</v>
      </c>
      <c r="N544" s="3">
        <f t="shared" si="259"/>
        <v>0</v>
      </c>
      <c r="O544" s="3" t="str">
        <f t="shared" si="260"/>
        <v>0</v>
      </c>
      <c r="P544" s="3" t="str">
        <f t="shared" si="261"/>
        <v>0</v>
      </c>
      <c r="Q544" s="3" t="str">
        <f t="shared" si="262"/>
        <v>0</v>
      </c>
      <c r="R544" s="3" t="str">
        <f t="shared" si="263"/>
        <v>0</v>
      </c>
      <c r="S544" s="3">
        <f t="shared" si="264"/>
        <v>0</v>
      </c>
      <c r="T544" s="3" t="str">
        <f t="shared" si="265"/>
        <v>0</v>
      </c>
      <c r="U544" s="3"/>
      <c r="V544" s="3"/>
      <c r="W544" s="3">
        <v>8000</v>
      </c>
      <c r="X544" s="3"/>
      <c r="Y544" s="3"/>
      <c r="Z544" s="3"/>
    </row>
    <row r="545" spans="1:26" x14ac:dyDescent="0.25">
      <c r="A545" s="2">
        <v>46134</v>
      </c>
      <c r="B545" s="3" t="s">
        <v>169</v>
      </c>
      <c r="C545" s="3" t="s">
        <v>231</v>
      </c>
      <c r="D545" s="4">
        <v>2169.5</v>
      </c>
      <c r="E545" s="5">
        <v>0.88</v>
      </c>
      <c r="F545" s="6">
        <f t="shared" si="268"/>
        <v>1909.16</v>
      </c>
      <c r="G545" s="6">
        <f t="shared" si="267"/>
        <v>4.5834985019589762</v>
      </c>
      <c r="H545" s="7">
        <v>9943.9</v>
      </c>
      <c r="I545" s="158">
        <f t="shared" si="254"/>
        <v>2169.5</v>
      </c>
      <c r="J545" s="3" t="str">
        <f t="shared" si="255"/>
        <v>0</v>
      </c>
      <c r="K545" s="3">
        <f t="shared" si="256"/>
        <v>1909.16</v>
      </c>
      <c r="L545" s="3" t="str">
        <f t="shared" si="257"/>
        <v>0</v>
      </c>
      <c r="M545" s="3">
        <f t="shared" si="258"/>
        <v>10441.094999999999</v>
      </c>
      <c r="N545" s="3">
        <f t="shared" si="259"/>
        <v>0</v>
      </c>
      <c r="O545" s="3" t="str">
        <f t="shared" si="260"/>
        <v>0</v>
      </c>
      <c r="P545" s="3" t="str">
        <f t="shared" si="261"/>
        <v>0</v>
      </c>
      <c r="Q545" s="3" t="str">
        <f t="shared" si="262"/>
        <v>0</v>
      </c>
      <c r="R545" s="3" t="str">
        <f t="shared" si="263"/>
        <v>0</v>
      </c>
      <c r="S545" s="3">
        <f t="shared" si="264"/>
        <v>0</v>
      </c>
      <c r="T545" s="3" t="str">
        <f t="shared" si="265"/>
        <v>0</v>
      </c>
      <c r="U545" s="3"/>
      <c r="V545" s="3"/>
      <c r="W545" s="3"/>
      <c r="X545" s="3"/>
      <c r="Y545" s="3"/>
      <c r="Z545" s="3"/>
    </row>
    <row r="546" spans="1:26" x14ac:dyDescent="0.25">
      <c r="A546" s="2">
        <v>46134</v>
      </c>
      <c r="B546" s="3" t="s">
        <v>169</v>
      </c>
      <c r="C546" s="169" t="s">
        <v>229</v>
      </c>
      <c r="D546" s="4">
        <v>1833.8</v>
      </c>
      <c r="E546" s="5">
        <v>0.88</v>
      </c>
      <c r="F546" s="6">
        <f t="shared" si="268"/>
        <v>1613.7439999999999</v>
      </c>
      <c r="G546" s="6">
        <f t="shared" si="267"/>
        <v>7</v>
      </c>
      <c r="H546" s="7">
        <v>12836.6</v>
      </c>
      <c r="I546" s="158">
        <f t="shared" si="254"/>
        <v>1833.8</v>
      </c>
      <c r="J546" s="3" t="str">
        <f t="shared" si="255"/>
        <v>0</v>
      </c>
      <c r="K546" s="3">
        <f t="shared" si="256"/>
        <v>1613.7439999999999</v>
      </c>
      <c r="L546" s="3" t="str">
        <f t="shared" si="257"/>
        <v>0</v>
      </c>
      <c r="M546" s="3">
        <f t="shared" si="258"/>
        <v>13478.43</v>
      </c>
      <c r="N546" s="3">
        <f t="shared" si="259"/>
        <v>0</v>
      </c>
      <c r="O546" s="3" t="str">
        <f t="shared" si="260"/>
        <v>0</v>
      </c>
      <c r="P546" s="3" t="str">
        <f t="shared" si="261"/>
        <v>0</v>
      </c>
      <c r="Q546" s="3" t="str">
        <f t="shared" si="262"/>
        <v>0</v>
      </c>
      <c r="R546" s="3" t="str">
        <f t="shared" si="263"/>
        <v>0</v>
      </c>
      <c r="S546" s="3">
        <f t="shared" si="264"/>
        <v>0</v>
      </c>
      <c r="T546" s="3" t="str">
        <f t="shared" si="265"/>
        <v>0</v>
      </c>
      <c r="U546" s="3"/>
      <c r="V546" s="3"/>
      <c r="W546" s="3"/>
      <c r="X546" s="3"/>
      <c r="Y546" s="3"/>
      <c r="Z546" s="3"/>
    </row>
    <row r="547" spans="1:26" x14ac:dyDescent="0.25">
      <c r="A547" s="2">
        <v>46134</v>
      </c>
      <c r="B547" s="3" t="s">
        <v>169</v>
      </c>
      <c r="C547" s="3" t="s">
        <v>235</v>
      </c>
      <c r="D547" s="4">
        <v>782.06</v>
      </c>
      <c r="E547" s="5">
        <v>0.88</v>
      </c>
      <c r="F547" s="6">
        <f t="shared" si="268"/>
        <v>688.2127999999999</v>
      </c>
      <c r="G547" s="6">
        <f t="shared" si="267"/>
        <v>10.516354243919904</v>
      </c>
      <c r="H547" s="7">
        <v>8224.42</v>
      </c>
      <c r="I547" s="158">
        <f t="shared" si="254"/>
        <v>782.06</v>
      </c>
      <c r="J547" s="3" t="str">
        <f t="shared" si="255"/>
        <v>0</v>
      </c>
      <c r="K547" s="3">
        <f t="shared" si="256"/>
        <v>688.2127999999999</v>
      </c>
      <c r="L547" s="3" t="str">
        <f t="shared" si="257"/>
        <v>0</v>
      </c>
      <c r="M547" s="3">
        <f t="shared" si="258"/>
        <v>8635.6409999999996</v>
      </c>
      <c r="N547" s="3">
        <f t="shared" si="259"/>
        <v>0</v>
      </c>
      <c r="O547" s="3" t="str">
        <f t="shared" si="260"/>
        <v>0</v>
      </c>
      <c r="P547" s="3" t="str">
        <f t="shared" si="261"/>
        <v>0</v>
      </c>
      <c r="Q547" s="3" t="str">
        <f t="shared" si="262"/>
        <v>0</v>
      </c>
      <c r="R547" s="3" t="str">
        <f t="shared" si="263"/>
        <v>0</v>
      </c>
      <c r="S547" s="3">
        <f t="shared" si="264"/>
        <v>0</v>
      </c>
      <c r="T547" s="3" t="str">
        <f t="shared" si="265"/>
        <v>0</v>
      </c>
      <c r="U547" s="3"/>
      <c r="V547" s="3"/>
      <c r="W547" s="3"/>
      <c r="X547" s="3"/>
      <c r="Y547" s="3"/>
      <c r="Z547" s="3"/>
    </row>
    <row r="548" spans="1:26" x14ac:dyDescent="0.25">
      <c r="A548" s="2">
        <v>46134</v>
      </c>
      <c r="B548" s="3" t="s">
        <v>169</v>
      </c>
      <c r="C548" s="169" t="s">
        <v>228</v>
      </c>
      <c r="D548" s="4">
        <v>1875.8</v>
      </c>
      <c r="E548" s="5">
        <v>0.88</v>
      </c>
      <c r="F548" s="6">
        <f t="shared" si="268"/>
        <v>1650.704</v>
      </c>
      <c r="G548" s="6">
        <f t="shared" si="267"/>
        <v>9.9666009169421041</v>
      </c>
      <c r="H548" s="7">
        <v>18695.349999999999</v>
      </c>
      <c r="I548" s="158">
        <f t="shared" si="254"/>
        <v>1875.8</v>
      </c>
      <c r="J548" s="3" t="str">
        <f t="shared" si="255"/>
        <v>0</v>
      </c>
      <c r="K548" s="3">
        <f t="shared" si="256"/>
        <v>1650.704</v>
      </c>
      <c r="L548" s="3" t="str">
        <f t="shared" si="257"/>
        <v>0</v>
      </c>
      <c r="M548" s="3">
        <f t="shared" si="258"/>
        <v>19630.1175</v>
      </c>
      <c r="N548" s="3">
        <f t="shared" si="259"/>
        <v>0</v>
      </c>
      <c r="O548" s="3" t="str">
        <f t="shared" si="260"/>
        <v>0</v>
      </c>
      <c r="P548" s="3" t="str">
        <f t="shared" si="261"/>
        <v>0</v>
      </c>
      <c r="Q548" s="3" t="str">
        <f t="shared" si="262"/>
        <v>0</v>
      </c>
      <c r="R548" s="3" t="str">
        <f t="shared" si="263"/>
        <v>0</v>
      </c>
      <c r="S548" s="3">
        <f t="shared" si="264"/>
        <v>0</v>
      </c>
      <c r="T548" s="3" t="str">
        <f t="shared" si="265"/>
        <v>0</v>
      </c>
      <c r="U548" s="3"/>
      <c r="V548" s="3"/>
      <c r="W548" s="3"/>
      <c r="X548" s="3"/>
      <c r="Y548" s="3"/>
      <c r="Z548" s="3"/>
    </row>
    <row r="549" spans="1:26" x14ac:dyDescent="0.25">
      <c r="A549" s="2">
        <v>46134</v>
      </c>
      <c r="B549" s="3" t="s">
        <v>170</v>
      </c>
      <c r="C549" s="169" t="s">
        <v>229</v>
      </c>
      <c r="D549" s="4">
        <v>2000</v>
      </c>
      <c r="E549" s="209">
        <v>0.995</v>
      </c>
      <c r="F549" s="184">
        <f>D549*E549</f>
        <v>1990</v>
      </c>
      <c r="G549" s="6">
        <f t="shared" si="267"/>
        <v>0</v>
      </c>
      <c r="H549" s="219"/>
      <c r="I549" s="3" t="str">
        <f t="shared" si="254"/>
        <v>0</v>
      </c>
      <c r="J549" s="3" t="str">
        <f t="shared" si="255"/>
        <v>0</v>
      </c>
      <c r="K549" s="3" t="str">
        <f t="shared" si="256"/>
        <v>0</v>
      </c>
      <c r="L549" s="3" t="str">
        <f t="shared" si="257"/>
        <v>0</v>
      </c>
      <c r="M549" s="3">
        <f t="shared" si="258"/>
        <v>0</v>
      </c>
      <c r="N549" s="3">
        <f t="shared" si="259"/>
        <v>0</v>
      </c>
      <c r="O549" s="3">
        <f t="shared" si="260"/>
        <v>2000</v>
      </c>
      <c r="P549" s="3" t="str">
        <f t="shared" si="261"/>
        <v>0</v>
      </c>
      <c r="Q549" s="3">
        <f t="shared" si="262"/>
        <v>1990</v>
      </c>
      <c r="R549" s="3" t="str">
        <f t="shared" si="263"/>
        <v>0</v>
      </c>
      <c r="S549" s="3">
        <f t="shared" si="264"/>
        <v>0</v>
      </c>
      <c r="T549" s="3" t="str">
        <f t="shared" si="265"/>
        <v>0</v>
      </c>
      <c r="U549" s="3"/>
      <c r="V549" s="3"/>
      <c r="W549" s="3"/>
      <c r="X549" s="3"/>
      <c r="Y549" s="3"/>
      <c r="Z549" s="3"/>
    </row>
    <row r="550" spans="1:26" x14ac:dyDescent="0.25">
      <c r="A550" s="2">
        <v>46134</v>
      </c>
      <c r="B550" s="3" t="s">
        <v>170</v>
      </c>
      <c r="C550" s="169" t="s">
        <v>228</v>
      </c>
      <c r="D550" s="4">
        <v>1000</v>
      </c>
      <c r="E550" s="209">
        <v>0.995</v>
      </c>
      <c r="F550" s="184">
        <f>D550*E550</f>
        <v>995</v>
      </c>
      <c r="G550" s="6">
        <f t="shared" si="267"/>
        <v>0</v>
      </c>
      <c r="H550" s="219"/>
      <c r="I550" s="3" t="str">
        <f t="shared" si="254"/>
        <v>0</v>
      </c>
      <c r="J550" s="3" t="str">
        <f t="shared" si="255"/>
        <v>0</v>
      </c>
      <c r="K550" s="3" t="str">
        <f t="shared" si="256"/>
        <v>0</v>
      </c>
      <c r="L550" s="3" t="str">
        <f t="shared" si="257"/>
        <v>0</v>
      </c>
      <c r="M550" s="3">
        <f t="shared" si="258"/>
        <v>0</v>
      </c>
      <c r="N550" s="3">
        <f t="shared" si="259"/>
        <v>0</v>
      </c>
      <c r="O550" s="3">
        <f t="shared" si="260"/>
        <v>1000</v>
      </c>
      <c r="P550" s="3" t="str">
        <f t="shared" si="261"/>
        <v>0</v>
      </c>
      <c r="Q550" s="3">
        <f t="shared" si="262"/>
        <v>995</v>
      </c>
      <c r="R550" s="3" t="str">
        <f t="shared" si="263"/>
        <v>0</v>
      </c>
      <c r="S550" s="3">
        <f t="shared" si="264"/>
        <v>0</v>
      </c>
      <c r="T550" s="3" t="str">
        <f t="shared" si="265"/>
        <v>0</v>
      </c>
      <c r="U550" s="3"/>
      <c r="V550" s="3"/>
      <c r="W550" s="3"/>
      <c r="X550" s="3"/>
      <c r="Y550" s="3"/>
      <c r="Z550" s="3"/>
    </row>
    <row r="551" spans="1:26" x14ac:dyDescent="0.25">
      <c r="A551" s="2">
        <v>46135</v>
      </c>
      <c r="B551" s="3" t="s">
        <v>169</v>
      </c>
      <c r="C551" s="169" t="s">
        <v>247</v>
      </c>
      <c r="D551" s="3">
        <v>0</v>
      </c>
      <c r="E551" s="3">
        <v>0.88</v>
      </c>
      <c r="F551" s="6">
        <f t="shared" ref="F551:F571" si="269">+D551*E551</f>
        <v>0</v>
      </c>
      <c r="G551" s="6" t="e">
        <f t="shared" si="267"/>
        <v>#DIV/0!</v>
      </c>
      <c r="H551" s="219"/>
      <c r="I551" s="3">
        <f t="shared" si="254"/>
        <v>0</v>
      </c>
      <c r="J551" s="3" t="str">
        <f t="shared" si="255"/>
        <v>0</v>
      </c>
      <c r="K551" s="3">
        <f t="shared" si="256"/>
        <v>0</v>
      </c>
      <c r="L551" s="3" t="str">
        <f t="shared" si="257"/>
        <v>0</v>
      </c>
      <c r="M551" s="3">
        <f t="shared" si="258"/>
        <v>0</v>
      </c>
      <c r="N551" s="3">
        <f t="shared" si="259"/>
        <v>0</v>
      </c>
      <c r="O551" s="3" t="str">
        <f t="shared" si="260"/>
        <v>0</v>
      </c>
      <c r="P551" s="3" t="str">
        <f t="shared" si="261"/>
        <v>0</v>
      </c>
      <c r="Q551" s="3" t="str">
        <f t="shared" si="262"/>
        <v>0</v>
      </c>
      <c r="R551" s="3" t="str">
        <f t="shared" si="263"/>
        <v>0</v>
      </c>
      <c r="S551" s="3">
        <f t="shared" si="264"/>
        <v>0</v>
      </c>
      <c r="T551" s="3" t="str">
        <f t="shared" si="265"/>
        <v>0</v>
      </c>
      <c r="U551" s="3"/>
      <c r="V551" s="3"/>
      <c r="W551" s="3"/>
      <c r="X551" s="3"/>
      <c r="Y551" s="3"/>
      <c r="Z551" s="3"/>
    </row>
    <row r="552" spans="1:26" x14ac:dyDescent="0.25">
      <c r="A552" s="2">
        <v>46135</v>
      </c>
      <c r="B552" s="3" t="s">
        <v>169</v>
      </c>
      <c r="C552" s="169" t="s">
        <v>228</v>
      </c>
      <c r="D552" s="4">
        <v>2169.5</v>
      </c>
      <c r="E552" s="5">
        <v>0.88</v>
      </c>
      <c r="F552" s="6">
        <f>+D552*E552</f>
        <v>1909.16</v>
      </c>
      <c r="G552" s="6">
        <f>+H552/D552</f>
        <v>3.2265038027195203</v>
      </c>
      <c r="H552" s="7">
        <v>6999.9</v>
      </c>
      <c r="I552" s="3">
        <f t="shared" si="254"/>
        <v>2169.5</v>
      </c>
      <c r="J552" s="3" t="str">
        <f t="shared" si="255"/>
        <v>0</v>
      </c>
      <c r="K552" s="3">
        <f t="shared" si="256"/>
        <v>1909.16</v>
      </c>
      <c r="L552" s="3" t="str">
        <f t="shared" si="257"/>
        <v>0</v>
      </c>
      <c r="M552" s="3">
        <f t="shared" si="258"/>
        <v>7349.8949999999995</v>
      </c>
      <c r="N552" s="3">
        <f t="shared" si="259"/>
        <v>0</v>
      </c>
      <c r="O552" s="3" t="str">
        <f t="shared" si="260"/>
        <v>0</v>
      </c>
      <c r="P552" s="3" t="str">
        <f t="shared" si="261"/>
        <v>0</v>
      </c>
      <c r="Q552" s="3" t="str">
        <f t="shared" si="262"/>
        <v>0</v>
      </c>
      <c r="R552" s="3" t="str">
        <f t="shared" si="263"/>
        <v>0</v>
      </c>
      <c r="S552" s="3">
        <f t="shared" si="264"/>
        <v>0</v>
      </c>
      <c r="T552" s="3" t="str">
        <f t="shared" si="265"/>
        <v>0</v>
      </c>
      <c r="U552" s="3"/>
      <c r="V552" s="3"/>
      <c r="W552" s="3"/>
      <c r="X552" s="3"/>
      <c r="Y552" s="3"/>
      <c r="Z552" s="3"/>
    </row>
    <row r="553" spans="1:26" x14ac:dyDescent="0.25">
      <c r="A553" s="2">
        <v>46135</v>
      </c>
      <c r="B553" s="3" t="s">
        <v>169</v>
      </c>
      <c r="C553" s="3" t="s">
        <v>231</v>
      </c>
      <c r="D553" s="4">
        <v>1833.8</v>
      </c>
      <c r="E553" s="5">
        <v>0.88</v>
      </c>
      <c r="F553" s="6">
        <f t="shared" ref="F553:F554" si="270">+D553*E553</f>
        <v>1613.7439999999999</v>
      </c>
      <c r="G553" s="6">
        <f t="shared" ref="G553:G554" si="271">+H553/D553</f>
        <v>5.5062711309848398</v>
      </c>
      <c r="H553" s="7">
        <v>10097.4</v>
      </c>
      <c r="I553" s="3">
        <f t="shared" si="254"/>
        <v>1833.8</v>
      </c>
      <c r="J553" s="3" t="str">
        <f t="shared" si="255"/>
        <v>0</v>
      </c>
      <c r="K553" s="3">
        <f t="shared" si="256"/>
        <v>1613.7439999999999</v>
      </c>
      <c r="L553" s="3" t="str">
        <f t="shared" si="257"/>
        <v>0</v>
      </c>
      <c r="M553" s="3">
        <f t="shared" si="258"/>
        <v>10602.27</v>
      </c>
      <c r="N553" s="3">
        <f t="shared" si="259"/>
        <v>0</v>
      </c>
      <c r="O553" s="3" t="str">
        <f t="shared" si="260"/>
        <v>0</v>
      </c>
      <c r="P553" s="3" t="str">
        <f t="shared" si="261"/>
        <v>0</v>
      </c>
      <c r="Q553" s="3" t="str">
        <f t="shared" si="262"/>
        <v>0</v>
      </c>
      <c r="R553" s="3" t="str">
        <f t="shared" si="263"/>
        <v>0</v>
      </c>
      <c r="S553" s="3">
        <f t="shared" si="264"/>
        <v>0</v>
      </c>
      <c r="T553" s="3" t="str">
        <f t="shared" si="265"/>
        <v>0</v>
      </c>
      <c r="U553" s="3"/>
      <c r="V553" s="3"/>
      <c r="W553" s="3"/>
      <c r="X553" s="3"/>
      <c r="Y553" s="3"/>
      <c r="Z553" s="3"/>
    </row>
    <row r="554" spans="1:26" x14ac:dyDescent="0.25">
      <c r="A554" s="2">
        <v>46135</v>
      </c>
      <c r="B554" s="3" t="s">
        <v>169</v>
      </c>
      <c r="C554" s="169" t="s">
        <v>234</v>
      </c>
      <c r="D554" s="4">
        <v>782.06</v>
      </c>
      <c r="E554" s="5">
        <v>0.88</v>
      </c>
      <c r="F554" s="6">
        <f t="shared" si="270"/>
        <v>688.2127999999999</v>
      </c>
      <c r="G554" s="6">
        <f t="shared" si="271"/>
        <v>10.483850343963379</v>
      </c>
      <c r="H554" s="7">
        <v>8199</v>
      </c>
      <c r="I554" s="3">
        <f t="shared" si="254"/>
        <v>782.06</v>
      </c>
      <c r="J554" s="3" t="str">
        <f t="shared" si="255"/>
        <v>0</v>
      </c>
      <c r="K554" s="3">
        <f t="shared" si="256"/>
        <v>688.2127999999999</v>
      </c>
      <c r="L554" s="3" t="str">
        <f t="shared" si="257"/>
        <v>0</v>
      </c>
      <c r="M554" s="3">
        <f t="shared" si="258"/>
        <v>8608.9500000000007</v>
      </c>
      <c r="N554" s="3">
        <f t="shared" si="259"/>
        <v>0</v>
      </c>
      <c r="O554" s="3" t="str">
        <f t="shared" si="260"/>
        <v>0</v>
      </c>
      <c r="P554" s="3" t="str">
        <f t="shared" si="261"/>
        <v>0</v>
      </c>
      <c r="Q554" s="3" t="str">
        <f t="shared" si="262"/>
        <v>0</v>
      </c>
      <c r="R554" s="3" t="str">
        <f t="shared" si="263"/>
        <v>0</v>
      </c>
      <c r="S554" s="3">
        <f t="shared" si="264"/>
        <v>0</v>
      </c>
      <c r="T554" s="3" t="str">
        <f t="shared" si="265"/>
        <v>0</v>
      </c>
      <c r="U554" s="3"/>
      <c r="V554" s="3"/>
      <c r="W554" s="3"/>
      <c r="X554" s="3"/>
      <c r="Y554" s="3">
        <v>104.69</v>
      </c>
      <c r="Z554" s="3">
        <v>19.190000000000001</v>
      </c>
    </row>
    <row r="555" spans="1:26" x14ac:dyDescent="0.25">
      <c r="A555" s="2">
        <v>46135</v>
      </c>
      <c r="B555" s="3" t="s">
        <v>170</v>
      </c>
      <c r="C555" s="169" t="s">
        <v>233</v>
      </c>
      <c r="D555" s="4">
        <v>1875.8</v>
      </c>
      <c r="E555" s="209">
        <v>0.995</v>
      </c>
      <c r="F555" s="184">
        <f t="shared" ref="F555:F559" si="272">D555*E555</f>
        <v>1866.421</v>
      </c>
      <c r="G555" s="6">
        <f t="shared" si="267"/>
        <v>0</v>
      </c>
      <c r="H555" s="219"/>
      <c r="I555" s="3" t="str">
        <f t="shared" si="254"/>
        <v>0</v>
      </c>
      <c r="J555" s="3" t="str">
        <f t="shared" si="255"/>
        <v>0</v>
      </c>
      <c r="K555" s="3" t="str">
        <f t="shared" si="256"/>
        <v>0</v>
      </c>
      <c r="L555" s="3" t="str">
        <f t="shared" si="257"/>
        <v>0</v>
      </c>
      <c r="M555" s="3">
        <f t="shared" si="258"/>
        <v>0</v>
      </c>
      <c r="N555" s="3">
        <f t="shared" si="259"/>
        <v>0</v>
      </c>
      <c r="O555" s="3">
        <f t="shared" si="260"/>
        <v>1875.8</v>
      </c>
      <c r="P555" s="3" t="str">
        <f t="shared" si="261"/>
        <v>0</v>
      </c>
      <c r="Q555" s="3">
        <f t="shared" si="262"/>
        <v>1866.421</v>
      </c>
      <c r="R555" s="3" t="str">
        <f t="shared" si="263"/>
        <v>0</v>
      </c>
      <c r="S555" s="3">
        <f t="shared" si="264"/>
        <v>0</v>
      </c>
      <c r="T555" s="3" t="str">
        <f t="shared" si="265"/>
        <v>0</v>
      </c>
      <c r="U555" s="3"/>
      <c r="V555" s="3"/>
      <c r="W555" s="3"/>
      <c r="X555" s="3"/>
      <c r="Y555" s="3"/>
      <c r="Z555" s="3"/>
    </row>
    <row r="556" spans="1:26" x14ac:dyDescent="0.25">
      <c r="A556" s="2">
        <v>46135</v>
      </c>
      <c r="B556" s="3" t="s">
        <v>170</v>
      </c>
      <c r="C556" s="169" t="s">
        <v>234</v>
      </c>
      <c r="D556" s="4">
        <v>2000</v>
      </c>
      <c r="E556" s="209">
        <v>0.995</v>
      </c>
      <c r="F556" s="184">
        <f t="shared" si="272"/>
        <v>1990</v>
      </c>
      <c r="G556" s="6">
        <f t="shared" si="267"/>
        <v>0</v>
      </c>
      <c r="H556" s="219"/>
      <c r="I556" s="3" t="str">
        <f t="shared" si="254"/>
        <v>0</v>
      </c>
      <c r="J556" s="3" t="str">
        <f t="shared" si="255"/>
        <v>0</v>
      </c>
      <c r="K556" s="3" t="str">
        <f t="shared" si="256"/>
        <v>0</v>
      </c>
      <c r="L556" s="3" t="str">
        <f t="shared" si="257"/>
        <v>0</v>
      </c>
      <c r="M556" s="3">
        <f t="shared" si="258"/>
        <v>0</v>
      </c>
      <c r="N556" s="3">
        <f t="shared" si="259"/>
        <v>0</v>
      </c>
      <c r="O556" s="3">
        <f t="shared" si="260"/>
        <v>2000</v>
      </c>
      <c r="P556" s="3" t="str">
        <f t="shared" si="261"/>
        <v>0</v>
      </c>
      <c r="Q556" s="3">
        <f t="shared" si="262"/>
        <v>1990</v>
      </c>
      <c r="R556" s="3" t="str">
        <f t="shared" si="263"/>
        <v>0</v>
      </c>
      <c r="S556" s="3">
        <f t="shared" si="264"/>
        <v>0</v>
      </c>
      <c r="T556" s="3" t="str">
        <f t="shared" si="265"/>
        <v>0</v>
      </c>
      <c r="U556" s="3"/>
      <c r="V556" s="3"/>
      <c r="W556" s="3"/>
      <c r="X556" s="3"/>
      <c r="Y556" s="3"/>
      <c r="Z556" s="3"/>
    </row>
    <row r="557" spans="1:26" x14ac:dyDescent="0.25">
      <c r="A557" s="2">
        <v>46135</v>
      </c>
      <c r="B557" s="3" t="s">
        <v>170</v>
      </c>
      <c r="C557" s="169" t="s">
        <v>228</v>
      </c>
      <c r="D557" s="4">
        <v>1000</v>
      </c>
      <c r="E557" s="209">
        <v>0.995</v>
      </c>
      <c r="F557" s="184">
        <f t="shared" si="272"/>
        <v>995</v>
      </c>
      <c r="G557" s="6">
        <f t="shared" si="267"/>
        <v>0</v>
      </c>
      <c r="H557" s="219"/>
      <c r="I557" s="3" t="str">
        <f t="shared" si="254"/>
        <v>0</v>
      </c>
      <c r="J557" s="3" t="str">
        <f t="shared" si="255"/>
        <v>0</v>
      </c>
      <c r="K557" s="3" t="str">
        <f t="shared" si="256"/>
        <v>0</v>
      </c>
      <c r="L557" s="3" t="str">
        <f t="shared" si="257"/>
        <v>0</v>
      </c>
      <c r="M557" s="3">
        <f t="shared" si="258"/>
        <v>0</v>
      </c>
      <c r="N557" s="3">
        <f t="shared" si="259"/>
        <v>0</v>
      </c>
      <c r="O557" s="3">
        <f t="shared" si="260"/>
        <v>1000</v>
      </c>
      <c r="P557" s="3" t="str">
        <f t="shared" si="261"/>
        <v>0</v>
      </c>
      <c r="Q557" s="3">
        <f t="shared" si="262"/>
        <v>995</v>
      </c>
      <c r="R557" s="3" t="str">
        <f t="shared" si="263"/>
        <v>0</v>
      </c>
      <c r="S557" s="3">
        <f t="shared" si="264"/>
        <v>0</v>
      </c>
      <c r="T557" s="3" t="str">
        <f t="shared" si="265"/>
        <v>0</v>
      </c>
      <c r="U557" s="3"/>
      <c r="V557" s="3"/>
      <c r="W557" s="3"/>
      <c r="X557" s="3"/>
      <c r="Y557" s="3"/>
      <c r="Z557" s="3"/>
    </row>
    <row r="558" spans="1:26" x14ac:dyDescent="0.25">
      <c r="A558" s="2">
        <v>46135</v>
      </c>
      <c r="B558" s="3" t="s">
        <v>170</v>
      </c>
      <c r="C558" s="3" t="s">
        <v>235</v>
      </c>
      <c r="D558" s="4">
        <v>495.69</v>
      </c>
      <c r="E558" s="209">
        <v>0.995</v>
      </c>
      <c r="F558" s="184">
        <f t="shared" si="272"/>
        <v>493.21154999999999</v>
      </c>
      <c r="G558" s="211">
        <f t="shared" si="267"/>
        <v>0</v>
      </c>
      <c r="H558" s="219"/>
      <c r="I558" s="3" t="str">
        <f t="shared" si="254"/>
        <v>0</v>
      </c>
      <c r="J558" s="3" t="str">
        <f t="shared" si="255"/>
        <v>0</v>
      </c>
      <c r="K558" s="3" t="str">
        <f t="shared" si="256"/>
        <v>0</v>
      </c>
      <c r="L558" s="3" t="str">
        <f t="shared" si="257"/>
        <v>0</v>
      </c>
      <c r="M558" s="3">
        <f t="shared" si="258"/>
        <v>0</v>
      </c>
      <c r="N558" s="3">
        <f t="shared" si="259"/>
        <v>0</v>
      </c>
      <c r="O558" s="3">
        <f t="shared" si="260"/>
        <v>495.69</v>
      </c>
      <c r="P558" s="3" t="str">
        <f t="shared" si="261"/>
        <v>0</v>
      </c>
      <c r="Q558" s="3">
        <f t="shared" si="262"/>
        <v>493.21154999999999</v>
      </c>
      <c r="R558" s="3" t="str">
        <f t="shared" si="263"/>
        <v>0</v>
      </c>
      <c r="S558" s="3">
        <f t="shared" si="264"/>
        <v>0</v>
      </c>
      <c r="T558" s="3" t="str">
        <f t="shared" si="265"/>
        <v>0</v>
      </c>
      <c r="U558" s="3"/>
      <c r="V558" s="3"/>
      <c r="W558" s="3"/>
      <c r="X558" s="3"/>
      <c r="Y558" s="3"/>
      <c r="Z558" s="3"/>
    </row>
    <row r="559" spans="1:26" x14ac:dyDescent="0.25">
      <c r="A559" s="2">
        <v>46136</v>
      </c>
      <c r="B559" s="3" t="s">
        <v>170</v>
      </c>
      <c r="C559" s="3" t="s">
        <v>231</v>
      </c>
      <c r="D559" s="4">
        <v>1000</v>
      </c>
      <c r="E559" s="209">
        <v>0.995</v>
      </c>
      <c r="F559" s="184">
        <f t="shared" si="272"/>
        <v>995</v>
      </c>
      <c r="G559" s="211">
        <f t="shared" si="267"/>
        <v>0</v>
      </c>
      <c r="H559" s="219"/>
      <c r="I559" s="3" t="str">
        <f t="shared" si="254"/>
        <v>0</v>
      </c>
      <c r="J559" s="3" t="str">
        <f t="shared" si="255"/>
        <v>0</v>
      </c>
      <c r="K559" s="3" t="str">
        <f t="shared" si="256"/>
        <v>0</v>
      </c>
      <c r="L559" s="3" t="str">
        <f t="shared" si="257"/>
        <v>0</v>
      </c>
      <c r="M559" s="3">
        <f t="shared" si="258"/>
        <v>0</v>
      </c>
      <c r="N559" s="3">
        <f t="shared" si="259"/>
        <v>0</v>
      </c>
      <c r="O559" s="3">
        <f t="shared" si="260"/>
        <v>1000</v>
      </c>
      <c r="P559" s="3" t="str">
        <f t="shared" si="261"/>
        <v>0</v>
      </c>
      <c r="Q559" s="3">
        <f t="shared" si="262"/>
        <v>995</v>
      </c>
      <c r="R559" s="3" t="str">
        <f t="shared" si="263"/>
        <v>0</v>
      </c>
      <c r="S559" s="3">
        <f t="shared" si="264"/>
        <v>0</v>
      </c>
      <c r="T559" s="3" t="str">
        <f t="shared" si="265"/>
        <v>0</v>
      </c>
      <c r="U559" s="3"/>
      <c r="V559" s="3"/>
      <c r="W559" s="3"/>
      <c r="X559" s="3"/>
      <c r="Y559" s="3"/>
      <c r="Z559" s="3"/>
    </row>
    <row r="560" spans="1:26" x14ac:dyDescent="0.25">
      <c r="A560" s="2">
        <v>46136</v>
      </c>
      <c r="B560" s="3" t="s">
        <v>171</v>
      </c>
      <c r="C560" s="169" t="s">
        <v>247</v>
      </c>
      <c r="D560" s="3"/>
      <c r="E560" s="3"/>
      <c r="F560" s="6">
        <f t="shared" si="269"/>
        <v>0</v>
      </c>
      <c r="G560" s="211" t="e">
        <f t="shared" si="267"/>
        <v>#DIV/0!</v>
      </c>
      <c r="H560" s="219"/>
      <c r="I560" s="3" t="str">
        <f t="shared" si="254"/>
        <v>0</v>
      </c>
      <c r="J560" s="3" t="str">
        <f t="shared" si="255"/>
        <v>0</v>
      </c>
      <c r="K560" s="3" t="str">
        <f t="shared" si="256"/>
        <v>0</v>
      </c>
      <c r="L560" s="3" t="str">
        <f t="shared" si="257"/>
        <v>0</v>
      </c>
      <c r="M560" s="3">
        <f t="shared" si="258"/>
        <v>0</v>
      </c>
      <c r="N560" s="3">
        <f t="shared" si="259"/>
        <v>0</v>
      </c>
      <c r="O560" s="3" t="str">
        <f t="shared" si="260"/>
        <v>0</v>
      </c>
      <c r="P560" s="3" t="str">
        <f t="shared" si="261"/>
        <v>0</v>
      </c>
      <c r="Q560" s="3" t="str">
        <f t="shared" si="262"/>
        <v>0</v>
      </c>
      <c r="R560" s="3" t="str">
        <f t="shared" si="263"/>
        <v>0</v>
      </c>
      <c r="S560" s="3">
        <f t="shared" si="264"/>
        <v>0</v>
      </c>
      <c r="T560" s="3" t="str">
        <f t="shared" si="265"/>
        <v>0</v>
      </c>
      <c r="U560" s="3">
        <v>5000</v>
      </c>
      <c r="V560" s="3"/>
      <c r="W560" s="3"/>
      <c r="X560" s="3"/>
      <c r="Y560" s="3"/>
      <c r="Z560" s="3"/>
    </row>
    <row r="561" spans="1:26" x14ac:dyDescent="0.25">
      <c r="A561" s="2">
        <v>46137</v>
      </c>
      <c r="B561" s="3" t="s">
        <v>169</v>
      </c>
      <c r="C561" s="169" t="s">
        <v>228</v>
      </c>
      <c r="D561" s="4">
        <v>1613.7439999999999</v>
      </c>
      <c r="E561" s="5">
        <v>0.88</v>
      </c>
      <c r="F561" s="6">
        <f>+D561*E561</f>
        <v>1420.0947199999998</v>
      </c>
      <c r="G561" s="211">
        <f>+H561/D561</f>
        <v>15.079281472154195</v>
      </c>
      <c r="H561" s="7">
        <v>24334.1</v>
      </c>
      <c r="I561" s="3">
        <f t="shared" si="254"/>
        <v>1613.7439999999999</v>
      </c>
      <c r="J561" s="3" t="str">
        <f t="shared" si="255"/>
        <v>0</v>
      </c>
      <c r="K561" s="3">
        <f t="shared" si="256"/>
        <v>1420.0947199999998</v>
      </c>
      <c r="L561" s="3" t="str">
        <f t="shared" si="257"/>
        <v>0</v>
      </c>
      <c r="M561" s="3">
        <f t="shared" si="258"/>
        <v>25550.805</v>
      </c>
      <c r="N561" s="3">
        <f t="shared" si="259"/>
        <v>0</v>
      </c>
      <c r="O561" s="3" t="str">
        <f t="shared" si="260"/>
        <v>0</v>
      </c>
      <c r="P561" s="3" t="str">
        <f t="shared" si="261"/>
        <v>0</v>
      </c>
      <c r="Q561" s="3" t="str">
        <f t="shared" si="262"/>
        <v>0</v>
      </c>
      <c r="R561" s="3" t="str">
        <f t="shared" si="263"/>
        <v>0</v>
      </c>
      <c r="S561" s="3">
        <f t="shared" si="264"/>
        <v>0</v>
      </c>
      <c r="T561" s="3" t="str">
        <f t="shared" si="265"/>
        <v>0</v>
      </c>
      <c r="U561" s="3"/>
      <c r="V561" s="3"/>
      <c r="W561" s="3"/>
      <c r="X561" s="3"/>
      <c r="Y561" s="3"/>
      <c r="Z561" s="3"/>
    </row>
    <row r="562" spans="1:26" x14ac:dyDescent="0.25">
      <c r="A562" s="2">
        <v>46137</v>
      </c>
      <c r="B562" s="3" t="s">
        <v>169</v>
      </c>
      <c r="C562" s="3" t="s">
        <v>230</v>
      </c>
      <c r="D562" s="4">
        <v>688.2127999999999</v>
      </c>
      <c r="E562" s="5">
        <v>0.88</v>
      </c>
      <c r="F562" s="6">
        <f t="shared" ref="F562:F563" si="273">+D562*E562</f>
        <v>605.62726399999997</v>
      </c>
      <c r="G562" s="211">
        <f t="shared" ref="G562:G563" si="274">+H562/D562</f>
        <v>4.0749024139045371</v>
      </c>
      <c r="H562" s="7">
        <v>2804.4</v>
      </c>
      <c r="I562" s="3">
        <f t="shared" si="254"/>
        <v>688.2127999999999</v>
      </c>
      <c r="J562" s="3" t="str">
        <f t="shared" si="255"/>
        <v>0</v>
      </c>
      <c r="K562" s="3">
        <f t="shared" si="256"/>
        <v>605.62726399999997</v>
      </c>
      <c r="L562" s="3" t="str">
        <f t="shared" si="257"/>
        <v>0</v>
      </c>
      <c r="M562" s="3">
        <f t="shared" si="258"/>
        <v>2944.62</v>
      </c>
      <c r="N562" s="3">
        <f t="shared" si="259"/>
        <v>0</v>
      </c>
      <c r="O562" s="3" t="str">
        <f t="shared" si="260"/>
        <v>0</v>
      </c>
      <c r="P562" s="3" t="str">
        <f t="shared" si="261"/>
        <v>0</v>
      </c>
      <c r="Q562" s="3" t="str">
        <f t="shared" si="262"/>
        <v>0</v>
      </c>
      <c r="R562" s="3" t="str">
        <f t="shared" si="263"/>
        <v>0</v>
      </c>
      <c r="S562" s="3">
        <f t="shared" si="264"/>
        <v>0</v>
      </c>
      <c r="T562" s="3" t="str">
        <f t="shared" si="265"/>
        <v>0</v>
      </c>
      <c r="U562" s="3"/>
      <c r="V562" s="3"/>
      <c r="W562" s="3"/>
      <c r="X562" s="3"/>
      <c r="Y562" s="3"/>
      <c r="Z562" s="3"/>
    </row>
    <row r="563" spans="1:26" x14ac:dyDescent="0.25">
      <c r="A563" s="2">
        <v>46137</v>
      </c>
      <c r="B563" s="3" t="s">
        <v>169</v>
      </c>
      <c r="C563" s="169" t="s">
        <v>229</v>
      </c>
      <c r="D563" s="4">
        <v>1866.421</v>
      </c>
      <c r="E563" s="5">
        <v>0.88</v>
      </c>
      <c r="F563" s="6">
        <f t="shared" si="273"/>
        <v>1642.45048</v>
      </c>
      <c r="G563" s="211">
        <f t="shared" si="274"/>
        <v>2.7071062745222005</v>
      </c>
      <c r="H563" s="7">
        <v>5052.6000000000004</v>
      </c>
      <c r="I563" s="3">
        <f t="shared" si="254"/>
        <v>1866.421</v>
      </c>
      <c r="J563" s="3" t="str">
        <f t="shared" si="255"/>
        <v>0</v>
      </c>
      <c r="K563" s="3">
        <f t="shared" si="256"/>
        <v>1642.45048</v>
      </c>
      <c r="L563" s="3" t="str">
        <f t="shared" si="257"/>
        <v>0</v>
      </c>
      <c r="M563" s="3">
        <f t="shared" si="258"/>
        <v>5305.2300000000005</v>
      </c>
      <c r="N563" s="3">
        <f t="shared" si="259"/>
        <v>0</v>
      </c>
      <c r="O563" s="3" t="str">
        <f t="shared" si="260"/>
        <v>0</v>
      </c>
      <c r="P563" s="3" t="str">
        <f t="shared" si="261"/>
        <v>0</v>
      </c>
      <c r="Q563" s="3" t="str">
        <f t="shared" si="262"/>
        <v>0</v>
      </c>
      <c r="R563" s="3" t="str">
        <f t="shared" si="263"/>
        <v>0</v>
      </c>
      <c r="S563" s="3">
        <f t="shared" si="264"/>
        <v>0</v>
      </c>
      <c r="T563" s="3" t="str">
        <f t="shared" si="265"/>
        <v>0</v>
      </c>
      <c r="U563" s="3"/>
      <c r="V563" s="3"/>
      <c r="W563" s="3"/>
      <c r="X563" s="3"/>
      <c r="Y563" s="3"/>
      <c r="Z563" s="3"/>
    </row>
    <row r="564" spans="1:26" x14ac:dyDescent="0.25">
      <c r="A564" s="2">
        <v>46137</v>
      </c>
      <c r="B564" s="3" t="s">
        <v>170</v>
      </c>
      <c r="C564" s="169" t="s">
        <v>229</v>
      </c>
      <c r="D564" s="4">
        <v>1990</v>
      </c>
      <c r="E564" s="209">
        <v>0.995</v>
      </c>
      <c r="F564" s="184">
        <f t="shared" ref="F564:F568" si="275">D564*E564</f>
        <v>1980.05</v>
      </c>
      <c r="G564" s="211"/>
      <c r="H564" s="210"/>
      <c r="I564" s="3" t="str">
        <f t="shared" si="254"/>
        <v>0</v>
      </c>
      <c r="J564" s="3" t="str">
        <f t="shared" si="255"/>
        <v>0</v>
      </c>
      <c r="K564" s="3" t="str">
        <f t="shared" si="256"/>
        <v>0</v>
      </c>
      <c r="L564" s="3" t="str">
        <f t="shared" si="257"/>
        <v>0</v>
      </c>
      <c r="M564" s="3">
        <f t="shared" si="258"/>
        <v>0</v>
      </c>
      <c r="N564" s="3">
        <f t="shared" si="259"/>
        <v>0</v>
      </c>
      <c r="O564" s="3">
        <f t="shared" si="260"/>
        <v>1990</v>
      </c>
      <c r="P564" s="3" t="str">
        <f t="shared" si="261"/>
        <v>0</v>
      </c>
      <c r="Q564" s="3">
        <f t="shared" si="262"/>
        <v>1980.05</v>
      </c>
      <c r="R564" s="3" t="str">
        <f t="shared" si="263"/>
        <v>0</v>
      </c>
      <c r="S564" s="3">
        <f t="shared" si="264"/>
        <v>0</v>
      </c>
      <c r="T564" s="3" t="str">
        <f t="shared" si="265"/>
        <v>0</v>
      </c>
      <c r="U564" s="3"/>
      <c r="V564" s="3"/>
      <c r="W564" s="3"/>
      <c r="X564" s="3"/>
      <c r="Y564" s="3"/>
      <c r="Z564" s="3"/>
    </row>
    <row r="565" spans="1:26" x14ac:dyDescent="0.25">
      <c r="A565" s="2">
        <v>46137</v>
      </c>
      <c r="B565" s="3" t="s">
        <v>170</v>
      </c>
      <c r="C565" s="3" t="s">
        <v>230</v>
      </c>
      <c r="D565" s="4">
        <v>995</v>
      </c>
      <c r="E565" s="209">
        <v>0.995</v>
      </c>
      <c r="F565" s="184">
        <f t="shared" si="275"/>
        <v>990.02499999999998</v>
      </c>
      <c r="G565" s="211"/>
      <c r="H565" s="210"/>
      <c r="I565" s="3" t="str">
        <f t="shared" si="254"/>
        <v>0</v>
      </c>
      <c r="J565" s="3" t="str">
        <f t="shared" si="255"/>
        <v>0</v>
      </c>
      <c r="K565" s="3" t="str">
        <f t="shared" si="256"/>
        <v>0</v>
      </c>
      <c r="L565" s="3" t="str">
        <f t="shared" si="257"/>
        <v>0</v>
      </c>
      <c r="M565" s="3">
        <f t="shared" si="258"/>
        <v>0</v>
      </c>
      <c r="N565" s="3">
        <f t="shared" si="259"/>
        <v>0</v>
      </c>
      <c r="O565" s="3">
        <f t="shared" si="260"/>
        <v>995</v>
      </c>
      <c r="P565" s="3" t="str">
        <f t="shared" si="261"/>
        <v>0</v>
      </c>
      <c r="Q565" s="3">
        <f t="shared" si="262"/>
        <v>990.02499999999998</v>
      </c>
      <c r="R565" s="3" t="str">
        <f t="shared" si="263"/>
        <v>0</v>
      </c>
      <c r="S565" s="3">
        <f t="shared" si="264"/>
        <v>0</v>
      </c>
      <c r="T565" s="3" t="str">
        <f t="shared" si="265"/>
        <v>0</v>
      </c>
      <c r="U565" s="3"/>
      <c r="V565" s="3"/>
      <c r="W565" s="3"/>
      <c r="X565" s="3"/>
      <c r="Y565" s="3"/>
      <c r="Z565" s="3"/>
    </row>
    <row r="566" spans="1:26" x14ac:dyDescent="0.25">
      <c r="A566" s="2">
        <v>46137</v>
      </c>
      <c r="B566" s="3" t="s">
        <v>170</v>
      </c>
      <c r="C566" s="169" t="s">
        <v>228</v>
      </c>
      <c r="D566" s="4">
        <v>493.21154999999999</v>
      </c>
      <c r="E566" s="209">
        <v>0.995</v>
      </c>
      <c r="F566" s="184">
        <f t="shared" si="275"/>
        <v>490.74549224999998</v>
      </c>
      <c r="G566" s="211"/>
      <c r="H566" s="210"/>
      <c r="I566" s="3" t="str">
        <f t="shared" si="254"/>
        <v>0</v>
      </c>
      <c r="J566" s="3" t="str">
        <f t="shared" si="255"/>
        <v>0</v>
      </c>
      <c r="K566" s="3" t="str">
        <f t="shared" si="256"/>
        <v>0</v>
      </c>
      <c r="L566" s="3" t="str">
        <f t="shared" si="257"/>
        <v>0</v>
      </c>
      <c r="M566" s="3">
        <f t="shared" si="258"/>
        <v>0</v>
      </c>
      <c r="N566" s="3">
        <f t="shared" si="259"/>
        <v>0</v>
      </c>
      <c r="O566" s="3">
        <f t="shared" si="260"/>
        <v>493.21154999999999</v>
      </c>
      <c r="P566" s="3" t="str">
        <f t="shared" si="261"/>
        <v>0</v>
      </c>
      <c r="Q566" s="3">
        <f t="shared" si="262"/>
        <v>490.74549224999998</v>
      </c>
      <c r="R566" s="3" t="str">
        <f t="shared" si="263"/>
        <v>0</v>
      </c>
      <c r="S566" s="3">
        <f t="shared" si="264"/>
        <v>0</v>
      </c>
      <c r="T566" s="3" t="str">
        <f t="shared" si="265"/>
        <v>0</v>
      </c>
      <c r="U566" s="3"/>
      <c r="V566" s="3"/>
      <c r="W566" s="3"/>
      <c r="X566" s="3"/>
      <c r="Y566" s="3"/>
      <c r="Z566" s="3"/>
    </row>
    <row r="567" spans="1:26" x14ac:dyDescent="0.25">
      <c r="A567" s="2">
        <v>46137</v>
      </c>
      <c r="B567" s="3" t="s">
        <v>170</v>
      </c>
      <c r="C567" s="169" t="s">
        <v>239</v>
      </c>
      <c r="D567" s="4">
        <v>328.25</v>
      </c>
      <c r="E567" s="209">
        <v>0.88</v>
      </c>
      <c r="F567" s="184">
        <f t="shared" si="275"/>
        <v>288.86</v>
      </c>
      <c r="G567" s="211">
        <f>H567/D567</f>
        <v>2.7500076161462301</v>
      </c>
      <c r="H567" s="210">
        <v>902.69</v>
      </c>
      <c r="I567" s="3" t="str">
        <f t="shared" si="254"/>
        <v>0</v>
      </c>
      <c r="J567" s="3" t="str">
        <f t="shared" si="255"/>
        <v>0</v>
      </c>
      <c r="K567" s="3" t="str">
        <f t="shared" si="256"/>
        <v>0</v>
      </c>
      <c r="L567" s="3" t="str">
        <f t="shared" si="257"/>
        <v>0</v>
      </c>
      <c r="M567" s="3">
        <f t="shared" si="258"/>
        <v>0</v>
      </c>
      <c r="N567" s="3">
        <f t="shared" si="259"/>
        <v>0</v>
      </c>
      <c r="O567" s="3">
        <f t="shared" si="260"/>
        <v>328.25</v>
      </c>
      <c r="P567" s="3" t="str">
        <f t="shared" si="261"/>
        <v>0</v>
      </c>
      <c r="Q567" s="3">
        <f t="shared" si="262"/>
        <v>288.86</v>
      </c>
      <c r="R567" s="3" t="str">
        <f t="shared" si="263"/>
        <v>0</v>
      </c>
      <c r="S567" s="3">
        <f t="shared" si="264"/>
        <v>947.82450000000006</v>
      </c>
      <c r="T567" s="3" t="str">
        <f t="shared" si="265"/>
        <v>0</v>
      </c>
      <c r="U567" s="3"/>
      <c r="V567" s="3"/>
      <c r="W567" s="3"/>
      <c r="X567" s="3"/>
      <c r="Y567" s="3"/>
      <c r="Z567" s="3"/>
    </row>
    <row r="568" spans="1:26" x14ac:dyDescent="0.25">
      <c r="A568" s="2">
        <v>46137</v>
      </c>
      <c r="B568" s="3" t="s">
        <v>170</v>
      </c>
      <c r="C568" s="3" t="s">
        <v>230</v>
      </c>
      <c r="D568" s="4">
        <v>425.5</v>
      </c>
      <c r="E568" s="209">
        <v>0.88</v>
      </c>
      <c r="F568" s="184">
        <f t="shared" si="275"/>
        <v>374.44</v>
      </c>
      <c r="G568" s="211">
        <f>H568/D568</f>
        <v>5</v>
      </c>
      <c r="H568" s="210">
        <v>2127.5</v>
      </c>
      <c r="I568" s="3" t="str">
        <f t="shared" si="254"/>
        <v>0</v>
      </c>
      <c r="J568" s="3" t="str">
        <f t="shared" si="255"/>
        <v>0</v>
      </c>
      <c r="K568" s="3" t="str">
        <f t="shared" si="256"/>
        <v>0</v>
      </c>
      <c r="L568" s="3" t="str">
        <f t="shared" si="257"/>
        <v>0</v>
      </c>
      <c r="M568" s="3">
        <f t="shared" si="258"/>
        <v>0</v>
      </c>
      <c r="N568" s="3">
        <f t="shared" si="259"/>
        <v>0</v>
      </c>
      <c r="O568" s="3">
        <f t="shared" si="260"/>
        <v>425.5</v>
      </c>
      <c r="P568" s="3" t="str">
        <f t="shared" si="261"/>
        <v>0</v>
      </c>
      <c r="Q568" s="3">
        <f t="shared" si="262"/>
        <v>374.44</v>
      </c>
      <c r="R568" s="3" t="str">
        <f t="shared" si="263"/>
        <v>0</v>
      </c>
      <c r="S568" s="3">
        <f t="shared" si="264"/>
        <v>2233.875</v>
      </c>
      <c r="T568" s="3" t="str">
        <f t="shared" si="265"/>
        <v>0</v>
      </c>
      <c r="U568" s="3"/>
      <c r="V568" s="3"/>
      <c r="W568" s="3"/>
      <c r="X568" s="3"/>
      <c r="Y568" s="3"/>
      <c r="Z568" s="3"/>
    </row>
    <row r="569" spans="1:26" x14ac:dyDescent="0.25">
      <c r="A569" s="2">
        <v>46137</v>
      </c>
      <c r="B569" s="3" t="s">
        <v>212</v>
      </c>
      <c r="C569" s="169" t="s">
        <v>228</v>
      </c>
      <c r="D569" s="4">
        <v>214.2</v>
      </c>
      <c r="E569" s="209">
        <v>0.88</v>
      </c>
      <c r="F569" s="184">
        <f>+D569*E569</f>
        <v>188.49599999999998</v>
      </c>
      <c r="G569" s="231">
        <f>+H569/D569</f>
        <v>10</v>
      </c>
      <c r="H569" s="185">
        <v>2142</v>
      </c>
      <c r="I569" s="3" t="str">
        <f t="shared" si="254"/>
        <v>0</v>
      </c>
      <c r="J569" s="3">
        <f t="shared" si="255"/>
        <v>214.2</v>
      </c>
      <c r="K569" s="3" t="str">
        <f t="shared" si="256"/>
        <v>0</v>
      </c>
      <c r="L569" s="3">
        <f t="shared" si="257"/>
        <v>188.49599999999998</v>
      </c>
      <c r="M569" s="3">
        <f t="shared" si="258"/>
        <v>0</v>
      </c>
      <c r="N569" s="3">
        <f t="shared" si="259"/>
        <v>2249.1</v>
      </c>
      <c r="O569" s="3" t="str">
        <f t="shared" si="260"/>
        <v>0</v>
      </c>
      <c r="P569" s="3" t="str">
        <f t="shared" si="261"/>
        <v>0</v>
      </c>
      <c r="Q569" s="3" t="str">
        <f t="shared" si="262"/>
        <v>0</v>
      </c>
      <c r="R569" s="3" t="str">
        <f t="shared" si="263"/>
        <v>0</v>
      </c>
      <c r="S569" s="3">
        <f t="shared" si="264"/>
        <v>0</v>
      </c>
      <c r="T569" s="3" t="str">
        <f t="shared" si="265"/>
        <v>0</v>
      </c>
      <c r="U569" s="3"/>
      <c r="V569" s="3"/>
      <c r="W569" s="3"/>
      <c r="X569" s="3"/>
      <c r="Y569" s="3"/>
      <c r="Z569" s="3"/>
    </row>
    <row r="570" spans="1:26" x14ac:dyDescent="0.25">
      <c r="A570" s="2">
        <v>46137</v>
      </c>
      <c r="B570" s="3" t="s">
        <v>209</v>
      </c>
      <c r="C570" s="169" t="s">
        <v>239</v>
      </c>
      <c r="D570" s="4">
        <v>255</v>
      </c>
      <c r="E570" s="209">
        <v>0.995</v>
      </c>
      <c r="F570" s="184">
        <f>+D570*E570</f>
        <v>253.72499999999999</v>
      </c>
      <c r="G570" s="211">
        <f t="shared" si="267"/>
        <v>0</v>
      </c>
      <c r="H570" s="219"/>
      <c r="I570" s="3" t="str">
        <f t="shared" si="254"/>
        <v>0</v>
      </c>
      <c r="J570" s="3" t="str">
        <f t="shared" si="255"/>
        <v>0</v>
      </c>
      <c r="K570" s="3" t="str">
        <f t="shared" si="256"/>
        <v>0</v>
      </c>
      <c r="L570" s="3" t="str">
        <f t="shared" si="257"/>
        <v>0</v>
      </c>
      <c r="M570" s="3">
        <f t="shared" si="258"/>
        <v>0</v>
      </c>
      <c r="N570" s="3">
        <f t="shared" si="259"/>
        <v>0</v>
      </c>
      <c r="O570" s="3" t="str">
        <f t="shared" si="260"/>
        <v>0</v>
      </c>
      <c r="P570" s="3">
        <f t="shared" si="261"/>
        <v>255</v>
      </c>
      <c r="Q570" s="3" t="str">
        <f t="shared" si="262"/>
        <v>0</v>
      </c>
      <c r="R570" s="3">
        <f t="shared" si="263"/>
        <v>253.72499999999999</v>
      </c>
      <c r="S570" s="3">
        <f t="shared" si="264"/>
        <v>0</v>
      </c>
      <c r="T570" s="3">
        <f t="shared" si="265"/>
        <v>0</v>
      </c>
      <c r="U570" s="3"/>
      <c r="V570" s="3"/>
      <c r="W570" s="3"/>
      <c r="X570" s="3"/>
      <c r="Y570" s="3"/>
      <c r="Z570" s="3"/>
    </row>
    <row r="571" spans="1:26" x14ac:dyDescent="0.25">
      <c r="A571" s="2">
        <v>46137</v>
      </c>
      <c r="B571" s="3" t="s">
        <v>171</v>
      </c>
      <c r="C571" s="169" t="s">
        <v>247</v>
      </c>
      <c r="D571" s="3"/>
      <c r="E571" s="3"/>
      <c r="F571" s="6">
        <f t="shared" si="269"/>
        <v>0</v>
      </c>
      <c r="G571" s="211" t="e">
        <f t="shared" si="267"/>
        <v>#DIV/0!</v>
      </c>
      <c r="H571" s="219"/>
      <c r="I571" s="3" t="str">
        <f t="shared" si="254"/>
        <v>0</v>
      </c>
      <c r="J571" s="3" t="str">
        <f t="shared" si="255"/>
        <v>0</v>
      </c>
      <c r="K571" s="3" t="str">
        <f t="shared" si="256"/>
        <v>0</v>
      </c>
      <c r="L571" s="3" t="str">
        <f t="shared" si="257"/>
        <v>0</v>
      </c>
      <c r="M571" s="3">
        <f t="shared" si="258"/>
        <v>0</v>
      </c>
      <c r="N571" s="3">
        <f t="shared" si="259"/>
        <v>0</v>
      </c>
      <c r="O571" s="3" t="str">
        <f t="shared" si="260"/>
        <v>0</v>
      </c>
      <c r="P571" s="3" t="str">
        <f t="shared" si="261"/>
        <v>0</v>
      </c>
      <c r="Q571" s="3" t="str">
        <f t="shared" si="262"/>
        <v>0</v>
      </c>
      <c r="R571" s="3" t="str">
        <f t="shared" si="263"/>
        <v>0</v>
      </c>
      <c r="S571" s="3">
        <f t="shared" si="264"/>
        <v>0</v>
      </c>
      <c r="T571" s="3" t="str">
        <f t="shared" si="265"/>
        <v>0</v>
      </c>
      <c r="U571" s="3">
        <v>5000</v>
      </c>
      <c r="V571" s="3"/>
      <c r="W571" s="3"/>
      <c r="X571" s="3"/>
      <c r="Y571" s="3"/>
      <c r="Z571" s="3"/>
    </row>
    <row r="572" spans="1:26" x14ac:dyDescent="0.25">
      <c r="A572" s="2">
        <v>46139</v>
      </c>
      <c r="B572" s="3" t="s">
        <v>169</v>
      </c>
      <c r="C572" s="169" t="s">
        <v>236</v>
      </c>
      <c r="D572" s="4">
        <v>2030.57</v>
      </c>
      <c r="E572" s="5">
        <v>0.92</v>
      </c>
      <c r="F572" s="6">
        <f>+D572*E572</f>
        <v>1868.1243999999999</v>
      </c>
      <c r="G572" s="6">
        <f>+H572/D572</f>
        <v>3.2499987688186081</v>
      </c>
      <c r="H572" s="7">
        <v>6599.35</v>
      </c>
      <c r="I572" s="3">
        <f t="shared" si="254"/>
        <v>2030.57</v>
      </c>
      <c r="J572" s="3" t="str">
        <f t="shared" si="255"/>
        <v>0</v>
      </c>
      <c r="K572" s="3">
        <f t="shared" si="256"/>
        <v>1868.1243999999999</v>
      </c>
      <c r="L572" s="3" t="str">
        <f t="shared" si="257"/>
        <v>0</v>
      </c>
      <c r="M572" s="3">
        <f t="shared" si="258"/>
        <v>6929.3175000000001</v>
      </c>
      <c r="N572" s="3">
        <f t="shared" si="259"/>
        <v>0</v>
      </c>
      <c r="O572" s="3" t="str">
        <f t="shared" si="260"/>
        <v>0</v>
      </c>
      <c r="P572" s="3" t="str">
        <f t="shared" si="261"/>
        <v>0</v>
      </c>
      <c r="Q572" s="3" t="str">
        <f t="shared" si="262"/>
        <v>0</v>
      </c>
      <c r="R572" s="3" t="str">
        <f t="shared" si="263"/>
        <v>0</v>
      </c>
      <c r="S572" s="3">
        <f t="shared" si="264"/>
        <v>0</v>
      </c>
      <c r="T572" s="3" t="str">
        <f t="shared" si="265"/>
        <v>0</v>
      </c>
      <c r="U572" s="3"/>
      <c r="V572" s="3"/>
      <c r="W572" s="3"/>
      <c r="X572" s="3"/>
      <c r="Y572" s="3"/>
      <c r="Z572" s="3"/>
    </row>
    <row r="573" spans="1:26" x14ac:dyDescent="0.25">
      <c r="A573" s="2">
        <v>46139</v>
      </c>
      <c r="B573" s="3" t="s">
        <v>169</v>
      </c>
      <c r="C573" s="169" t="s">
        <v>229</v>
      </c>
      <c r="D573" s="4">
        <v>493.7</v>
      </c>
      <c r="E573" s="5">
        <v>0.88</v>
      </c>
      <c r="F573" s="6">
        <f t="shared" ref="F573:F579" si="276">+D573*E573</f>
        <v>434.45600000000002</v>
      </c>
      <c r="G573" s="6">
        <f t="shared" ref="G573:G636" si="277">+H573/D573</f>
        <v>8</v>
      </c>
      <c r="H573" s="7">
        <v>3949.6</v>
      </c>
      <c r="I573" s="3">
        <f t="shared" si="254"/>
        <v>493.7</v>
      </c>
      <c r="J573" s="3" t="str">
        <f t="shared" si="255"/>
        <v>0</v>
      </c>
      <c r="K573" s="3">
        <f t="shared" si="256"/>
        <v>434.45600000000002</v>
      </c>
      <c r="L573" s="3" t="str">
        <f t="shared" si="257"/>
        <v>0</v>
      </c>
      <c r="M573" s="3">
        <f t="shared" si="258"/>
        <v>4147.08</v>
      </c>
      <c r="N573" s="3">
        <f t="shared" si="259"/>
        <v>0</v>
      </c>
      <c r="O573" s="3" t="str">
        <f t="shared" si="260"/>
        <v>0</v>
      </c>
      <c r="P573" s="3" t="str">
        <f t="shared" si="261"/>
        <v>0</v>
      </c>
      <c r="Q573" s="3" t="str">
        <f t="shared" si="262"/>
        <v>0</v>
      </c>
      <c r="R573" s="3" t="str">
        <f t="shared" si="263"/>
        <v>0</v>
      </c>
      <c r="S573" s="3">
        <f t="shared" si="264"/>
        <v>0</v>
      </c>
      <c r="T573" s="3" t="str">
        <f t="shared" si="265"/>
        <v>0</v>
      </c>
      <c r="U573" s="3"/>
      <c r="V573" s="3"/>
      <c r="W573" s="3"/>
      <c r="X573" s="3"/>
      <c r="Y573" s="3"/>
      <c r="Z573" s="3"/>
    </row>
    <row r="574" spans="1:26" x14ac:dyDescent="0.25">
      <c r="A574" s="2">
        <v>46139</v>
      </c>
      <c r="B574" s="3" t="s">
        <v>169</v>
      </c>
      <c r="C574" s="3" t="s">
        <v>231</v>
      </c>
      <c r="D574" s="4">
        <v>128.1</v>
      </c>
      <c r="E574" s="5">
        <v>0.88</v>
      </c>
      <c r="F574" s="6">
        <f t="shared" si="276"/>
        <v>112.72799999999999</v>
      </c>
      <c r="G574" s="6">
        <f t="shared" si="277"/>
        <v>5</v>
      </c>
      <c r="H574" s="7">
        <v>640.5</v>
      </c>
      <c r="I574" s="3">
        <f t="shared" si="254"/>
        <v>128.1</v>
      </c>
      <c r="J574" s="3" t="str">
        <f t="shared" si="255"/>
        <v>0</v>
      </c>
      <c r="K574" s="3">
        <f t="shared" si="256"/>
        <v>112.72799999999999</v>
      </c>
      <c r="L574" s="3" t="str">
        <f t="shared" si="257"/>
        <v>0</v>
      </c>
      <c r="M574" s="3">
        <f t="shared" si="258"/>
        <v>672.52499999999998</v>
      </c>
      <c r="N574" s="3">
        <f t="shared" si="259"/>
        <v>0</v>
      </c>
      <c r="O574" s="3" t="str">
        <f t="shared" si="260"/>
        <v>0</v>
      </c>
      <c r="P574" s="3" t="str">
        <f t="shared" si="261"/>
        <v>0</v>
      </c>
      <c r="Q574" s="3" t="str">
        <f t="shared" si="262"/>
        <v>0</v>
      </c>
      <c r="R574" s="3" t="str">
        <f t="shared" si="263"/>
        <v>0</v>
      </c>
      <c r="S574" s="3">
        <f t="shared" si="264"/>
        <v>0</v>
      </c>
      <c r="T574" s="3" t="str">
        <f t="shared" si="265"/>
        <v>0</v>
      </c>
      <c r="U574" s="3"/>
      <c r="V574" s="3"/>
      <c r="W574" s="3"/>
      <c r="X574" s="3"/>
      <c r="Y574" s="3"/>
      <c r="Z574" s="3"/>
    </row>
    <row r="575" spans="1:26" x14ac:dyDescent="0.25">
      <c r="A575" s="2">
        <v>46139</v>
      </c>
      <c r="B575" s="3" t="s">
        <v>169</v>
      </c>
      <c r="C575" s="169" t="s">
        <v>232</v>
      </c>
      <c r="D575" s="4">
        <v>1868.1243999999999</v>
      </c>
      <c r="E575" s="5">
        <v>0.88</v>
      </c>
      <c r="F575" s="6">
        <f t="shared" si="276"/>
        <v>1643.949472</v>
      </c>
      <c r="G575" s="6">
        <f t="shared" si="277"/>
        <v>2.0734165240815869</v>
      </c>
      <c r="H575" s="7">
        <v>3873.4</v>
      </c>
      <c r="I575" s="3">
        <f t="shared" si="254"/>
        <v>1868.1243999999999</v>
      </c>
      <c r="J575" s="3" t="str">
        <f t="shared" si="255"/>
        <v>0</v>
      </c>
      <c r="K575" s="3">
        <f t="shared" si="256"/>
        <v>1643.949472</v>
      </c>
      <c r="L575" s="3" t="str">
        <f t="shared" si="257"/>
        <v>0</v>
      </c>
      <c r="M575" s="3">
        <f t="shared" si="258"/>
        <v>4067.07</v>
      </c>
      <c r="N575" s="3">
        <f t="shared" si="259"/>
        <v>0</v>
      </c>
      <c r="O575" s="3" t="str">
        <f t="shared" si="260"/>
        <v>0</v>
      </c>
      <c r="P575" s="3" t="str">
        <f t="shared" si="261"/>
        <v>0</v>
      </c>
      <c r="Q575" s="3" t="str">
        <f t="shared" si="262"/>
        <v>0</v>
      </c>
      <c r="R575" s="3" t="str">
        <f t="shared" si="263"/>
        <v>0</v>
      </c>
      <c r="S575" s="3">
        <f t="shared" si="264"/>
        <v>0</v>
      </c>
      <c r="T575" s="3" t="str">
        <f t="shared" si="265"/>
        <v>0</v>
      </c>
      <c r="U575" s="3"/>
      <c r="V575" s="3"/>
      <c r="W575" s="3"/>
      <c r="X575" s="3"/>
      <c r="Y575" s="3"/>
      <c r="Z575" s="3"/>
    </row>
    <row r="576" spans="1:26" x14ac:dyDescent="0.25">
      <c r="A576" s="2">
        <v>46139</v>
      </c>
      <c r="B576" s="3" t="s">
        <v>169</v>
      </c>
      <c r="C576" s="169" t="s">
        <v>228</v>
      </c>
      <c r="D576" s="4">
        <v>434.45600000000002</v>
      </c>
      <c r="E576" s="5">
        <v>0.88</v>
      </c>
      <c r="F576" s="6">
        <f t="shared" si="276"/>
        <v>382.32128</v>
      </c>
      <c r="G576" s="6">
        <f t="shared" si="277"/>
        <v>39.817610989375218</v>
      </c>
      <c r="H576" s="7">
        <v>17299</v>
      </c>
      <c r="I576" s="3">
        <f t="shared" si="254"/>
        <v>434.45600000000002</v>
      </c>
      <c r="J576" s="3" t="str">
        <f t="shared" si="255"/>
        <v>0</v>
      </c>
      <c r="K576" s="3">
        <f t="shared" si="256"/>
        <v>382.32128</v>
      </c>
      <c r="L576" s="3" t="str">
        <f t="shared" si="257"/>
        <v>0</v>
      </c>
      <c r="M576" s="3">
        <f t="shared" si="258"/>
        <v>18163.95</v>
      </c>
      <c r="N576" s="3">
        <f t="shared" si="259"/>
        <v>0</v>
      </c>
      <c r="O576" s="3" t="str">
        <f t="shared" si="260"/>
        <v>0</v>
      </c>
      <c r="P576" s="3" t="str">
        <f t="shared" si="261"/>
        <v>0</v>
      </c>
      <c r="Q576" s="3" t="str">
        <f t="shared" si="262"/>
        <v>0</v>
      </c>
      <c r="R576" s="3" t="str">
        <f t="shared" si="263"/>
        <v>0</v>
      </c>
      <c r="S576" s="3">
        <f t="shared" si="264"/>
        <v>0</v>
      </c>
      <c r="T576" s="3" t="str">
        <f t="shared" si="265"/>
        <v>0</v>
      </c>
      <c r="U576" s="3"/>
      <c r="V576" s="3"/>
      <c r="W576" s="3"/>
      <c r="X576" s="3"/>
      <c r="Y576" s="3"/>
      <c r="Z576" s="3"/>
    </row>
    <row r="577" spans="1:26" x14ac:dyDescent="0.25">
      <c r="A577" s="2">
        <v>46139</v>
      </c>
      <c r="B577" s="3" t="s">
        <v>169</v>
      </c>
      <c r="C577" s="169" t="s">
        <v>232</v>
      </c>
      <c r="D577" s="4">
        <v>112.72799999999999</v>
      </c>
      <c r="E577" s="5">
        <v>0.88</v>
      </c>
      <c r="F577" s="6">
        <f t="shared" si="276"/>
        <v>99.200639999999993</v>
      </c>
      <c r="G577" s="6">
        <f t="shared" si="277"/>
        <v>45.099709034135266</v>
      </c>
      <c r="H577" s="7">
        <v>5084</v>
      </c>
      <c r="I577" s="3">
        <f t="shared" si="254"/>
        <v>112.72799999999999</v>
      </c>
      <c r="J577" s="3" t="str">
        <f t="shared" si="255"/>
        <v>0</v>
      </c>
      <c r="K577" s="3">
        <f t="shared" si="256"/>
        <v>99.200639999999993</v>
      </c>
      <c r="L577" s="3" t="str">
        <f t="shared" si="257"/>
        <v>0</v>
      </c>
      <c r="M577" s="3">
        <f t="shared" si="258"/>
        <v>5338.2</v>
      </c>
      <c r="N577" s="3">
        <f t="shared" si="259"/>
        <v>0</v>
      </c>
      <c r="O577" s="3" t="str">
        <f t="shared" si="260"/>
        <v>0</v>
      </c>
      <c r="P577" s="3" t="str">
        <f t="shared" si="261"/>
        <v>0</v>
      </c>
      <c r="Q577" s="3" t="str">
        <f t="shared" si="262"/>
        <v>0</v>
      </c>
      <c r="R577" s="3" t="str">
        <f t="shared" si="263"/>
        <v>0</v>
      </c>
      <c r="S577" s="3">
        <f t="shared" si="264"/>
        <v>0</v>
      </c>
      <c r="T577" s="3" t="str">
        <f t="shared" si="265"/>
        <v>0</v>
      </c>
      <c r="U577" s="3"/>
      <c r="V577" s="3"/>
      <c r="W577" s="3"/>
      <c r="X577" s="3"/>
      <c r="Y577" s="3"/>
      <c r="Z577" s="3"/>
    </row>
    <row r="578" spans="1:26" x14ac:dyDescent="0.25">
      <c r="A578" s="2">
        <v>46139</v>
      </c>
      <c r="B578" s="3" t="s">
        <v>169</v>
      </c>
      <c r="C578" s="3" t="s">
        <v>230</v>
      </c>
      <c r="D578" s="4">
        <v>566.98399999999992</v>
      </c>
      <c r="E578" s="5">
        <v>0.88</v>
      </c>
      <c r="F578" s="6">
        <f t="shared" si="276"/>
        <v>498.94591999999994</v>
      </c>
      <c r="G578" s="6">
        <f t="shared" si="277"/>
        <v>3.5654445275351692</v>
      </c>
      <c r="H578" s="7">
        <v>2021.55</v>
      </c>
      <c r="I578" s="3">
        <f t="shared" ref="I578:I641" si="278">IF(B578="SALES",D578,"0")</f>
        <v>566.98399999999992</v>
      </c>
      <c r="J578" s="3" t="str">
        <f t="shared" ref="J578:J641" si="279">IF(B578="SALES RETURN",D578,"0")</f>
        <v>0</v>
      </c>
      <c r="K578" s="3">
        <f t="shared" ref="K578:K641" si="280">IF(B578="SALES",F578,"0")</f>
        <v>498.94591999999994</v>
      </c>
      <c r="L578" s="3" t="str">
        <f t="shared" ref="L578:L641" si="281">IF(B578="SALES RETURN",F578,"0")</f>
        <v>0</v>
      </c>
      <c r="M578" s="3">
        <f t="shared" ref="M578:M641" si="282">IF(B578="SALES",H578,"0")+IF(B578="SALES",H578,"0")*5%</f>
        <v>2122.6275000000001</v>
      </c>
      <c r="N578" s="3">
        <f t="shared" ref="N578:N641" si="283">IF(B578="SALES RETURN",H578,"0")+IF(B578="SALES RETURN",H578,"0")*5%</f>
        <v>0</v>
      </c>
      <c r="O578" s="3" t="str">
        <f t="shared" ref="O578:O641" si="284">IF(B578="PURCHASE",D578,"0")</f>
        <v>0</v>
      </c>
      <c r="P578" s="3" t="str">
        <f t="shared" ref="P578:P641" si="285">IF(B578="METAL PAYMENT",D578,"0")</f>
        <v>0</v>
      </c>
      <c r="Q578" s="3" t="str">
        <f t="shared" ref="Q578:Q641" si="286">IF(B578="PURCHASE",F578,"0")</f>
        <v>0</v>
      </c>
      <c r="R578" s="3" t="str">
        <f t="shared" ref="R578:R641" si="287">IF(B578="METAL PAYMENT",F578,"0")</f>
        <v>0</v>
      </c>
      <c r="S578" s="3">
        <f t="shared" ref="S578:S641" si="288">IF(B578="PURCHASE",H578,"0")+IF(B578="PURCHASE",H578,"0")*5%</f>
        <v>0</v>
      </c>
      <c r="T578" s="3" t="str">
        <f t="shared" ref="T578:T641" si="289">IF(B578="METAL PAYMENT",H578,"0")</f>
        <v>0</v>
      </c>
      <c r="U578" s="3"/>
      <c r="V578" s="3"/>
      <c r="W578" s="3"/>
      <c r="X578" s="3"/>
      <c r="Y578" s="3"/>
      <c r="Z578" s="3"/>
    </row>
    <row r="579" spans="1:26" x14ac:dyDescent="0.25">
      <c r="A579" s="2">
        <v>46139</v>
      </c>
      <c r="B579" s="3" t="s">
        <v>169</v>
      </c>
      <c r="C579" s="3" t="s">
        <v>250</v>
      </c>
      <c r="D579" s="4">
        <v>1581.184</v>
      </c>
      <c r="E579" s="5">
        <v>0.88</v>
      </c>
      <c r="F579" s="6">
        <f t="shared" si="276"/>
        <v>1391.44192</v>
      </c>
      <c r="G579" s="6">
        <f t="shared" si="277"/>
        <v>2.9079474621549424</v>
      </c>
      <c r="H579" s="7">
        <v>4598</v>
      </c>
      <c r="I579" s="3">
        <f t="shared" si="278"/>
        <v>1581.184</v>
      </c>
      <c r="J579" s="3" t="str">
        <f t="shared" si="279"/>
        <v>0</v>
      </c>
      <c r="K579" s="3">
        <f t="shared" si="280"/>
        <v>1391.44192</v>
      </c>
      <c r="L579" s="3" t="str">
        <f t="shared" si="281"/>
        <v>0</v>
      </c>
      <c r="M579" s="3">
        <f t="shared" si="282"/>
        <v>4827.8999999999996</v>
      </c>
      <c r="N579" s="3">
        <f t="shared" si="283"/>
        <v>0</v>
      </c>
      <c r="O579" s="3" t="str">
        <f t="shared" si="284"/>
        <v>0</v>
      </c>
      <c r="P579" s="3" t="str">
        <f t="shared" si="285"/>
        <v>0</v>
      </c>
      <c r="Q579" s="3" t="str">
        <f t="shared" si="286"/>
        <v>0</v>
      </c>
      <c r="R579" s="3" t="str">
        <f t="shared" si="287"/>
        <v>0</v>
      </c>
      <c r="S579" s="3">
        <f t="shared" si="288"/>
        <v>0</v>
      </c>
      <c r="T579" s="3" t="str">
        <f t="shared" si="289"/>
        <v>0</v>
      </c>
      <c r="U579" s="3"/>
      <c r="V579" s="3"/>
      <c r="W579" s="3"/>
      <c r="X579" s="3"/>
      <c r="Y579" s="3"/>
      <c r="Z579" s="3"/>
    </row>
    <row r="580" spans="1:26" x14ac:dyDescent="0.25">
      <c r="A580" s="2">
        <v>46139</v>
      </c>
      <c r="B580" s="3" t="s">
        <v>170</v>
      </c>
      <c r="C580" s="169" t="s">
        <v>236</v>
      </c>
      <c r="D580" s="4">
        <v>559.24</v>
      </c>
      <c r="E580" s="209">
        <v>1</v>
      </c>
      <c r="F580" s="184">
        <f t="shared" ref="F580:F585" si="290">D580*E580</f>
        <v>559.24</v>
      </c>
      <c r="G580" s="6">
        <f t="shared" si="277"/>
        <v>0</v>
      </c>
      <c r="H580" s="219"/>
      <c r="I580" s="3" t="str">
        <f t="shared" si="278"/>
        <v>0</v>
      </c>
      <c r="J580" s="3" t="str">
        <f t="shared" si="279"/>
        <v>0</v>
      </c>
      <c r="K580" s="3" t="str">
        <f t="shared" si="280"/>
        <v>0</v>
      </c>
      <c r="L580" s="3" t="str">
        <f t="shared" si="281"/>
        <v>0</v>
      </c>
      <c r="M580" s="3">
        <f t="shared" si="282"/>
        <v>0</v>
      </c>
      <c r="N580" s="3">
        <f t="shared" si="283"/>
        <v>0</v>
      </c>
      <c r="O580" s="3">
        <f t="shared" si="284"/>
        <v>559.24</v>
      </c>
      <c r="P580" s="3" t="str">
        <f t="shared" si="285"/>
        <v>0</v>
      </c>
      <c r="Q580" s="3">
        <f t="shared" si="286"/>
        <v>559.24</v>
      </c>
      <c r="R580" s="3" t="str">
        <f t="shared" si="287"/>
        <v>0</v>
      </c>
      <c r="S580" s="3">
        <f t="shared" si="288"/>
        <v>0</v>
      </c>
      <c r="T580" s="3" t="str">
        <f t="shared" si="289"/>
        <v>0</v>
      </c>
      <c r="U580" s="3"/>
      <c r="V580" s="3"/>
      <c r="W580" s="3"/>
      <c r="X580" s="3"/>
      <c r="Y580" s="3"/>
      <c r="Z580" s="3"/>
    </row>
    <row r="581" spans="1:26" x14ac:dyDescent="0.25">
      <c r="A581" s="2">
        <v>46139</v>
      </c>
      <c r="B581" s="3" t="s">
        <v>170</v>
      </c>
      <c r="C581" s="3" t="s">
        <v>235</v>
      </c>
      <c r="D581" s="4">
        <v>324.28000000000003</v>
      </c>
      <c r="E581" s="209">
        <v>0.995</v>
      </c>
      <c r="F581" s="184">
        <f t="shared" si="290"/>
        <v>322.65860000000004</v>
      </c>
      <c r="G581" s="6">
        <f t="shared" si="277"/>
        <v>0</v>
      </c>
      <c r="H581" s="219"/>
      <c r="I581" s="3" t="str">
        <f t="shared" si="278"/>
        <v>0</v>
      </c>
      <c r="J581" s="3" t="str">
        <f t="shared" si="279"/>
        <v>0</v>
      </c>
      <c r="K581" s="3" t="str">
        <f t="shared" si="280"/>
        <v>0</v>
      </c>
      <c r="L581" s="3" t="str">
        <f t="shared" si="281"/>
        <v>0</v>
      </c>
      <c r="M581" s="3">
        <f t="shared" si="282"/>
        <v>0</v>
      </c>
      <c r="N581" s="3">
        <f t="shared" si="283"/>
        <v>0</v>
      </c>
      <c r="O581" s="3">
        <f t="shared" si="284"/>
        <v>324.28000000000003</v>
      </c>
      <c r="P581" s="3" t="str">
        <f t="shared" si="285"/>
        <v>0</v>
      </c>
      <c r="Q581" s="3">
        <f t="shared" si="286"/>
        <v>322.65860000000004</v>
      </c>
      <c r="R581" s="3" t="str">
        <f t="shared" si="287"/>
        <v>0</v>
      </c>
      <c r="S581" s="3">
        <f t="shared" si="288"/>
        <v>0</v>
      </c>
      <c r="T581" s="3" t="str">
        <f t="shared" si="289"/>
        <v>0</v>
      </c>
      <c r="U581" s="3"/>
      <c r="V581" s="3"/>
      <c r="W581" s="3"/>
      <c r="X581" s="3"/>
      <c r="Y581" s="3"/>
      <c r="Z581" s="3"/>
    </row>
    <row r="582" spans="1:26" x14ac:dyDescent="0.25">
      <c r="A582" s="2">
        <v>46139</v>
      </c>
      <c r="B582" s="3" t="s">
        <v>170</v>
      </c>
      <c r="C582" s="169" t="s">
        <v>228</v>
      </c>
      <c r="D582" s="4">
        <v>703.6</v>
      </c>
      <c r="E582" s="209">
        <v>0.995</v>
      </c>
      <c r="F582" s="184">
        <f t="shared" si="290"/>
        <v>700.08199999999999</v>
      </c>
      <c r="G582" s="6">
        <f t="shared" si="277"/>
        <v>0</v>
      </c>
      <c r="H582" s="219"/>
      <c r="I582" s="3" t="str">
        <f t="shared" si="278"/>
        <v>0</v>
      </c>
      <c r="J582" s="3" t="str">
        <f t="shared" si="279"/>
        <v>0</v>
      </c>
      <c r="K582" s="3" t="str">
        <f t="shared" si="280"/>
        <v>0</v>
      </c>
      <c r="L582" s="3" t="str">
        <f t="shared" si="281"/>
        <v>0</v>
      </c>
      <c r="M582" s="3">
        <f t="shared" si="282"/>
        <v>0</v>
      </c>
      <c r="N582" s="3">
        <f t="shared" si="283"/>
        <v>0</v>
      </c>
      <c r="O582" s="3">
        <f t="shared" si="284"/>
        <v>703.6</v>
      </c>
      <c r="P582" s="3" t="str">
        <f t="shared" si="285"/>
        <v>0</v>
      </c>
      <c r="Q582" s="3">
        <f t="shared" si="286"/>
        <v>700.08199999999999</v>
      </c>
      <c r="R582" s="3" t="str">
        <f t="shared" si="287"/>
        <v>0</v>
      </c>
      <c r="S582" s="3">
        <f t="shared" si="288"/>
        <v>0</v>
      </c>
      <c r="T582" s="3" t="str">
        <f t="shared" si="289"/>
        <v>0</v>
      </c>
      <c r="U582" s="3"/>
      <c r="V582" s="3"/>
      <c r="W582" s="3"/>
      <c r="X582" s="3"/>
      <c r="Y582" s="3"/>
      <c r="Z582" s="3"/>
    </row>
    <row r="583" spans="1:26" x14ac:dyDescent="0.25">
      <c r="A583" s="2">
        <v>46139</v>
      </c>
      <c r="B583" s="3" t="s">
        <v>170</v>
      </c>
      <c r="C583" s="169" t="s">
        <v>232</v>
      </c>
      <c r="D583" s="4">
        <v>1000</v>
      </c>
      <c r="E583" s="209">
        <v>0.995</v>
      </c>
      <c r="F583" s="184">
        <f t="shared" si="290"/>
        <v>995</v>
      </c>
      <c r="G583" s="6">
        <f t="shared" si="277"/>
        <v>0</v>
      </c>
      <c r="H583" s="219"/>
      <c r="I583" s="3" t="str">
        <f t="shared" si="278"/>
        <v>0</v>
      </c>
      <c r="J583" s="3" t="str">
        <f t="shared" si="279"/>
        <v>0</v>
      </c>
      <c r="K583" s="3" t="str">
        <f t="shared" si="280"/>
        <v>0</v>
      </c>
      <c r="L583" s="3" t="str">
        <f t="shared" si="281"/>
        <v>0</v>
      </c>
      <c r="M583" s="3">
        <f t="shared" si="282"/>
        <v>0</v>
      </c>
      <c r="N583" s="3">
        <f t="shared" si="283"/>
        <v>0</v>
      </c>
      <c r="O583" s="3">
        <f t="shared" si="284"/>
        <v>1000</v>
      </c>
      <c r="P583" s="3" t="str">
        <f t="shared" si="285"/>
        <v>0</v>
      </c>
      <c r="Q583" s="3">
        <f t="shared" si="286"/>
        <v>995</v>
      </c>
      <c r="R583" s="3" t="str">
        <f t="shared" si="287"/>
        <v>0</v>
      </c>
      <c r="S583" s="3">
        <f t="shared" si="288"/>
        <v>0</v>
      </c>
      <c r="T583" s="3" t="str">
        <f t="shared" si="289"/>
        <v>0</v>
      </c>
      <c r="U583" s="3"/>
      <c r="V583" s="3"/>
      <c r="W583" s="3"/>
      <c r="X583" s="3"/>
      <c r="Y583" s="3"/>
      <c r="Z583" s="3"/>
    </row>
    <row r="584" spans="1:26" x14ac:dyDescent="0.25">
      <c r="A584" s="2">
        <v>46139</v>
      </c>
      <c r="B584" s="3" t="s">
        <v>170</v>
      </c>
      <c r="C584" s="3" t="s">
        <v>230</v>
      </c>
      <c r="D584" s="4">
        <v>418.5</v>
      </c>
      <c r="E584" s="209">
        <v>0.995</v>
      </c>
      <c r="F584" s="184">
        <f t="shared" si="290"/>
        <v>416.40749999999997</v>
      </c>
      <c r="G584" s="6">
        <f t="shared" si="277"/>
        <v>0</v>
      </c>
      <c r="H584" s="219"/>
      <c r="I584" s="3" t="str">
        <f t="shared" si="278"/>
        <v>0</v>
      </c>
      <c r="J584" s="3" t="str">
        <f t="shared" si="279"/>
        <v>0</v>
      </c>
      <c r="K584" s="3" t="str">
        <f t="shared" si="280"/>
        <v>0</v>
      </c>
      <c r="L584" s="3" t="str">
        <f t="shared" si="281"/>
        <v>0</v>
      </c>
      <c r="M584" s="3">
        <f t="shared" si="282"/>
        <v>0</v>
      </c>
      <c r="N584" s="3">
        <f t="shared" si="283"/>
        <v>0</v>
      </c>
      <c r="O584" s="3">
        <f t="shared" si="284"/>
        <v>418.5</v>
      </c>
      <c r="P584" s="3" t="str">
        <f t="shared" si="285"/>
        <v>0</v>
      </c>
      <c r="Q584" s="3">
        <f t="shared" si="286"/>
        <v>416.40749999999997</v>
      </c>
      <c r="R584" s="3" t="str">
        <f t="shared" si="287"/>
        <v>0</v>
      </c>
      <c r="S584" s="3">
        <f t="shared" si="288"/>
        <v>0</v>
      </c>
      <c r="T584" s="3" t="str">
        <f t="shared" si="289"/>
        <v>0</v>
      </c>
      <c r="U584" s="3"/>
      <c r="V584" s="3"/>
      <c r="W584" s="3"/>
      <c r="X584" s="3"/>
      <c r="Y584" s="3"/>
      <c r="Z584" s="3"/>
    </row>
    <row r="585" spans="1:26" x14ac:dyDescent="0.25">
      <c r="A585" s="2">
        <v>46139</v>
      </c>
      <c r="B585" s="3" t="s">
        <v>170</v>
      </c>
      <c r="C585" s="3" t="s">
        <v>250</v>
      </c>
      <c r="D585" s="4">
        <v>359.5</v>
      </c>
      <c r="E585" s="209">
        <v>0.995</v>
      </c>
      <c r="F585" s="184">
        <f t="shared" si="290"/>
        <v>357.70249999999999</v>
      </c>
      <c r="G585" s="6">
        <f t="shared" si="277"/>
        <v>0</v>
      </c>
      <c r="H585" s="219"/>
      <c r="I585" s="3" t="str">
        <f t="shared" si="278"/>
        <v>0</v>
      </c>
      <c r="J585" s="3" t="str">
        <f t="shared" si="279"/>
        <v>0</v>
      </c>
      <c r="K585" s="3" t="str">
        <f t="shared" si="280"/>
        <v>0</v>
      </c>
      <c r="L585" s="3" t="str">
        <f t="shared" si="281"/>
        <v>0</v>
      </c>
      <c r="M585" s="3">
        <f t="shared" si="282"/>
        <v>0</v>
      </c>
      <c r="N585" s="3">
        <f t="shared" si="283"/>
        <v>0</v>
      </c>
      <c r="O585" s="3">
        <f t="shared" si="284"/>
        <v>359.5</v>
      </c>
      <c r="P585" s="3" t="str">
        <f t="shared" si="285"/>
        <v>0</v>
      </c>
      <c r="Q585" s="3">
        <f t="shared" si="286"/>
        <v>357.70249999999999</v>
      </c>
      <c r="R585" s="3" t="str">
        <f t="shared" si="287"/>
        <v>0</v>
      </c>
      <c r="S585" s="3">
        <f t="shared" si="288"/>
        <v>0</v>
      </c>
      <c r="T585" s="3" t="str">
        <f t="shared" si="289"/>
        <v>0</v>
      </c>
      <c r="U585" s="3"/>
      <c r="V585" s="3"/>
      <c r="W585" s="3"/>
      <c r="X585" s="3"/>
      <c r="Y585" s="3"/>
      <c r="Z585" s="3"/>
    </row>
    <row r="586" spans="1:26" x14ac:dyDescent="0.25">
      <c r="A586" s="2">
        <v>46139</v>
      </c>
      <c r="B586" s="3" t="s">
        <v>171</v>
      </c>
      <c r="C586" s="169" t="s">
        <v>247</v>
      </c>
      <c r="D586" s="3"/>
      <c r="E586" s="3"/>
      <c r="F586" s="6">
        <f t="shared" ref="F586:F619" si="291">+D586*E586</f>
        <v>0</v>
      </c>
      <c r="G586" s="6" t="e">
        <f t="shared" si="277"/>
        <v>#DIV/0!</v>
      </c>
      <c r="H586" s="219"/>
      <c r="I586" s="3" t="str">
        <f t="shared" si="278"/>
        <v>0</v>
      </c>
      <c r="J586" s="3" t="str">
        <f t="shared" si="279"/>
        <v>0</v>
      </c>
      <c r="K586" s="3" t="str">
        <f t="shared" si="280"/>
        <v>0</v>
      </c>
      <c r="L586" s="3" t="str">
        <f t="shared" si="281"/>
        <v>0</v>
      </c>
      <c r="M586" s="3">
        <f t="shared" si="282"/>
        <v>0</v>
      </c>
      <c r="N586" s="3">
        <f t="shared" si="283"/>
        <v>0</v>
      </c>
      <c r="O586" s="3" t="str">
        <f t="shared" si="284"/>
        <v>0</v>
      </c>
      <c r="P586" s="3" t="str">
        <f t="shared" si="285"/>
        <v>0</v>
      </c>
      <c r="Q586" s="3" t="str">
        <f t="shared" si="286"/>
        <v>0</v>
      </c>
      <c r="R586" s="3" t="str">
        <f t="shared" si="287"/>
        <v>0</v>
      </c>
      <c r="S586" s="3">
        <f t="shared" si="288"/>
        <v>0</v>
      </c>
      <c r="T586" s="3" t="str">
        <f t="shared" si="289"/>
        <v>0</v>
      </c>
      <c r="U586" s="3">
        <v>15000</v>
      </c>
      <c r="V586" s="3"/>
      <c r="W586" s="3"/>
      <c r="X586" s="3"/>
      <c r="Y586" s="3"/>
      <c r="Z586" s="3"/>
    </row>
    <row r="587" spans="1:26" x14ac:dyDescent="0.25">
      <c r="A587" s="2">
        <v>46139</v>
      </c>
      <c r="B587" s="3" t="s">
        <v>171</v>
      </c>
      <c r="C587" s="169" t="s">
        <v>236</v>
      </c>
      <c r="D587" s="3"/>
      <c r="E587" s="3"/>
      <c r="F587" s="6">
        <f t="shared" si="291"/>
        <v>0</v>
      </c>
      <c r="G587" s="6" t="e">
        <f t="shared" si="277"/>
        <v>#DIV/0!</v>
      </c>
      <c r="H587" s="219"/>
      <c r="I587" s="3" t="str">
        <f t="shared" si="278"/>
        <v>0</v>
      </c>
      <c r="J587" s="3" t="str">
        <f t="shared" si="279"/>
        <v>0</v>
      </c>
      <c r="K587" s="3" t="str">
        <f t="shared" si="280"/>
        <v>0</v>
      </c>
      <c r="L587" s="3" t="str">
        <f t="shared" si="281"/>
        <v>0</v>
      </c>
      <c r="M587" s="3">
        <f t="shared" si="282"/>
        <v>0</v>
      </c>
      <c r="N587" s="3">
        <f t="shared" si="283"/>
        <v>0</v>
      </c>
      <c r="O587" s="3" t="str">
        <f t="shared" si="284"/>
        <v>0</v>
      </c>
      <c r="P587" s="3" t="str">
        <f t="shared" si="285"/>
        <v>0</v>
      </c>
      <c r="Q587" s="3" t="str">
        <f t="shared" si="286"/>
        <v>0</v>
      </c>
      <c r="R587" s="3" t="str">
        <f t="shared" si="287"/>
        <v>0</v>
      </c>
      <c r="S587" s="3">
        <f t="shared" si="288"/>
        <v>0</v>
      </c>
      <c r="T587" s="3" t="str">
        <f t="shared" si="289"/>
        <v>0</v>
      </c>
      <c r="U587" s="3">
        <v>6930</v>
      </c>
      <c r="V587" s="3"/>
      <c r="W587" s="3"/>
      <c r="X587" s="3"/>
      <c r="Y587" s="3"/>
      <c r="Z587" s="3"/>
    </row>
    <row r="588" spans="1:26" x14ac:dyDescent="0.25">
      <c r="A588" s="2">
        <v>46140</v>
      </c>
      <c r="B588" s="3" t="s">
        <v>169</v>
      </c>
      <c r="C588" s="169" t="s">
        <v>228</v>
      </c>
      <c r="D588" s="4">
        <v>2438.04</v>
      </c>
      <c r="E588" s="5">
        <v>0.88</v>
      </c>
      <c r="F588" s="6">
        <f>+D588*E588</f>
        <v>2145.4751999999999</v>
      </c>
      <c r="G588" s="6">
        <f>+H588/D588</f>
        <v>10.785384981378485</v>
      </c>
      <c r="H588" s="7">
        <v>26295.200000000001</v>
      </c>
      <c r="I588" s="3">
        <f t="shared" si="278"/>
        <v>2438.04</v>
      </c>
      <c r="J588" s="3" t="str">
        <f t="shared" si="279"/>
        <v>0</v>
      </c>
      <c r="K588" s="3">
        <f t="shared" si="280"/>
        <v>2145.4751999999999</v>
      </c>
      <c r="L588" s="3" t="str">
        <f t="shared" si="281"/>
        <v>0</v>
      </c>
      <c r="M588" s="3">
        <f t="shared" si="282"/>
        <v>27609.96</v>
      </c>
      <c r="N588" s="3">
        <f t="shared" si="283"/>
        <v>0</v>
      </c>
      <c r="O588" s="3" t="str">
        <f t="shared" si="284"/>
        <v>0</v>
      </c>
      <c r="P588" s="3" t="str">
        <f t="shared" si="285"/>
        <v>0</v>
      </c>
      <c r="Q588" s="3" t="str">
        <f t="shared" si="286"/>
        <v>0</v>
      </c>
      <c r="R588" s="3" t="str">
        <f t="shared" si="287"/>
        <v>0</v>
      </c>
      <c r="S588" s="3">
        <f t="shared" si="288"/>
        <v>0</v>
      </c>
      <c r="T588" s="3" t="str">
        <f t="shared" si="289"/>
        <v>0</v>
      </c>
      <c r="U588" s="3"/>
      <c r="V588" s="3"/>
      <c r="W588" s="3"/>
      <c r="X588" s="3"/>
      <c r="Y588" s="3"/>
      <c r="Z588" s="3"/>
    </row>
    <row r="589" spans="1:26" x14ac:dyDescent="0.25">
      <c r="A589" s="2">
        <v>46140</v>
      </c>
      <c r="B589" s="3" t="s">
        <v>169</v>
      </c>
      <c r="C589" s="169" t="s">
        <v>236</v>
      </c>
      <c r="D589" s="4">
        <v>944.8216000000001</v>
      </c>
      <c r="E589" s="5">
        <v>0.92</v>
      </c>
      <c r="F589" s="6">
        <f t="shared" ref="F589" si="292">+D589*E589</f>
        <v>869.23587200000009</v>
      </c>
      <c r="G589" s="6">
        <f t="shared" ref="G589" si="293">+H589/D589</f>
        <v>3.5326139876565055</v>
      </c>
      <c r="H589" s="7">
        <v>3337.69</v>
      </c>
      <c r="I589" s="3">
        <f t="shared" si="278"/>
        <v>944.8216000000001</v>
      </c>
      <c r="J589" s="3" t="str">
        <f t="shared" si="279"/>
        <v>0</v>
      </c>
      <c r="K589" s="3">
        <f t="shared" si="280"/>
        <v>869.23587200000009</v>
      </c>
      <c r="L589" s="3" t="str">
        <f t="shared" si="281"/>
        <v>0</v>
      </c>
      <c r="M589" s="3">
        <f t="shared" si="282"/>
        <v>3504.5745000000002</v>
      </c>
      <c r="N589" s="3">
        <f t="shared" si="283"/>
        <v>0</v>
      </c>
      <c r="O589" s="3" t="str">
        <f t="shared" si="284"/>
        <v>0</v>
      </c>
      <c r="P589" s="3" t="str">
        <f t="shared" si="285"/>
        <v>0</v>
      </c>
      <c r="Q589" s="3" t="str">
        <f t="shared" si="286"/>
        <v>0</v>
      </c>
      <c r="R589" s="3" t="str">
        <f t="shared" si="287"/>
        <v>0</v>
      </c>
      <c r="S589" s="3">
        <f t="shared" si="288"/>
        <v>0</v>
      </c>
      <c r="T589" s="3" t="str">
        <f t="shared" si="289"/>
        <v>0</v>
      </c>
      <c r="U589" s="3"/>
      <c r="V589" s="3"/>
      <c r="W589" s="3"/>
      <c r="X589" s="3"/>
      <c r="Y589" s="3"/>
      <c r="Z589" s="3"/>
    </row>
    <row r="590" spans="1:26" x14ac:dyDescent="0.25">
      <c r="A590" s="2">
        <v>46140</v>
      </c>
      <c r="B590" s="3" t="s">
        <v>170</v>
      </c>
      <c r="C590" s="3" t="s">
        <v>231</v>
      </c>
      <c r="D590" s="4">
        <v>497.5</v>
      </c>
      <c r="E590" s="209">
        <v>0.995</v>
      </c>
      <c r="F590" s="184">
        <f t="shared" ref="F590:F592" si="294">D590*E590</f>
        <v>495.01249999999999</v>
      </c>
      <c r="G590" s="6">
        <f t="shared" si="277"/>
        <v>0</v>
      </c>
      <c r="H590" s="219"/>
      <c r="I590" s="3" t="str">
        <f t="shared" si="278"/>
        <v>0</v>
      </c>
      <c r="J590" s="3" t="str">
        <f t="shared" si="279"/>
        <v>0</v>
      </c>
      <c r="K590" s="3" t="str">
        <f t="shared" si="280"/>
        <v>0</v>
      </c>
      <c r="L590" s="3" t="str">
        <f t="shared" si="281"/>
        <v>0</v>
      </c>
      <c r="M590" s="3">
        <f t="shared" si="282"/>
        <v>0</v>
      </c>
      <c r="N590" s="3">
        <f t="shared" si="283"/>
        <v>0</v>
      </c>
      <c r="O590" s="3">
        <f t="shared" si="284"/>
        <v>497.5</v>
      </c>
      <c r="P590" s="3" t="str">
        <f t="shared" si="285"/>
        <v>0</v>
      </c>
      <c r="Q590" s="3">
        <f t="shared" si="286"/>
        <v>495.01249999999999</v>
      </c>
      <c r="R590" s="3" t="str">
        <f t="shared" si="287"/>
        <v>0</v>
      </c>
      <c r="S590" s="3">
        <f t="shared" si="288"/>
        <v>0</v>
      </c>
      <c r="T590" s="3" t="str">
        <f t="shared" si="289"/>
        <v>0</v>
      </c>
      <c r="U590" s="3"/>
      <c r="V590" s="3"/>
      <c r="W590" s="3"/>
      <c r="X590" s="3"/>
      <c r="Y590" s="3"/>
      <c r="Z590" s="3"/>
    </row>
    <row r="591" spans="1:26" x14ac:dyDescent="0.25">
      <c r="A591" s="2">
        <v>46140</v>
      </c>
      <c r="B591" s="3" t="s">
        <v>170</v>
      </c>
      <c r="C591" s="169" t="s">
        <v>228</v>
      </c>
      <c r="D591" s="4">
        <v>2985</v>
      </c>
      <c r="E591" s="209">
        <v>0.995</v>
      </c>
      <c r="F591" s="184">
        <f t="shared" si="294"/>
        <v>2970.0749999999998</v>
      </c>
      <c r="G591" s="6">
        <f t="shared" si="277"/>
        <v>0</v>
      </c>
      <c r="H591" s="219"/>
      <c r="I591" s="3" t="str">
        <f t="shared" si="278"/>
        <v>0</v>
      </c>
      <c r="J591" s="3" t="str">
        <f t="shared" si="279"/>
        <v>0</v>
      </c>
      <c r="K591" s="3" t="str">
        <f t="shared" si="280"/>
        <v>0</v>
      </c>
      <c r="L591" s="3" t="str">
        <f t="shared" si="281"/>
        <v>0</v>
      </c>
      <c r="M591" s="3">
        <f t="shared" si="282"/>
        <v>0</v>
      </c>
      <c r="N591" s="3">
        <f t="shared" si="283"/>
        <v>0</v>
      </c>
      <c r="O591" s="3">
        <f t="shared" si="284"/>
        <v>2985</v>
      </c>
      <c r="P591" s="3" t="str">
        <f t="shared" si="285"/>
        <v>0</v>
      </c>
      <c r="Q591" s="3">
        <f t="shared" si="286"/>
        <v>2970.0749999999998</v>
      </c>
      <c r="R591" s="3" t="str">
        <f t="shared" si="287"/>
        <v>0</v>
      </c>
      <c r="S591" s="3">
        <f t="shared" si="288"/>
        <v>0</v>
      </c>
      <c r="T591" s="3" t="str">
        <f t="shared" si="289"/>
        <v>0</v>
      </c>
      <c r="U591" s="3"/>
      <c r="V591" s="3"/>
      <c r="W591" s="3"/>
      <c r="X591" s="3"/>
      <c r="Y591" s="3"/>
      <c r="Z591" s="3"/>
    </row>
    <row r="592" spans="1:26" x14ac:dyDescent="0.25">
      <c r="A592" s="2">
        <v>46140</v>
      </c>
      <c r="B592" s="3" t="s">
        <v>170</v>
      </c>
      <c r="C592" s="169" t="s">
        <v>236</v>
      </c>
      <c r="D592" s="4">
        <v>944.82</v>
      </c>
      <c r="E592" s="209">
        <v>1</v>
      </c>
      <c r="F592" s="184">
        <f t="shared" si="294"/>
        <v>944.82</v>
      </c>
      <c r="G592" s="6">
        <f t="shared" si="277"/>
        <v>0</v>
      </c>
      <c r="H592" s="219"/>
      <c r="I592" s="3" t="str">
        <f t="shared" si="278"/>
        <v>0</v>
      </c>
      <c r="J592" s="3" t="str">
        <f t="shared" si="279"/>
        <v>0</v>
      </c>
      <c r="K592" s="3" t="str">
        <f t="shared" si="280"/>
        <v>0</v>
      </c>
      <c r="L592" s="3" t="str">
        <f t="shared" si="281"/>
        <v>0</v>
      </c>
      <c r="M592" s="3">
        <f t="shared" si="282"/>
        <v>0</v>
      </c>
      <c r="N592" s="3">
        <f t="shared" si="283"/>
        <v>0</v>
      </c>
      <c r="O592" s="3">
        <f t="shared" si="284"/>
        <v>944.82</v>
      </c>
      <c r="P592" s="3" t="str">
        <f t="shared" si="285"/>
        <v>0</v>
      </c>
      <c r="Q592" s="3">
        <f t="shared" si="286"/>
        <v>944.82</v>
      </c>
      <c r="R592" s="3" t="str">
        <f t="shared" si="287"/>
        <v>0</v>
      </c>
      <c r="S592" s="3">
        <f t="shared" si="288"/>
        <v>0</v>
      </c>
      <c r="T592" s="3" t="str">
        <f t="shared" si="289"/>
        <v>0</v>
      </c>
      <c r="U592" s="3"/>
      <c r="V592" s="3"/>
      <c r="W592" s="3"/>
      <c r="X592" s="3"/>
      <c r="Y592" s="3"/>
      <c r="Z592" s="3"/>
    </row>
    <row r="593" spans="1:26" x14ac:dyDescent="0.25">
      <c r="A593" s="2">
        <v>46140</v>
      </c>
      <c r="B593" s="3" t="s">
        <v>171</v>
      </c>
      <c r="C593" s="169" t="s">
        <v>236</v>
      </c>
      <c r="D593" s="3"/>
      <c r="E593" s="3"/>
      <c r="F593" s="6">
        <f t="shared" si="291"/>
        <v>0</v>
      </c>
      <c r="G593" s="6" t="e">
        <f t="shared" si="277"/>
        <v>#DIV/0!</v>
      </c>
      <c r="H593" s="219"/>
      <c r="I593" s="3" t="str">
        <f t="shared" si="278"/>
        <v>0</v>
      </c>
      <c r="J593" s="3" t="str">
        <f t="shared" si="279"/>
        <v>0</v>
      </c>
      <c r="K593" s="3" t="str">
        <f t="shared" si="280"/>
        <v>0</v>
      </c>
      <c r="L593" s="3" t="str">
        <f t="shared" si="281"/>
        <v>0</v>
      </c>
      <c r="M593" s="3">
        <f t="shared" si="282"/>
        <v>0</v>
      </c>
      <c r="N593" s="3">
        <f t="shared" si="283"/>
        <v>0</v>
      </c>
      <c r="O593" s="3" t="str">
        <f t="shared" si="284"/>
        <v>0</v>
      </c>
      <c r="P593" s="3" t="str">
        <f t="shared" si="285"/>
        <v>0</v>
      </c>
      <c r="Q593" s="3" t="str">
        <f t="shared" si="286"/>
        <v>0</v>
      </c>
      <c r="R593" s="3" t="str">
        <f t="shared" si="287"/>
        <v>0</v>
      </c>
      <c r="S593" s="3">
        <f t="shared" si="288"/>
        <v>0</v>
      </c>
      <c r="T593" s="3" t="str">
        <f t="shared" si="289"/>
        <v>0</v>
      </c>
      <c r="U593" s="3">
        <v>3505</v>
      </c>
      <c r="V593" s="3"/>
      <c r="W593" s="3"/>
      <c r="X593" s="3"/>
      <c r="Y593" s="3"/>
      <c r="Z593" s="3"/>
    </row>
    <row r="594" spans="1:26" x14ac:dyDescent="0.25">
      <c r="A594" s="2">
        <v>46141</v>
      </c>
      <c r="B594" s="3" t="s">
        <v>169</v>
      </c>
      <c r="C594" s="169" t="s">
        <v>236</v>
      </c>
      <c r="D594" s="4">
        <v>1166.4000000000001</v>
      </c>
      <c r="E594" s="5">
        <v>0.92</v>
      </c>
      <c r="F594" s="6">
        <f>+D594*E594</f>
        <v>1073.0880000000002</v>
      </c>
      <c r="G594" s="6">
        <f>+H594/D594</f>
        <v>3.25</v>
      </c>
      <c r="H594" s="7">
        <v>3790.8</v>
      </c>
      <c r="I594" s="3">
        <f t="shared" si="278"/>
        <v>1166.4000000000001</v>
      </c>
      <c r="J594" s="3" t="str">
        <f t="shared" si="279"/>
        <v>0</v>
      </c>
      <c r="K594" s="3">
        <f t="shared" si="280"/>
        <v>1073.0880000000002</v>
      </c>
      <c r="L594" s="3" t="str">
        <f t="shared" si="281"/>
        <v>0</v>
      </c>
      <c r="M594" s="3">
        <f t="shared" si="282"/>
        <v>3980.34</v>
      </c>
      <c r="N594" s="3">
        <f t="shared" si="283"/>
        <v>0</v>
      </c>
      <c r="O594" s="3" t="str">
        <f t="shared" si="284"/>
        <v>0</v>
      </c>
      <c r="P594" s="3" t="str">
        <f t="shared" si="285"/>
        <v>0</v>
      </c>
      <c r="Q594" s="3" t="str">
        <f t="shared" si="286"/>
        <v>0</v>
      </c>
      <c r="R594" s="3" t="str">
        <f t="shared" si="287"/>
        <v>0</v>
      </c>
      <c r="S594" s="3">
        <f t="shared" si="288"/>
        <v>0</v>
      </c>
      <c r="T594" s="3" t="str">
        <f t="shared" si="289"/>
        <v>0</v>
      </c>
      <c r="U594" s="3"/>
      <c r="V594" s="3"/>
      <c r="W594" s="3"/>
      <c r="X594" s="3"/>
      <c r="Y594" s="3"/>
      <c r="Z594" s="3"/>
    </row>
    <row r="595" spans="1:26" x14ac:dyDescent="0.25">
      <c r="A595" s="2">
        <v>46141</v>
      </c>
      <c r="B595" s="3" t="s">
        <v>169</v>
      </c>
      <c r="C595" s="169" t="s">
        <v>228</v>
      </c>
      <c r="D595" s="4">
        <v>1898.7</v>
      </c>
      <c r="E595" s="5">
        <v>0.88</v>
      </c>
      <c r="F595" s="6">
        <f t="shared" ref="F595" si="295">+D595*E595</f>
        <v>1670.856</v>
      </c>
      <c r="G595" s="6">
        <f t="shared" ref="G595" si="296">+H595/D595</f>
        <v>8.9767209143097908</v>
      </c>
      <c r="H595" s="7">
        <v>17044.099999999999</v>
      </c>
      <c r="I595" s="3">
        <f t="shared" si="278"/>
        <v>1898.7</v>
      </c>
      <c r="J595" s="3" t="str">
        <f t="shared" si="279"/>
        <v>0</v>
      </c>
      <c r="K595" s="3">
        <f t="shared" si="280"/>
        <v>1670.856</v>
      </c>
      <c r="L595" s="3" t="str">
        <f t="shared" si="281"/>
        <v>0</v>
      </c>
      <c r="M595" s="3">
        <f t="shared" si="282"/>
        <v>17896.305</v>
      </c>
      <c r="N595" s="3">
        <f t="shared" si="283"/>
        <v>0</v>
      </c>
      <c r="O595" s="3" t="str">
        <f t="shared" si="284"/>
        <v>0</v>
      </c>
      <c r="P595" s="3" t="str">
        <f t="shared" si="285"/>
        <v>0</v>
      </c>
      <c r="Q595" s="3" t="str">
        <f t="shared" si="286"/>
        <v>0</v>
      </c>
      <c r="R595" s="3" t="str">
        <f t="shared" si="287"/>
        <v>0</v>
      </c>
      <c r="S595" s="3">
        <f t="shared" si="288"/>
        <v>0</v>
      </c>
      <c r="T595" s="3" t="str">
        <f t="shared" si="289"/>
        <v>0</v>
      </c>
      <c r="U595" s="3"/>
      <c r="V595" s="3"/>
      <c r="W595" s="3"/>
      <c r="X595" s="3"/>
      <c r="Y595" s="3"/>
      <c r="Z595" s="3"/>
    </row>
    <row r="596" spans="1:26" x14ac:dyDescent="0.25">
      <c r="A596" s="2">
        <v>46141</v>
      </c>
      <c r="B596" s="3" t="s">
        <v>170</v>
      </c>
      <c r="C596" s="169" t="s">
        <v>236</v>
      </c>
      <c r="D596" s="4">
        <v>1000</v>
      </c>
      <c r="E596" s="209">
        <v>0.995</v>
      </c>
      <c r="F596" s="184">
        <f t="shared" ref="F596:F597" si="297">D596*E596</f>
        <v>995</v>
      </c>
      <c r="G596" s="6">
        <f t="shared" si="277"/>
        <v>0</v>
      </c>
      <c r="H596" s="219"/>
      <c r="I596" s="3" t="str">
        <f t="shared" si="278"/>
        <v>0</v>
      </c>
      <c r="J596" s="3" t="str">
        <f t="shared" si="279"/>
        <v>0</v>
      </c>
      <c r="K596" s="3" t="str">
        <f t="shared" si="280"/>
        <v>0</v>
      </c>
      <c r="L596" s="3" t="str">
        <f t="shared" si="281"/>
        <v>0</v>
      </c>
      <c r="M596" s="3">
        <f t="shared" si="282"/>
        <v>0</v>
      </c>
      <c r="N596" s="3">
        <f t="shared" si="283"/>
        <v>0</v>
      </c>
      <c r="O596" s="3">
        <f t="shared" si="284"/>
        <v>1000</v>
      </c>
      <c r="P596" s="3" t="str">
        <f t="shared" si="285"/>
        <v>0</v>
      </c>
      <c r="Q596" s="3">
        <f t="shared" si="286"/>
        <v>995</v>
      </c>
      <c r="R596" s="3" t="str">
        <f t="shared" si="287"/>
        <v>0</v>
      </c>
      <c r="S596" s="3">
        <f t="shared" si="288"/>
        <v>0</v>
      </c>
      <c r="T596" s="3" t="str">
        <f t="shared" si="289"/>
        <v>0</v>
      </c>
      <c r="U596" s="3"/>
      <c r="V596" s="3"/>
      <c r="W596" s="3"/>
      <c r="X596" s="3"/>
      <c r="Y596" s="3"/>
      <c r="Z596" s="3"/>
    </row>
    <row r="597" spans="1:26" x14ac:dyDescent="0.25">
      <c r="A597" s="2">
        <v>46141</v>
      </c>
      <c r="B597" s="3" t="s">
        <v>170</v>
      </c>
      <c r="C597" s="169" t="s">
        <v>228</v>
      </c>
      <c r="D597" s="4">
        <v>2000</v>
      </c>
      <c r="E597" s="209">
        <v>0.995</v>
      </c>
      <c r="F597" s="184">
        <f t="shared" si="297"/>
        <v>1990</v>
      </c>
      <c r="G597" s="6">
        <f t="shared" si="277"/>
        <v>0</v>
      </c>
      <c r="H597" s="219"/>
      <c r="I597" s="3" t="str">
        <f t="shared" si="278"/>
        <v>0</v>
      </c>
      <c r="J597" s="3" t="str">
        <f t="shared" si="279"/>
        <v>0</v>
      </c>
      <c r="K597" s="3" t="str">
        <f t="shared" si="280"/>
        <v>0</v>
      </c>
      <c r="L597" s="3" t="str">
        <f t="shared" si="281"/>
        <v>0</v>
      </c>
      <c r="M597" s="3">
        <f t="shared" si="282"/>
        <v>0</v>
      </c>
      <c r="N597" s="3">
        <f t="shared" si="283"/>
        <v>0</v>
      </c>
      <c r="O597" s="3">
        <f t="shared" si="284"/>
        <v>2000</v>
      </c>
      <c r="P597" s="3" t="str">
        <f t="shared" si="285"/>
        <v>0</v>
      </c>
      <c r="Q597" s="3">
        <f t="shared" si="286"/>
        <v>1990</v>
      </c>
      <c r="R597" s="3" t="str">
        <f t="shared" si="287"/>
        <v>0</v>
      </c>
      <c r="S597" s="3">
        <f t="shared" si="288"/>
        <v>0</v>
      </c>
      <c r="T597" s="3" t="str">
        <f t="shared" si="289"/>
        <v>0</v>
      </c>
      <c r="U597" s="3"/>
      <c r="V597" s="3"/>
      <c r="W597" s="3"/>
      <c r="X597" s="3"/>
      <c r="Y597" s="3"/>
      <c r="Z597" s="3"/>
    </row>
    <row r="598" spans="1:26" x14ac:dyDescent="0.25">
      <c r="A598" s="2">
        <v>46141</v>
      </c>
      <c r="B598" s="3" t="s">
        <v>171</v>
      </c>
      <c r="C598" s="169" t="s">
        <v>236</v>
      </c>
      <c r="D598" s="3"/>
      <c r="E598" s="3"/>
      <c r="F598" s="6">
        <f t="shared" si="291"/>
        <v>0</v>
      </c>
      <c r="G598" s="6" t="e">
        <f t="shared" si="277"/>
        <v>#DIV/0!</v>
      </c>
      <c r="H598" s="219"/>
      <c r="I598" s="3" t="str">
        <f t="shared" si="278"/>
        <v>0</v>
      </c>
      <c r="J598" s="3" t="str">
        <f t="shared" si="279"/>
        <v>0</v>
      </c>
      <c r="K598" s="3" t="str">
        <f t="shared" si="280"/>
        <v>0</v>
      </c>
      <c r="L598" s="3" t="str">
        <f t="shared" si="281"/>
        <v>0</v>
      </c>
      <c r="M598" s="3">
        <f t="shared" si="282"/>
        <v>0</v>
      </c>
      <c r="N598" s="3">
        <f t="shared" si="283"/>
        <v>0</v>
      </c>
      <c r="O598" s="3" t="str">
        <f t="shared" si="284"/>
        <v>0</v>
      </c>
      <c r="P598" s="3" t="str">
        <f t="shared" si="285"/>
        <v>0</v>
      </c>
      <c r="Q598" s="3" t="str">
        <f t="shared" si="286"/>
        <v>0</v>
      </c>
      <c r="R598" s="3" t="str">
        <f t="shared" si="287"/>
        <v>0</v>
      </c>
      <c r="S598" s="3">
        <f t="shared" si="288"/>
        <v>0</v>
      </c>
      <c r="T598" s="3" t="str">
        <f t="shared" si="289"/>
        <v>0</v>
      </c>
      <c r="U598" s="3">
        <v>3980</v>
      </c>
      <c r="V598" s="3"/>
      <c r="W598" s="3"/>
      <c r="X598" s="3"/>
      <c r="Y598" s="3"/>
      <c r="Z598" s="3"/>
    </row>
    <row r="599" spans="1:26" x14ac:dyDescent="0.25">
      <c r="A599" s="2">
        <v>46141</v>
      </c>
      <c r="B599" s="3" t="s">
        <v>171</v>
      </c>
      <c r="C599" s="3" t="s">
        <v>235</v>
      </c>
      <c r="D599" s="3"/>
      <c r="E599" s="3"/>
      <c r="F599" s="6">
        <f t="shared" si="291"/>
        <v>0</v>
      </c>
      <c r="G599" s="6" t="e">
        <f t="shared" si="277"/>
        <v>#DIV/0!</v>
      </c>
      <c r="H599" s="219"/>
      <c r="I599" s="3" t="str">
        <f t="shared" si="278"/>
        <v>0</v>
      </c>
      <c r="J599" s="3" t="str">
        <f t="shared" si="279"/>
        <v>0</v>
      </c>
      <c r="K599" s="3" t="str">
        <f t="shared" si="280"/>
        <v>0</v>
      </c>
      <c r="L599" s="3" t="str">
        <f t="shared" si="281"/>
        <v>0</v>
      </c>
      <c r="M599" s="3">
        <f t="shared" si="282"/>
        <v>0</v>
      </c>
      <c r="N599" s="3">
        <f t="shared" si="283"/>
        <v>0</v>
      </c>
      <c r="O599" s="3" t="str">
        <f t="shared" si="284"/>
        <v>0</v>
      </c>
      <c r="P599" s="3" t="str">
        <f t="shared" si="285"/>
        <v>0</v>
      </c>
      <c r="Q599" s="3" t="str">
        <f t="shared" si="286"/>
        <v>0</v>
      </c>
      <c r="R599" s="3" t="str">
        <f t="shared" si="287"/>
        <v>0</v>
      </c>
      <c r="S599" s="3">
        <f t="shared" si="288"/>
        <v>0</v>
      </c>
      <c r="T599" s="3" t="str">
        <f t="shared" si="289"/>
        <v>0</v>
      </c>
      <c r="U599" s="3"/>
      <c r="V599" s="3">
        <v>30000</v>
      </c>
      <c r="W599" s="3"/>
      <c r="X599" s="3"/>
      <c r="Y599" s="3"/>
      <c r="Z599" s="3"/>
    </row>
    <row r="600" spans="1:26" x14ac:dyDescent="0.25">
      <c r="A600" s="2">
        <v>46141</v>
      </c>
      <c r="B600" s="3" t="s">
        <v>171</v>
      </c>
      <c r="C600" s="169" t="s">
        <v>247</v>
      </c>
      <c r="D600" s="3"/>
      <c r="E600" s="3"/>
      <c r="F600" s="6">
        <f t="shared" si="291"/>
        <v>0</v>
      </c>
      <c r="G600" s="6" t="e">
        <f t="shared" si="277"/>
        <v>#DIV/0!</v>
      </c>
      <c r="H600" s="219"/>
      <c r="I600" s="3" t="str">
        <f t="shared" si="278"/>
        <v>0</v>
      </c>
      <c r="J600" s="3" t="str">
        <f t="shared" si="279"/>
        <v>0</v>
      </c>
      <c r="K600" s="3" t="str">
        <f t="shared" si="280"/>
        <v>0</v>
      </c>
      <c r="L600" s="3" t="str">
        <f t="shared" si="281"/>
        <v>0</v>
      </c>
      <c r="M600" s="3">
        <f t="shared" si="282"/>
        <v>0</v>
      </c>
      <c r="N600" s="3">
        <f t="shared" si="283"/>
        <v>0</v>
      </c>
      <c r="O600" s="3" t="str">
        <f t="shared" si="284"/>
        <v>0</v>
      </c>
      <c r="P600" s="3" t="str">
        <f t="shared" si="285"/>
        <v>0</v>
      </c>
      <c r="Q600" s="3" t="str">
        <f t="shared" si="286"/>
        <v>0</v>
      </c>
      <c r="R600" s="3" t="str">
        <f t="shared" si="287"/>
        <v>0</v>
      </c>
      <c r="S600" s="3">
        <f t="shared" si="288"/>
        <v>0</v>
      </c>
      <c r="T600" s="3" t="str">
        <f t="shared" si="289"/>
        <v>0</v>
      </c>
      <c r="U600" s="3">
        <v>5000</v>
      </c>
      <c r="V600" s="3"/>
      <c r="W600" s="3"/>
      <c r="X600" s="3"/>
      <c r="Y600" s="3"/>
      <c r="Z600" s="3"/>
    </row>
    <row r="601" spans="1:26" x14ac:dyDescent="0.25">
      <c r="A601" s="2">
        <v>46142</v>
      </c>
      <c r="B601" s="3" t="s">
        <v>169</v>
      </c>
      <c r="C601" s="169" t="s">
        <v>229</v>
      </c>
      <c r="D601" s="4">
        <v>1746.4744000000001</v>
      </c>
      <c r="E601" s="5">
        <v>0.88</v>
      </c>
      <c r="F601" s="6">
        <f>+D601*E601</f>
        <v>1536.8974720000001</v>
      </c>
      <c r="G601" s="6">
        <f>+H601/D601</f>
        <v>7.9552268272583895</v>
      </c>
      <c r="H601" s="7">
        <v>13893.6</v>
      </c>
      <c r="I601" s="3">
        <f t="shared" si="278"/>
        <v>1746.4744000000001</v>
      </c>
      <c r="J601" s="3" t="str">
        <f t="shared" si="279"/>
        <v>0</v>
      </c>
      <c r="K601" s="3">
        <f t="shared" si="280"/>
        <v>1536.8974720000001</v>
      </c>
      <c r="L601" s="3" t="str">
        <f t="shared" si="281"/>
        <v>0</v>
      </c>
      <c r="M601" s="3">
        <f t="shared" si="282"/>
        <v>14588.28</v>
      </c>
      <c r="N601" s="3">
        <f t="shared" si="283"/>
        <v>0</v>
      </c>
      <c r="O601" s="3" t="str">
        <f t="shared" si="284"/>
        <v>0</v>
      </c>
      <c r="P601" s="3" t="str">
        <f t="shared" si="285"/>
        <v>0</v>
      </c>
      <c r="Q601" s="3" t="str">
        <f t="shared" si="286"/>
        <v>0</v>
      </c>
      <c r="R601" s="3" t="str">
        <f t="shared" si="287"/>
        <v>0</v>
      </c>
      <c r="S601" s="3">
        <f t="shared" si="288"/>
        <v>0</v>
      </c>
      <c r="T601" s="3" t="str">
        <f t="shared" si="289"/>
        <v>0</v>
      </c>
      <c r="U601" s="3"/>
      <c r="V601" s="3"/>
      <c r="W601" s="3"/>
      <c r="X601" s="3"/>
      <c r="Y601" s="3"/>
      <c r="Z601" s="3"/>
    </row>
    <row r="602" spans="1:26" x14ac:dyDescent="0.25">
      <c r="A602" s="2">
        <v>46142</v>
      </c>
      <c r="B602" s="3" t="s">
        <v>169</v>
      </c>
      <c r="C602" s="169" t="s">
        <v>228</v>
      </c>
      <c r="D602" s="4">
        <v>2066.2400000000002</v>
      </c>
      <c r="E602" s="5">
        <v>0.88</v>
      </c>
      <c r="F602" s="6">
        <f t="shared" ref="F602:F603" si="298">+D602*E602</f>
        <v>1818.2912000000001</v>
      </c>
      <c r="G602" s="6">
        <f t="shared" ref="G602:G603" si="299">+H602/D602</f>
        <v>11.667303894997676</v>
      </c>
      <c r="H602" s="7">
        <v>24107.45</v>
      </c>
      <c r="I602" s="3">
        <f t="shared" si="278"/>
        <v>2066.2400000000002</v>
      </c>
      <c r="J602" s="3" t="str">
        <f t="shared" si="279"/>
        <v>0</v>
      </c>
      <c r="K602" s="3">
        <f t="shared" si="280"/>
        <v>1818.2912000000001</v>
      </c>
      <c r="L602" s="3" t="str">
        <f t="shared" si="281"/>
        <v>0</v>
      </c>
      <c r="M602" s="3">
        <f t="shared" si="282"/>
        <v>25312.822500000002</v>
      </c>
      <c r="N602" s="3">
        <f t="shared" si="283"/>
        <v>0</v>
      </c>
      <c r="O602" s="3" t="str">
        <f t="shared" si="284"/>
        <v>0</v>
      </c>
      <c r="P602" s="3" t="str">
        <f t="shared" si="285"/>
        <v>0</v>
      </c>
      <c r="Q602" s="3" t="str">
        <f t="shared" si="286"/>
        <v>0</v>
      </c>
      <c r="R602" s="3" t="str">
        <f t="shared" si="287"/>
        <v>0</v>
      </c>
      <c r="S602" s="3">
        <f t="shared" si="288"/>
        <v>0</v>
      </c>
      <c r="T602" s="3" t="str">
        <f t="shared" si="289"/>
        <v>0</v>
      </c>
      <c r="U602" s="3"/>
      <c r="V602" s="3"/>
      <c r="W602" s="3"/>
      <c r="X602" s="3"/>
      <c r="Y602" s="3"/>
      <c r="Z602" s="3"/>
    </row>
    <row r="603" spans="1:26" x14ac:dyDescent="0.25">
      <c r="A603" s="2">
        <v>46142</v>
      </c>
      <c r="B603" s="3" t="s">
        <v>169</v>
      </c>
      <c r="C603" s="169" t="s">
        <v>229</v>
      </c>
      <c r="D603" s="4">
        <v>271.04000000000002</v>
      </c>
      <c r="E603" s="5">
        <v>0.88</v>
      </c>
      <c r="F603" s="6">
        <f t="shared" si="298"/>
        <v>238.51520000000002</v>
      </c>
      <c r="G603" s="6">
        <f t="shared" si="299"/>
        <v>13.052685950413222</v>
      </c>
      <c r="H603" s="7">
        <v>3537.8</v>
      </c>
      <c r="I603" s="3">
        <f t="shared" si="278"/>
        <v>271.04000000000002</v>
      </c>
      <c r="J603" s="3" t="str">
        <f t="shared" si="279"/>
        <v>0</v>
      </c>
      <c r="K603" s="3">
        <f t="shared" si="280"/>
        <v>238.51520000000002</v>
      </c>
      <c r="L603" s="3" t="str">
        <f t="shared" si="281"/>
        <v>0</v>
      </c>
      <c r="M603" s="3">
        <f t="shared" si="282"/>
        <v>3714.69</v>
      </c>
      <c r="N603" s="3">
        <f t="shared" si="283"/>
        <v>0</v>
      </c>
      <c r="O603" s="3" t="str">
        <f t="shared" si="284"/>
        <v>0</v>
      </c>
      <c r="P603" s="3" t="str">
        <f t="shared" si="285"/>
        <v>0</v>
      </c>
      <c r="Q603" s="3" t="str">
        <f t="shared" si="286"/>
        <v>0</v>
      </c>
      <c r="R603" s="3" t="str">
        <f t="shared" si="287"/>
        <v>0</v>
      </c>
      <c r="S603" s="3">
        <f t="shared" si="288"/>
        <v>0</v>
      </c>
      <c r="T603" s="3" t="str">
        <f t="shared" si="289"/>
        <v>0</v>
      </c>
      <c r="U603" s="3"/>
      <c r="V603" s="3"/>
      <c r="W603" s="3"/>
      <c r="X603" s="3"/>
      <c r="Y603" s="3"/>
      <c r="Z603" s="3"/>
    </row>
    <row r="604" spans="1:26" x14ac:dyDescent="0.25">
      <c r="A604" s="2">
        <v>46142</v>
      </c>
      <c r="B604" s="3" t="s">
        <v>170</v>
      </c>
      <c r="C604" s="3" t="s">
        <v>235</v>
      </c>
      <c r="D604" s="4">
        <v>349.36439999999999</v>
      </c>
      <c r="E604" s="209">
        <v>0.995</v>
      </c>
      <c r="F604" s="184">
        <f t="shared" ref="F604:F608" si="300">D604*E604</f>
        <v>347.61757799999998</v>
      </c>
      <c r="G604" s="6">
        <f t="shared" si="277"/>
        <v>0</v>
      </c>
      <c r="H604" s="219"/>
      <c r="I604" s="3" t="str">
        <f t="shared" si="278"/>
        <v>0</v>
      </c>
      <c r="J604" s="3" t="str">
        <f t="shared" si="279"/>
        <v>0</v>
      </c>
      <c r="K604" s="3" t="str">
        <f t="shared" si="280"/>
        <v>0</v>
      </c>
      <c r="L604" s="3" t="str">
        <f t="shared" si="281"/>
        <v>0</v>
      </c>
      <c r="M604" s="3">
        <f t="shared" si="282"/>
        <v>0</v>
      </c>
      <c r="N604" s="3">
        <f t="shared" si="283"/>
        <v>0</v>
      </c>
      <c r="O604" s="3">
        <f t="shared" si="284"/>
        <v>349.36439999999999</v>
      </c>
      <c r="P604" s="3" t="str">
        <f t="shared" si="285"/>
        <v>0</v>
      </c>
      <c r="Q604" s="3">
        <f t="shared" si="286"/>
        <v>347.61757799999998</v>
      </c>
      <c r="R604" s="3" t="str">
        <f t="shared" si="287"/>
        <v>0</v>
      </c>
      <c r="S604" s="3">
        <f t="shared" si="288"/>
        <v>0</v>
      </c>
      <c r="T604" s="3" t="str">
        <f t="shared" si="289"/>
        <v>0</v>
      </c>
      <c r="U604" s="3"/>
      <c r="V604" s="3"/>
      <c r="W604" s="3"/>
      <c r="X604" s="3"/>
      <c r="Y604" s="3"/>
      <c r="Z604" s="3"/>
    </row>
    <row r="605" spans="1:26" x14ac:dyDescent="0.25">
      <c r="A605" s="2">
        <v>46142</v>
      </c>
      <c r="B605" s="3" t="s">
        <v>170</v>
      </c>
      <c r="C605" s="169" t="s">
        <v>229</v>
      </c>
      <c r="D605" s="4">
        <v>995</v>
      </c>
      <c r="E605" s="209">
        <v>0.995</v>
      </c>
      <c r="F605" s="184">
        <f t="shared" si="300"/>
        <v>990.02499999999998</v>
      </c>
      <c r="G605" s="6">
        <f t="shared" si="277"/>
        <v>0</v>
      </c>
      <c r="H605" s="219"/>
      <c r="I605" s="3" t="str">
        <f t="shared" si="278"/>
        <v>0</v>
      </c>
      <c r="J605" s="3" t="str">
        <f t="shared" si="279"/>
        <v>0</v>
      </c>
      <c r="K605" s="3" t="str">
        <f t="shared" si="280"/>
        <v>0</v>
      </c>
      <c r="L605" s="3" t="str">
        <f t="shared" si="281"/>
        <v>0</v>
      </c>
      <c r="M605" s="3">
        <f t="shared" si="282"/>
        <v>0</v>
      </c>
      <c r="N605" s="3">
        <f t="shared" si="283"/>
        <v>0</v>
      </c>
      <c r="O605" s="3">
        <f t="shared" si="284"/>
        <v>995</v>
      </c>
      <c r="P605" s="3" t="str">
        <f t="shared" si="285"/>
        <v>0</v>
      </c>
      <c r="Q605" s="3">
        <f t="shared" si="286"/>
        <v>990.02499999999998</v>
      </c>
      <c r="R605" s="3" t="str">
        <f t="shared" si="287"/>
        <v>0</v>
      </c>
      <c r="S605" s="3">
        <f t="shared" si="288"/>
        <v>0</v>
      </c>
      <c r="T605" s="3" t="str">
        <f t="shared" si="289"/>
        <v>0</v>
      </c>
      <c r="U605" s="3"/>
      <c r="V605" s="3"/>
      <c r="W605" s="3"/>
      <c r="X605" s="3"/>
      <c r="Y605" s="3"/>
      <c r="Z605" s="3"/>
    </row>
    <row r="606" spans="1:26" x14ac:dyDescent="0.25">
      <c r="A606" s="2">
        <v>46142</v>
      </c>
      <c r="B606" s="3" t="s">
        <v>170</v>
      </c>
      <c r="C606" s="3" t="s">
        <v>230</v>
      </c>
      <c r="D606" s="4">
        <v>527.6484999999999</v>
      </c>
      <c r="E606" s="209">
        <v>0.995</v>
      </c>
      <c r="F606" s="184">
        <f t="shared" si="300"/>
        <v>525.01025749999985</v>
      </c>
      <c r="G606" s="6">
        <f t="shared" si="277"/>
        <v>0</v>
      </c>
      <c r="H606" s="219"/>
      <c r="I606" s="3" t="str">
        <f t="shared" si="278"/>
        <v>0</v>
      </c>
      <c r="J606" s="3" t="str">
        <f t="shared" si="279"/>
        <v>0</v>
      </c>
      <c r="K606" s="3" t="str">
        <f t="shared" si="280"/>
        <v>0</v>
      </c>
      <c r="L606" s="3" t="str">
        <f t="shared" si="281"/>
        <v>0</v>
      </c>
      <c r="M606" s="3">
        <f t="shared" si="282"/>
        <v>0</v>
      </c>
      <c r="N606" s="3">
        <f t="shared" si="283"/>
        <v>0</v>
      </c>
      <c r="O606" s="3">
        <f t="shared" si="284"/>
        <v>527.6484999999999</v>
      </c>
      <c r="P606" s="3" t="str">
        <f t="shared" si="285"/>
        <v>0</v>
      </c>
      <c r="Q606" s="3">
        <f t="shared" si="286"/>
        <v>525.01025749999985</v>
      </c>
      <c r="R606" s="3" t="str">
        <f t="shared" si="287"/>
        <v>0</v>
      </c>
      <c r="S606" s="3">
        <f t="shared" si="288"/>
        <v>0</v>
      </c>
      <c r="T606" s="3" t="str">
        <f t="shared" si="289"/>
        <v>0</v>
      </c>
      <c r="U606" s="3"/>
      <c r="V606" s="3"/>
      <c r="W606" s="3"/>
      <c r="X606" s="3"/>
      <c r="Y606" s="3"/>
      <c r="Z606" s="3"/>
    </row>
    <row r="607" spans="1:26" x14ac:dyDescent="0.25">
      <c r="A607" s="2">
        <v>46142</v>
      </c>
      <c r="B607" s="3" t="s">
        <v>170</v>
      </c>
      <c r="C607" s="169" t="s">
        <v>228</v>
      </c>
      <c r="D607" s="4">
        <v>3000</v>
      </c>
      <c r="E607" s="209">
        <v>0.995</v>
      </c>
      <c r="F607" s="184">
        <f t="shared" si="300"/>
        <v>2985</v>
      </c>
      <c r="G607" s="6">
        <f t="shared" si="277"/>
        <v>0</v>
      </c>
      <c r="H607" s="219"/>
      <c r="I607" s="3" t="str">
        <f t="shared" si="278"/>
        <v>0</v>
      </c>
      <c r="J607" s="3" t="str">
        <f t="shared" si="279"/>
        <v>0</v>
      </c>
      <c r="K607" s="3" t="str">
        <f t="shared" si="280"/>
        <v>0</v>
      </c>
      <c r="L607" s="3" t="str">
        <f t="shared" si="281"/>
        <v>0</v>
      </c>
      <c r="M607" s="3">
        <f t="shared" si="282"/>
        <v>0</v>
      </c>
      <c r="N607" s="3">
        <f t="shared" si="283"/>
        <v>0</v>
      </c>
      <c r="O607" s="3">
        <f t="shared" si="284"/>
        <v>3000</v>
      </c>
      <c r="P607" s="3" t="str">
        <f t="shared" si="285"/>
        <v>0</v>
      </c>
      <c r="Q607" s="3">
        <f t="shared" si="286"/>
        <v>2985</v>
      </c>
      <c r="R607" s="3" t="str">
        <f t="shared" si="287"/>
        <v>0</v>
      </c>
      <c r="S607" s="3">
        <f t="shared" si="288"/>
        <v>0</v>
      </c>
      <c r="T607" s="3" t="str">
        <f t="shared" si="289"/>
        <v>0</v>
      </c>
      <c r="U607" s="3"/>
      <c r="V607" s="3"/>
      <c r="W607" s="3"/>
      <c r="X607" s="3"/>
      <c r="Y607" s="3"/>
      <c r="Z607" s="3"/>
    </row>
    <row r="608" spans="1:26" x14ac:dyDescent="0.25">
      <c r="A608" s="2">
        <v>46142</v>
      </c>
      <c r="B608" s="3" t="s">
        <v>170</v>
      </c>
      <c r="C608" s="169" t="s">
        <v>236</v>
      </c>
      <c r="D608" s="4">
        <v>78.53</v>
      </c>
      <c r="E608" s="209">
        <v>0.995</v>
      </c>
      <c r="F608" s="184">
        <f t="shared" si="300"/>
        <v>78.137349999999998</v>
      </c>
      <c r="G608" s="6">
        <f t="shared" si="277"/>
        <v>0</v>
      </c>
      <c r="H608" s="219"/>
      <c r="I608" s="3" t="str">
        <f t="shared" si="278"/>
        <v>0</v>
      </c>
      <c r="J608" s="3" t="str">
        <f t="shared" si="279"/>
        <v>0</v>
      </c>
      <c r="K608" s="3" t="str">
        <f t="shared" si="280"/>
        <v>0</v>
      </c>
      <c r="L608" s="3" t="str">
        <f t="shared" si="281"/>
        <v>0</v>
      </c>
      <c r="M608" s="3">
        <f t="shared" si="282"/>
        <v>0</v>
      </c>
      <c r="N608" s="3">
        <f t="shared" si="283"/>
        <v>0</v>
      </c>
      <c r="O608" s="3">
        <f t="shared" si="284"/>
        <v>78.53</v>
      </c>
      <c r="P608" s="3" t="str">
        <f t="shared" si="285"/>
        <v>0</v>
      </c>
      <c r="Q608" s="3">
        <f t="shared" si="286"/>
        <v>78.137349999999998</v>
      </c>
      <c r="R608" s="3" t="str">
        <f t="shared" si="287"/>
        <v>0</v>
      </c>
      <c r="S608" s="3">
        <f t="shared" si="288"/>
        <v>0</v>
      </c>
      <c r="T608" s="3" t="str">
        <f t="shared" si="289"/>
        <v>0</v>
      </c>
      <c r="U608" s="3"/>
      <c r="V608" s="3"/>
      <c r="W608" s="3"/>
      <c r="X608" s="3"/>
      <c r="Y608" s="3"/>
      <c r="Z608" s="3"/>
    </row>
    <row r="609" spans="1:26" x14ac:dyDescent="0.25">
      <c r="A609" s="2">
        <v>46142</v>
      </c>
      <c r="B609" s="3" t="s">
        <v>171</v>
      </c>
      <c r="C609" s="169" t="s">
        <v>229</v>
      </c>
      <c r="D609" s="3"/>
      <c r="E609" s="3"/>
      <c r="F609" s="6">
        <f t="shared" si="291"/>
        <v>0</v>
      </c>
      <c r="G609" s="6" t="e">
        <f t="shared" si="277"/>
        <v>#DIV/0!</v>
      </c>
      <c r="H609" s="219"/>
      <c r="I609" s="3" t="str">
        <f t="shared" si="278"/>
        <v>0</v>
      </c>
      <c r="J609" s="3" t="str">
        <f t="shared" si="279"/>
        <v>0</v>
      </c>
      <c r="K609" s="3" t="str">
        <f t="shared" si="280"/>
        <v>0</v>
      </c>
      <c r="L609" s="3" t="str">
        <f t="shared" si="281"/>
        <v>0</v>
      </c>
      <c r="M609" s="3">
        <f t="shared" si="282"/>
        <v>0</v>
      </c>
      <c r="N609" s="3">
        <f t="shared" si="283"/>
        <v>0</v>
      </c>
      <c r="O609" s="3" t="str">
        <f t="shared" si="284"/>
        <v>0</v>
      </c>
      <c r="P609" s="3" t="str">
        <f t="shared" si="285"/>
        <v>0</v>
      </c>
      <c r="Q609" s="3" t="str">
        <f t="shared" si="286"/>
        <v>0</v>
      </c>
      <c r="R609" s="3" t="str">
        <f t="shared" si="287"/>
        <v>0</v>
      </c>
      <c r="S609" s="3">
        <f t="shared" si="288"/>
        <v>0</v>
      </c>
      <c r="T609" s="3" t="str">
        <f t="shared" si="289"/>
        <v>0</v>
      </c>
      <c r="U609" s="3"/>
      <c r="V609" s="3">
        <v>50000</v>
      </c>
      <c r="W609" s="3"/>
      <c r="X609" s="3"/>
      <c r="Y609" s="3"/>
      <c r="Z609" s="3"/>
    </row>
    <row r="610" spans="1:26" x14ac:dyDescent="0.25">
      <c r="A610" s="2">
        <v>46083</v>
      </c>
      <c r="B610" s="3" t="s">
        <v>169</v>
      </c>
      <c r="C610" s="169" t="s">
        <v>228</v>
      </c>
      <c r="D610" s="170">
        <v>526.94399999999996</v>
      </c>
      <c r="E610" s="220">
        <v>0.88</v>
      </c>
      <c r="F610" s="211">
        <f t="shared" si="291"/>
        <v>463.71071999999998</v>
      </c>
      <c r="G610" s="211">
        <f t="shared" si="277"/>
        <v>23.430003947288515</v>
      </c>
      <c r="H610" s="176">
        <v>12346.3</v>
      </c>
      <c r="I610" s="158">
        <f t="shared" si="278"/>
        <v>526.94399999999996</v>
      </c>
      <c r="J610" s="3" t="str">
        <f t="shared" si="279"/>
        <v>0</v>
      </c>
      <c r="K610" s="3">
        <f t="shared" si="280"/>
        <v>463.71071999999998</v>
      </c>
      <c r="L610" s="3" t="str">
        <f t="shared" si="281"/>
        <v>0</v>
      </c>
      <c r="M610" s="3">
        <f t="shared" si="282"/>
        <v>12963.615</v>
      </c>
      <c r="N610" s="3">
        <f t="shared" si="283"/>
        <v>0</v>
      </c>
      <c r="O610" s="3" t="str">
        <f t="shared" si="284"/>
        <v>0</v>
      </c>
      <c r="P610" s="3" t="str">
        <f t="shared" si="285"/>
        <v>0</v>
      </c>
      <c r="Q610" s="3" t="str">
        <f t="shared" si="286"/>
        <v>0</v>
      </c>
      <c r="R610" s="3" t="str">
        <f t="shared" si="287"/>
        <v>0</v>
      </c>
      <c r="S610" s="3">
        <f t="shared" si="288"/>
        <v>0</v>
      </c>
      <c r="T610" s="3" t="str">
        <f t="shared" si="289"/>
        <v>0</v>
      </c>
      <c r="U610" s="3"/>
      <c r="V610" s="3"/>
      <c r="W610" s="3"/>
      <c r="X610" s="3"/>
      <c r="Y610" s="3"/>
      <c r="Z610" s="3"/>
    </row>
    <row r="611" spans="1:26" x14ac:dyDescent="0.25">
      <c r="A611" s="2">
        <v>46083</v>
      </c>
      <c r="B611" s="3" t="s">
        <v>169</v>
      </c>
      <c r="C611" s="169" t="s">
        <v>236</v>
      </c>
      <c r="D611" s="170">
        <v>995</v>
      </c>
      <c r="E611" s="220">
        <v>0.92</v>
      </c>
      <c r="F611" s="211">
        <f t="shared" si="291"/>
        <v>915.40000000000009</v>
      </c>
      <c r="G611" s="211">
        <f t="shared" si="277"/>
        <v>6.4448040201005021</v>
      </c>
      <c r="H611" s="176">
        <v>6412.58</v>
      </c>
      <c r="I611" s="158">
        <f t="shared" si="278"/>
        <v>995</v>
      </c>
      <c r="J611" s="3" t="str">
        <f t="shared" si="279"/>
        <v>0</v>
      </c>
      <c r="K611" s="3">
        <f t="shared" si="280"/>
        <v>915.40000000000009</v>
      </c>
      <c r="L611" s="3" t="str">
        <f t="shared" si="281"/>
        <v>0</v>
      </c>
      <c r="M611" s="3">
        <f t="shared" si="282"/>
        <v>6733.2089999999998</v>
      </c>
      <c r="N611" s="3">
        <f t="shared" si="283"/>
        <v>0</v>
      </c>
      <c r="O611" s="3" t="str">
        <f t="shared" si="284"/>
        <v>0</v>
      </c>
      <c r="P611" s="3" t="str">
        <f t="shared" si="285"/>
        <v>0</v>
      </c>
      <c r="Q611" s="3" t="str">
        <f t="shared" si="286"/>
        <v>0</v>
      </c>
      <c r="R611" s="3" t="str">
        <f t="shared" si="287"/>
        <v>0</v>
      </c>
      <c r="S611" s="3">
        <f t="shared" si="288"/>
        <v>0</v>
      </c>
      <c r="T611" s="3" t="str">
        <f t="shared" si="289"/>
        <v>0</v>
      </c>
      <c r="U611" s="3"/>
      <c r="V611" s="3"/>
      <c r="W611" s="3"/>
      <c r="X611" s="3"/>
      <c r="Y611" s="3"/>
      <c r="Z611" s="3"/>
    </row>
    <row r="612" spans="1:26" x14ac:dyDescent="0.25">
      <c r="A612" s="2">
        <v>46083</v>
      </c>
      <c r="B612" s="3" t="s">
        <v>169</v>
      </c>
      <c r="C612" s="169" t="s">
        <v>247</v>
      </c>
      <c r="D612" s="170">
        <v>168.34400000000002</v>
      </c>
      <c r="E612" s="220">
        <v>0.88</v>
      </c>
      <c r="F612" s="211">
        <f t="shared" si="291"/>
        <v>148.14272000000003</v>
      </c>
      <c r="G612" s="211">
        <f t="shared" si="277"/>
        <v>15.031720762248726</v>
      </c>
      <c r="H612" s="176">
        <v>2530.5</v>
      </c>
      <c r="I612" s="158">
        <f t="shared" si="278"/>
        <v>168.34400000000002</v>
      </c>
      <c r="J612" s="3" t="str">
        <f t="shared" si="279"/>
        <v>0</v>
      </c>
      <c r="K612" s="3">
        <f t="shared" si="280"/>
        <v>148.14272000000003</v>
      </c>
      <c r="L612" s="3" t="str">
        <f t="shared" si="281"/>
        <v>0</v>
      </c>
      <c r="M612" s="3">
        <f t="shared" si="282"/>
        <v>2657.0250000000001</v>
      </c>
      <c r="N612" s="3">
        <f t="shared" si="283"/>
        <v>0</v>
      </c>
      <c r="O612" s="3" t="str">
        <f t="shared" si="284"/>
        <v>0</v>
      </c>
      <c r="P612" s="3" t="str">
        <f t="shared" si="285"/>
        <v>0</v>
      </c>
      <c r="Q612" s="3" t="str">
        <f t="shared" si="286"/>
        <v>0</v>
      </c>
      <c r="R612" s="3" t="str">
        <f t="shared" si="287"/>
        <v>0</v>
      </c>
      <c r="S612" s="3">
        <f t="shared" si="288"/>
        <v>0</v>
      </c>
      <c r="T612" s="3" t="str">
        <f t="shared" si="289"/>
        <v>0</v>
      </c>
      <c r="U612" s="3"/>
      <c r="V612" s="3"/>
      <c r="W612" s="3"/>
      <c r="X612" s="3"/>
      <c r="Y612" s="3"/>
      <c r="Z612" s="3"/>
    </row>
    <row r="613" spans="1:26" x14ac:dyDescent="0.25">
      <c r="A613" s="2">
        <v>46083</v>
      </c>
      <c r="B613" s="3" t="s">
        <v>170</v>
      </c>
      <c r="C613" s="169" t="s">
        <v>236</v>
      </c>
      <c r="D613" s="170">
        <v>65.384</v>
      </c>
      <c r="E613" s="221">
        <v>0.995</v>
      </c>
      <c r="F613" s="211">
        <f t="shared" si="291"/>
        <v>65.057079999999999</v>
      </c>
      <c r="G613" s="211">
        <f t="shared" si="277"/>
        <v>0</v>
      </c>
      <c r="H613" s="236"/>
      <c r="I613" s="3" t="str">
        <f t="shared" si="278"/>
        <v>0</v>
      </c>
      <c r="J613" s="3" t="str">
        <f t="shared" si="279"/>
        <v>0</v>
      </c>
      <c r="K613" s="3" t="str">
        <f t="shared" si="280"/>
        <v>0</v>
      </c>
      <c r="L613" s="3" t="str">
        <f t="shared" si="281"/>
        <v>0</v>
      </c>
      <c r="M613" s="3">
        <f t="shared" si="282"/>
        <v>0</v>
      </c>
      <c r="N613" s="3">
        <f t="shared" si="283"/>
        <v>0</v>
      </c>
      <c r="O613" s="3">
        <f t="shared" si="284"/>
        <v>65.384</v>
      </c>
      <c r="P613" s="3" t="str">
        <f t="shared" si="285"/>
        <v>0</v>
      </c>
      <c r="Q613" s="3">
        <f t="shared" si="286"/>
        <v>65.057079999999999</v>
      </c>
      <c r="R613" s="3" t="str">
        <f t="shared" si="287"/>
        <v>0</v>
      </c>
      <c r="S613" s="3">
        <f t="shared" si="288"/>
        <v>0</v>
      </c>
      <c r="T613" s="3" t="str">
        <f t="shared" si="289"/>
        <v>0</v>
      </c>
      <c r="U613" s="3"/>
      <c r="V613" s="3"/>
      <c r="W613" s="3"/>
      <c r="X613" s="3"/>
      <c r="Y613" s="3"/>
      <c r="Z613" s="3"/>
    </row>
    <row r="614" spans="1:26" x14ac:dyDescent="0.25">
      <c r="A614" s="2">
        <v>46083</v>
      </c>
      <c r="B614" s="3" t="s">
        <v>171</v>
      </c>
      <c r="C614" s="169" t="s">
        <v>247</v>
      </c>
      <c r="D614" s="3"/>
      <c r="E614" s="3"/>
      <c r="F614" s="211">
        <f t="shared" si="291"/>
        <v>0</v>
      </c>
      <c r="G614" s="172" t="e">
        <f t="shared" si="277"/>
        <v>#DIV/0!</v>
      </c>
      <c r="H614" s="3"/>
      <c r="I614" s="3" t="str">
        <f t="shared" si="278"/>
        <v>0</v>
      </c>
      <c r="J614" s="3" t="str">
        <f t="shared" si="279"/>
        <v>0</v>
      </c>
      <c r="K614" s="3" t="str">
        <f t="shared" si="280"/>
        <v>0</v>
      </c>
      <c r="L614" s="3" t="str">
        <f t="shared" si="281"/>
        <v>0</v>
      </c>
      <c r="M614" s="3">
        <f t="shared" si="282"/>
        <v>0</v>
      </c>
      <c r="N614" s="3">
        <f t="shared" si="283"/>
        <v>0</v>
      </c>
      <c r="O614" s="3" t="str">
        <f t="shared" si="284"/>
        <v>0</v>
      </c>
      <c r="P614" s="3" t="str">
        <f t="shared" si="285"/>
        <v>0</v>
      </c>
      <c r="Q614" s="3" t="str">
        <f t="shared" si="286"/>
        <v>0</v>
      </c>
      <c r="R614" s="3" t="str">
        <f t="shared" si="287"/>
        <v>0</v>
      </c>
      <c r="S614" s="3">
        <f t="shared" si="288"/>
        <v>0</v>
      </c>
      <c r="T614" s="3" t="str">
        <f t="shared" si="289"/>
        <v>0</v>
      </c>
      <c r="U614" s="3">
        <v>50000</v>
      </c>
      <c r="V614" s="3"/>
      <c r="W614" s="3"/>
      <c r="X614" s="3"/>
      <c r="Y614" s="3"/>
      <c r="Z614" s="3"/>
    </row>
    <row r="615" spans="1:26" x14ac:dyDescent="0.25">
      <c r="A615" s="2">
        <v>46083</v>
      </c>
      <c r="B615" s="3" t="s">
        <v>171</v>
      </c>
      <c r="C615" s="169" t="s">
        <v>236</v>
      </c>
      <c r="D615" s="170"/>
      <c r="E615" s="3"/>
      <c r="F615" s="211">
        <f t="shared" si="291"/>
        <v>0</v>
      </c>
      <c r="G615" s="172" t="e">
        <f t="shared" si="277"/>
        <v>#DIV/0!</v>
      </c>
      <c r="H615" s="3"/>
      <c r="I615" s="3" t="str">
        <f t="shared" si="278"/>
        <v>0</v>
      </c>
      <c r="J615" s="3" t="str">
        <f t="shared" si="279"/>
        <v>0</v>
      </c>
      <c r="K615" s="3" t="str">
        <f t="shared" si="280"/>
        <v>0</v>
      </c>
      <c r="L615" s="3" t="str">
        <f t="shared" si="281"/>
        <v>0</v>
      </c>
      <c r="M615" s="3">
        <f t="shared" si="282"/>
        <v>0</v>
      </c>
      <c r="N615" s="3">
        <f>IF(B615="SALES RETURN",H615,"0")+IF(B615="SALES RETURN",H615,"0")*5%</f>
        <v>0</v>
      </c>
      <c r="O615" s="3" t="str">
        <f t="shared" si="284"/>
        <v>0</v>
      </c>
      <c r="P615" s="3" t="str">
        <f t="shared" si="285"/>
        <v>0</v>
      </c>
      <c r="Q615" s="3" t="str">
        <f t="shared" si="286"/>
        <v>0</v>
      </c>
      <c r="R615" s="3" t="str">
        <f t="shared" si="287"/>
        <v>0</v>
      </c>
      <c r="S615" s="3">
        <f t="shared" si="288"/>
        <v>0</v>
      </c>
      <c r="T615" s="3" t="str">
        <f t="shared" si="289"/>
        <v>0</v>
      </c>
      <c r="U615" s="3">
        <v>6733</v>
      </c>
      <c r="V615" s="3"/>
      <c r="W615" s="3"/>
      <c r="X615" s="3"/>
      <c r="Y615" s="3"/>
      <c r="Z615" s="3"/>
    </row>
    <row r="616" spans="1:26" x14ac:dyDescent="0.25">
      <c r="A616" s="2">
        <v>46084</v>
      </c>
      <c r="B616" s="3" t="s">
        <v>169</v>
      </c>
      <c r="C616" s="169" t="s">
        <v>228</v>
      </c>
      <c r="D616" s="170">
        <v>598.79999999999995</v>
      </c>
      <c r="E616" s="221">
        <v>0.88</v>
      </c>
      <c r="F616" s="211">
        <f t="shared" si="291"/>
        <v>526.94399999999996</v>
      </c>
      <c r="G616" s="211">
        <f t="shared" si="277"/>
        <v>11.158149632598532</v>
      </c>
      <c r="H616" s="176">
        <v>6681.5</v>
      </c>
      <c r="I616" s="3">
        <f t="shared" si="278"/>
        <v>598.79999999999995</v>
      </c>
      <c r="J616" s="3" t="str">
        <f t="shared" si="279"/>
        <v>0</v>
      </c>
      <c r="K616" s="3">
        <f t="shared" si="280"/>
        <v>526.94399999999996</v>
      </c>
      <c r="L616" s="3" t="str">
        <f t="shared" si="281"/>
        <v>0</v>
      </c>
      <c r="M616" s="3">
        <f t="shared" si="282"/>
        <v>7015.5749999999998</v>
      </c>
      <c r="N616" s="3">
        <f t="shared" si="283"/>
        <v>0</v>
      </c>
      <c r="O616" s="3" t="str">
        <f t="shared" si="284"/>
        <v>0</v>
      </c>
      <c r="P616" s="3" t="str">
        <f t="shared" si="285"/>
        <v>0</v>
      </c>
      <c r="Q616" s="3" t="str">
        <f t="shared" si="286"/>
        <v>0</v>
      </c>
      <c r="R616" s="3" t="str">
        <f t="shared" si="287"/>
        <v>0</v>
      </c>
      <c r="S616" s="3">
        <f t="shared" si="288"/>
        <v>0</v>
      </c>
      <c r="T616" s="3" t="str">
        <f t="shared" si="289"/>
        <v>0</v>
      </c>
      <c r="U616" s="3"/>
      <c r="V616" s="3"/>
      <c r="W616" s="3"/>
      <c r="X616" s="3"/>
      <c r="Y616" s="3"/>
      <c r="Z616" s="3"/>
    </row>
    <row r="617" spans="1:26" x14ac:dyDescent="0.25">
      <c r="A617" s="2">
        <v>46084</v>
      </c>
      <c r="B617" s="3" t="s">
        <v>170</v>
      </c>
      <c r="C617" s="169" t="s">
        <v>228</v>
      </c>
      <c r="D617" s="170">
        <v>1000</v>
      </c>
      <c r="E617" s="221">
        <v>0.995</v>
      </c>
      <c r="F617" s="211">
        <f t="shared" si="291"/>
        <v>995</v>
      </c>
      <c r="G617" s="211">
        <f t="shared" si="277"/>
        <v>0</v>
      </c>
      <c r="H617" s="3"/>
      <c r="I617" s="3" t="str">
        <f t="shared" si="278"/>
        <v>0</v>
      </c>
      <c r="J617" s="3" t="str">
        <f t="shared" si="279"/>
        <v>0</v>
      </c>
      <c r="K617" s="3" t="str">
        <f t="shared" si="280"/>
        <v>0</v>
      </c>
      <c r="L617" s="3" t="str">
        <f t="shared" si="281"/>
        <v>0</v>
      </c>
      <c r="M617" s="3">
        <f t="shared" si="282"/>
        <v>0</v>
      </c>
      <c r="N617" s="3">
        <f t="shared" si="283"/>
        <v>0</v>
      </c>
      <c r="O617" s="3">
        <f t="shared" si="284"/>
        <v>1000</v>
      </c>
      <c r="P617" s="3" t="str">
        <f t="shared" si="285"/>
        <v>0</v>
      </c>
      <c r="Q617" s="3">
        <f t="shared" si="286"/>
        <v>995</v>
      </c>
      <c r="R617" s="3" t="str">
        <f t="shared" si="287"/>
        <v>0</v>
      </c>
      <c r="S617" s="3">
        <f t="shared" si="288"/>
        <v>0</v>
      </c>
      <c r="T617" s="3" t="str">
        <f t="shared" si="289"/>
        <v>0</v>
      </c>
      <c r="U617" s="3"/>
      <c r="V617" s="3"/>
      <c r="W617" s="3"/>
      <c r="X617" s="3"/>
      <c r="Y617" s="3"/>
      <c r="Z617" s="3"/>
    </row>
    <row r="618" spans="1:26" x14ac:dyDescent="0.25">
      <c r="A618" s="2">
        <v>46085</v>
      </c>
      <c r="B618" s="3" t="s">
        <v>169</v>
      </c>
      <c r="C618" s="169" t="s">
        <v>228</v>
      </c>
      <c r="D618" s="170">
        <v>191.3</v>
      </c>
      <c r="E618" s="221">
        <v>0.88</v>
      </c>
      <c r="F618" s="211">
        <f t="shared" si="291"/>
        <v>168.34400000000002</v>
      </c>
      <c r="G618" s="211">
        <f t="shared" si="277"/>
        <v>12.771040250914792</v>
      </c>
      <c r="H618" s="176">
        <v>2443.1</v>
      </c>
      <c r="I618" s="3">
        <f t="shared" si="278"/>
        <v>191.3</v>
      </c>
      <c r="J618" s="3" t="str">
        <f t="shared" si="279"/>
        <v>0</v>
      </c>
      <c r="K618" s="3">
        <f t="shared" si="280"/>
        <v>168.34400000000002</v>
      </c>
      <c r="L618" s="3" t="str">
        <f t="shared" si="281"/>
        <v>0</v>
      </c>
      <c r="M618" s="3">
        <f t="shared" si="282"/>
        <v>2565.2550000000001</v>
      </c>
      <c r="N618" s="3">
        <f t="shared" si="283"/>
        <v>0</v>
      </c>
      <c r="O618" s="3" t="str">
        <f t="shared" si="284"/>
        <v>0</v>
      </c>
      <c r="P618" s="3" t="str">
        <f t="shared" si="285"/>
        <v>0</v>
      </c>
      <c r="Q618" s="3" t="str">
        <f t="shared" si="286"/>
        <v>0</v>
      </c>
      <c r="R618" s="3" t="str">
        <f t="shared" si="287"/>
        <v>0</v>
      </c>
      <c r="S618" s="3">
        <f t="shared" si="288"/>
        <v>0</v>
      </c>
      <c r="T618" s="3" t="str">
        <f t="shared" si="289"/>
        <v>0</v>
      </c>
      <c r="U618" s="3"/>
      <c r="V618" s="3"/>
      <c r="W618" s="3"/>
      <c r="X618" s="3"/>
      <c r="Y618" s="3"/>
      <c r="Z618" s="3"/>
    </row>
    <row r="619" spans="1:26" x14ac:dyDescent="0.25">
      <c r="A619" s="2">
        <v>46085</v>
      </c>
      <c r="B619" s="3" t="s">
        <v>169</v>
      </c>
      <c r="C619" s="169" t="s">
        <v>233</v>
      </c>
      <c r="D619" s="170">
        <v>74.3</v>
      </c>
      <c r="E619" s="221">
        <v>0.88</v>
      </c>
      <c r="F619" s="211">
        <f t="shared" si="291"/>
        <v>65.384</v>
      </c>
      <c r="G619" s="211">
        <f t="shared" si="277"/>
        <v>3</v>
      </c>
      <c r="H619" s="176">
        <v>222.9</v>
      </c>
      <c r="I619" s="3">
        <f t="shared" si="278"/>
        <v>74.3</v>
      </c>
      <c r="J619" s="3" t="str">
        <f t="shared" si="279"/>
        <v>0</v>
      </c>
      <c r="K619" s="3">
        <f t="shared" si="280"/>
        <v>65.384</v>
      </c>
      <c r="L619" s="3" t="str">
        <f t="shared" si="281"/>
        <v>0</v>
      </c>
      <c r="M619" s="3">
        <f t="shared" si="282"/>
        <v>234.04500000000002</v>
      </c>
      <c r="N619" s="3">
        <f t="shared" si="283"/>
        <v>0</v>
      </c>
      <c r="O619" s="3" t="str">
        <f t="shared" si="284"/>
        <v>0</v>
      </c>
      <c r="P619" s="3" t="str">
        <f t="shared" si="285"/>
        <v>0</v>
      </c>
      <c r="Q619" s="3" t="str">
        <f t="shared" si="286"/>
        <v>0</v>
      </c>
      <c r="R619" s="3" t="str">
        <f t="shared" si="287"/>
        <v>0</v>
      </c>
      <c r="S619" s="3">
        <f t="shared" si="288"/>
        <v>0</v>
      </c>
      <c r="T619" s="3" t="str">
        <f t="shared" si="289"/>
        <v>0</v>
      </c>
      <c r="U619" s="3"/>
      <c r="V619" s="3"/>
      <c r="W619" s="3"/>
      <c r="X619" s="3"/>
      <c r="Y619" s="3"/>
      <c r="Z619" s="3"/>
    </row>
    <row r="620" spans="1:26" x14ac:dyDescent="0.25">
      <c r="A620" s="2">
        <v>46085</v>
      </c>
      <c r="B620" s="3" t="s">
        <v>170</v>
      </c>
      <c r="C620" s="3" t="s">
        <v>235</v>
      </c>
      <c r="D620" s="170">
        <v>400.43</v>
      </c>
      <c r="E620" s="221">
        <v>0.995</v>
      </c>
      <c r="F620" s="211">
        <f>D620*E620</f>
        <v>398.42784999999998</v>
      </c>
      <c r="G620" s="211">
        <f t="shared" si="277"/>
        <v>0</v>
      </c>
      <c r="H620" s="3"/>
      <c r="I620" s="3" t="str">
        <f t="shared" si="278"/>
        <v>0</v>
      </c>
      <c r="J620" s="3" t="str">
        <f t="shared" si="279"/>
        <v>0</v>
      </c>
      <c r="K620" s="3" t="str">
        <f t="shared" si="280"/>
        <v>0</v>
      </c>
      <c r="L620" s="3" t="str">
        <f t="shared" si="281"/>
        <v>0</v>
      </c>
      <c r="M620" s="3">
        <f t="shared" si="282"/>
        <v>0</v>
      </c>
      <c r="N620" s="3">
        <f t="shared" si="283"/>
        <v>0</v>
      </c>
      <c r="O620" s="3">
        <f t="shared" si="284"/>
        <v>400.43</v>
      </c>
      <c r="P620" s="3" t="str">
        <f t="shared" si="285"/>
        <v>0</v>
      </c>
      <c r="Q620" s="3">
        <f t="shared" si="286"/>
        <v>398.42784999999998</v>
      </c>
      <c r="R620" s="3" t="str">
        <f t="shared" si="287"/>
        <v>0</v>
      </c>
      <c r="S620" s="3">
        <f t="shared" si="288"/>
        <v>0</v>
      </c>
      <c r="T620" s="3" t="str">
        <f t="shared" si="289"/>
        <v>0</v>
      </c>
      <c r="U620" s="3"/>
      <c r="V620" s="3"/>
      <c r="W620" s="3"/>
      <c r="X620" s="3"/>
      <c r="Y620" s="3"/>
      <c r="Z620" s="3"/>
    </row>
    <row r="621" spans="1:26" x14ac:dyDescent="0.25">
      <c r="A621" s="2">
        <v>46085</v>
      </c>
      <c r="B621" s="3" t="s">
        <v>170</v>
      </c>
      <c r="C621" s="3" t="s">
        <v>230</v>
      </c>
      <c r="D621" s="170">
        <v>387.4</v>
      </c>
      <c r="E621" s="221">
        <v>0.995</v>
      </c>
      <c r="F621" s="211">
        <f>D621*E621</f>
        <v>385.46299999999997</v>
      </c>
      <c r="G621" s="211">
        <f t="shared" si="277"/>
        <v>0</v>
      </c>
      <c r="H621" s="3"/>
      <c r="I621" s="3" t="str">
        <f t="shared" si="278"/>
        <v>0</v>
      </c>
      <c r="J621" s="3" t="str">
        <f t="shared" si="279"/>
        <v>0</v>
      </c>
      <c r="K621" s="3" t="str">
        <f t="shared" si="280"/>
        <v>0</v>
      </c>
      <c r="L621" s="3" t="str">
        <f t="shared" si="281"/>
        <v>0</v>
      </c>
      <c r="M621" s="3">
        <f t="shared" si="282"/>
        <v>0</v>
      </c>
      <c r="N621" s="3">
        <f t="shared" si="283"/>
        <v>0</v>
      </c>
      <c r="O621" s="3">
        <f t="shared" si="284"/>
        <v>387.4</v>
      </c>
      <c r="P621" s="3" t="str">
        <f t="shared" si="285"/>
        <v>0</v>
      </c>
      <c r="Q621" s="3">
        <f t="shared" si="286"/>
        <v>385.46299999999997</v>
      </c>
      <c r="R621" s="3" t="str">
        <f t="shared" si="287"/>
        <v>0</v>
      </c>
      <c r="S621" s="3">
        <f t="shared" si="288"/>
        <v>0</v>
      </c>
      <c r="T621" s="3" t="str">
        <f t="shared" si="289"/>
        <v>0</v>
      </c>
      <c r="U621" s="3"/>
      <c r="V621" s="3"/>
      <c r="W621" s="3"/>
      <c r="X621" s="3"/>
      <c r="Y621" s="3"/>
      <c r="Z621" s="3"/>
    </row>
    <row r="622" spans="1:26" x14ac:dyDescent="0.25">
      <c r="A622" s="2">
        <v>46085</v>
      </c>
      <c r="B622" s="3" t="s">
        <v>171</v>
      </c>
      <c r="C622" s="169" t="s">
        <v>247</v>
      </c>
      <c r="D622" s="3"/>
      <c r="E622" s="3"/>
      <c r="F622" s="211">
        <f>+D622*E622</f>
        <v>0</v>
      </c>
      <c r="G622" s="172" t="e">
        <f t="shared" si="277"/>
        <v>#DIV/0!</v>
      </c>
      <c r="H622" s="3"/>
      <c r="I622" s="3" t="str">
        <f t="shared" si="278"/>
        <v>0</v>
      </c>
      <c r="J622" s="3" t="str">
        <f t="shared" si="279"/>
        <v>0</v>
      </c>
      <c r="K622" s="3" t="str">
        <f t="shared" si="280"/>
        <v>0</v>
      </c>
      <c r="L622" s="3" t="str">
        <f t="shared" si="281"/>
        <v>0</v>
      </c>
      <c r="M622" s="3">
        <f t="shared" si="282"/>
        <v>0</v>
      </c>
      <c r="N622" s="3">
        <f t="shared" si="283"/>
        <v>0</v>
      </c>
      <c r="O622" s="3" t="str">
        <f t="shared" si="284"/>
        <v>0</v>
      </c>
      <c r="P622" s="3" t="str">
        <f t="shared" si="285"/>
        <v>0</v>
      </c>
      <c r="Q622" s="3" t="str">
        <f t="shared" si="286"/>
        <v>0</v>
      </c>
      <c r="R622" s="3" t="str">
        <f t="shared" si="287"/>
        <v>0</v>
      </c>
      <c r="S622" s="3">
        <f t="shared" si="288"/>
        <v>0</v>
      </c>
      <c r="T622" s="3" t="str">
        <f t="shared" si="289"/>
        <v>0</v>
      </c>
      <c r="U622" s="3">
        <v>20000</v>
      </c>
      <c r="V622" s="3"/>
      <c r="W622" s="3"/>
      <c r="X622" s="3"/>
      <c r="Y622" s="3"/>
      <c r="Z622" s="3"/>
    </row>
    <row r="623" spans="1:26" x14ac:dyDescent="0.25">
      <c r="A623" s="2">
        <v>46085</v>
      </c>
      <c r="B623" s="3" t="s">
        <v>171</v>
      </c>
      <c r="C623" s="3" t="s">
        <v>230</v>
      </c>
      <c r="D623" s="3"/>
      <c r="E623" s="3"/>
      <c r="F623" s="211">
        <f>+D623*E623</f>
        <v>0</v>
      </c>
      <c r="G623" s="172" t="e">
        <f t="shared" si="277"/>
        <v>#DIV/0!</v>
      </c>
      <c r="H623" s="3"/>
      <c r="I623" s="3" t="str">
        <f t="shared" si="278"/>
        <v>0</v>
      </c>
      <c r="J623" s="3" t="str">
        <f t="shared" si="279"/>
        <v>0</v>
      </c>
      <c r="K623" s="3" t="str">
        <f t="shared" si="280"/>
        <v>0</v>
      </c>
      <c r="L623" s="3" t="str">
        <f t="shared" si="281"/>
        <v>0</v>
      </c>
      <c r="M623" s="3">
        <f t="shared" si="282"/>
        <v>0</v>
      </c>
      <c r="N623" s="3">
        <f t="shared" si="283"/>
        <v>0</v>
      </c>
      <c r="O623" s="3" t="str">
        <f t="shared" si="284"/>
        <v>0</v>
      </c>
      <c r="P623" s="3" t="str">
        <f t="shared" si="285"/>
        <v>0</v>
      </c>
      <c r="Q623" s="3" t="str">
        <f t="shared" si="286"/>
        <v>0</v>
      </c>
      <c r="R623" s="3" t="str">
        <f t="shared" si="287"/>
        <v>0</v>
      </c>
      <c r="S623" s="3">
        <f t="shared" si="288"/>
        <v>0</v>
      </c>
      <c r="T623" s="3" t="str">
        <f t="shared" si="289"/>
        <v>0</v>
      </c>
      <c r="U623" s="3"/>
      <c r="V623" s="3">
        <v>35000</v>
      </c>
      <c r="W623" s="3"/>
      <c r="X623" s="3"/>
      <c r="Y623" s="3"/>
      <c r="Z623" s="3"/>
    </row>
    <row r="624" spans="1:26" x14ac:dyDescent="0.25">
      <c r="A624" s="2">
        <v>46086</v>
      </c>
      <c r="B624" s="3" t="s">
        <v>170</v>
      </c>
      <c r="C624" s="3" t="s">
        <v>231</v>
      </c>
      <c r="D624" s="170">
        <v>75.389160000000004</v>
      </c>
      <c r="E624" s="221">
        <v>0.995</v>
      </c>
      <c r="F624" s="211">
        <f>D624*E624</f>
        <v>75.012214200000003</v>
      </c>
      <c r="G624" s="211">
        <f t="shared" si="277"/>
        <v>0</v>
      </c>
      <c r="H624" s="3"/>
      <c r="I624" s="3" t="str">
        <f t="shared" si="278"/>
        <v>0</v>
      </c>
      <c r="J624" s="3" t="str">
        <f t="shared" si="279"/>
        <v>0</v>
      </c>
      <c r="K624" s="3" t="str">
        <f t="shared" si="280"/>
        <v>0</v>
      </c>
      <c r="L624" s="3" t="str">
        <f t="shared" si="281"/>
        <v>0</v>
      </c>
      <c r="M624" s="3">
        <f t="shared" si="282"/>
        <v>0</v>
      </c>
      <c r="N624" s="3">
        <f t="shared" si="283"/>
        <v>0</v>
      </c>
      <c r="O624" s="3">
        <f t="shared" si="284"/>
        <v>75.389160000000004</v>
      </c>
      <c r="P624" s="3" t="str">
        <f t="shared" si="285"/>
        <v>0</v>
      </c>
      <c r="Q624" s="3">
        <f t="shared" si="286"/>
        <v>75.012214200000003</v>
      </c>
      <c r="R624" s="3" t="str">
        <f t="shared" si="287"/>
        <v>0</v>
      </c>
      <c r="S624" s="3">
        <f t="shared" si="288"/>
        <v>0</v>
      </c>
      <c r="T624" s="3" t="str">
        <f t="shared" si="289"/>
        <v>0</v>
      </c>
      <c r="U624" s="3"/>
      <c r="V624" s="3"/>
      <c r="W624" s="3"/>
      <c r="X624" s="3"/>
      <c r="Y624" s="3"/>
      <c r="Z624" s="3"/>
    </row>
    <row r="625" spans="1:26" x14ac:dyDescent="0.25">
      <c r="A625" s="2">
        <v>46086</v>
      </c>
      <c r="B625" s="3" t="s">
        <v>170</v>
      </c>
      <c r="C625" s="169" t="s">
        <v>228</v>
      </c>
      <c r="D625" s="170">
        <v>502.47728849999999</v>
      </c>
      <c r="E625" s="221">
        <v>0.995</v>
      </c>
      <c r="F625" s="211">
        <f>D625*E625</f>
        <v>499.96490205750001</v>
      </c>
      <c r="G625" s="211">
        <f t="shared" si="277"/>
        <v>0</v>
      </c>
      <c r="H625" s="3"/>
      <c r="I625" s="3" t="str">
        <f t="shared" si="278"/>
        <v>0</v>
      </c>
      <c r="J625" s="3" t="str">
        <f t="shared" si="279"/>
        <v>0</v>
      </c>
      <c r="K625" s="3" t="str">
        <f t="shared" si="280"/>
        <v>0</v>
      </c>
      <c r="L625" s="3" t="str">
        <f t="shared" si="281"/>
        <v>0</v>
      </c>
      <c r="M625" s="3">
        <f t="shared" si="282"/>
        <v>0</v>
      </c>
      <c r="N625" s="3">
        <f t="shared" si="283"/>
        <v>0</v>
      </c>
      <c r="O625" s="3">
        <f t="shared" si="284"/>
        <v>502.47728849999999</v>
      </c>
      <c r="P625" s="3" t="str">
        <f t="shared" si="285"/>
        <v>0</v>
      </c>
      <c r="Q625" s="3">
        <f t="shared" si="286"/>
        <v>499.96490205750001</v>
      </c>
      <c r="R625" s="3" t="str">
        <f t="shared" si="287"/>
        <v>0</v>
      </c>
      <c r="S625" s="3">
        <f t="shared" si="288"/>
        <v>0</v>
      </c>
      <c r="T625" s="3" t="str">
        <f t="shared" si="289"/>
        <v>0</v>
      </c>
      <c r="U625" s="3"/>
      <c r="V625" s="3"/>
      <c r="W625" s="3"/>
      <c r="X625" s="3"/>
      <c r="Y625" s="3"/>
      <c r="Z625" s="3"/>
    </row>
    <row r="626" spans="1:26" x14ac:dyDescent="0.25">
      <c r="A626" s="2">
        <v>46087</v>
      </c>
      <c r="B626" s="3" t="s">
        <v>169</v>
      </c>
      <c r="C626" s="169" t="s">
        <v>228</v>
      </c>
      <c r="D626" s="170">
        <v>865.24900000000002</v>
      </c>
      <c r="E626" s="221">
        <v>0.88</v>
      </c>
      <c r="F626" s="211">
        <f>+D626*E626</f>
        <v>761.41912000000002</v>
      </c>
      <c r="G626" s="211">
        <f t="shared" si="277"/>
        <v>21.581128669319465</v>
      </c>
      <c r="H626" s="176">
        <v>18673.05</v>
      </c>
      <c r="I626" s="3">
        <f t="shared" si="278"/>
        <v>865.24900000000002</v>
      </c>
      <c r="J626" s="3" t="str">
        <f t="shared" si="279"/>
        <v>0</v>
      </c>
      <c r="K626" s="3">
        <f t="shared" si="280"/>
        <v>761.41912000000002</v>
      </c>
      <c r="L626" s="3" t="str">
        <f t="shared" si="281"/>
        <v>0</v>
      </c>
      <c r="M626" s="3">
        <f t="shared" si="282"/>
        <v>19606.702499999999</v>
      </c>
      <c r="N626" s="3">
        <f t="shared" si="283"/>
        <v>0</v>
      </c>
      <c r="O626" s="3" t="str">
        <f t="shared" si="284"/>
        <v>0</v>
      </c>
      <c r="P626" s="3" t="str">
        <f t="shared" si="285"/>
        <v>0</v>
      </c>
      <c r="Q626" s="3" t="str">
        <f t="shared" si="286"/>
        <v>0</v>
      </c>
      <c r="R626" s="3" t="str">
        <f t="shared" si="287"/>
        <v>0</v>
      </c>
      <c r="S626" s="3">
        <f t="shared" si="288"/>
        <v>0</v>
      </c>
      <c r="T626" s="3" t="str">
        <f t="shared" si="289"/>
        <v>0</v>
      </c>
      <c r="U626" s="3"/>
      <c r="V626" s="3"/>
      <c r="W626" s="3"/>
      <c r="X626" s="3"/>
      <c r="Y626" s="3"/>
      <c r="Z626" s="3"/>
    </row>
    <row r="627" spans="1:26" x14ac:dyDescent="0.25">
      <c r="A627" s="2">
        <v>46087</v>
      </c>
      <c r="B627" s="3" t="s">
        <v>169</v>
      </c>
      <c r="C627" s="169" t="s">
        <v>228</v>
      </c>
      <c r="D627" s="170">
        <v>104.54464999999999</v>
      </c>
      <c r="E627" s="221">
        <v>0.88</v>
      </c>
      <c r="F627" s="211">
        <f>+D627*E627</f>
        <v>91.999291999999997</v>
      </c>
      <c r="G627" s="211">
        <f t="shared" si="277"/>
        <v>33.317821619757687</v>
      </c>
      <c r="H627" s="176">
        <v>3483.2</v>
      </c>
      <c r="I627" s="3">
        <f t="shared" si="278"/>
        <v>104.54464999999999</v>
      </c>
      <c r="J627" s="3" t="str">
        <f t="shared" si="279"/>
        <v>0</v>
      </c>
      <c r="K627" s="3">
        <f t="shared" si="280"/>
        <v>91.999291999999997</v>
      </c>
      <c r="L627" s="3" t="str">
        <f t="shared" si="281"/>
        <v>0</v>
      </c>
      <c r="M627" s="3">
        <f t="shared" si="282"/>
        <v>3657.3599999999997</v>
      </c>
      <c r="N627" s="3">
        <f t="shared" si="283"/>
        <v>0</v>
      </c>
      <c r="O627" s="3" t="str">
        <f t="shared" si="284"/>
        <v>0</v>
      </c>
      <c r="P627" s="3" t="str">
        <f t="shared" si="285"/>
        <v>0</v>
      </c>
      <c r="Q627" s="3" t="str">
        <f t="shared" si="286"/>
        <v>0</v>
      </c>
      <c r="R627" s="3" t="str">
        <f t="shared" si="287"/>
        <v>0</v>
      </c>
      <c r="S627" s="3">
        <f t="shared" si="288"/>
        <v>0</v>
      </c>
      <c r="T627" s="3" t="str">
        <f t="shared" si="289"/>
        <v>0</v>
      </c>
      <c r="U627" s="3"/>
      <c r="V627" s="3"/>
      <c r="W627" s="3"/>
      <c r="X627" s="3"/>
      <c r="Y627" s="3"/>
      <c r="Z627" s="3"/>
    </row>
    <row r="628" spans="1:26" x14ac:dyDescent="0.25">
      <c r="A628" s="2">
        <v>46088</v>
      </c>
      <c r="B628" s="3" t="s">
        <v>169</v>
      </c>
      <c r="C628" s="169" t="s">
        <v>247</v>
      </c>
      <c r="D628" s="170">
        <v>995</v>
      </c>
      <c r="E628" s="221">
        <v>0.88</v>
      </c>
      <c r="F628" s="211">
        <f>+D628*E628</f>
        <v>875.6</v>
      </c>
      <c r="G628" s="211">
        <f t="shared" si="277"/>
        <v>0.60572864321608044</v>
      </c>
      <c r="H628" s="176">
        <v>602.70000000000005</v>
      </c>
      <c r="I628" s="3">
        <f t="shared" si="278"/>
        <v>995</v>
      </c>
      <c r="J628" s="3" t="str">
        <f t="shared" si="279"/>
        <v>0</v>
      </c>
      <c r="K628" s="3">
        <f t="shared" si="280"/>
        <v>875.6</v>
      </c>
      <c r="L628" s="3" t="str">
        <f t="shared" si="281"/>
        <v>0</v>
      </c>
      <c r="M628" s="3">
        <f t="shared" si="282"/>
        <v>632.83500000000004</v>
      </c>
      <c r="N628" s="3">
        <f t="shared" si="283"/>
        <v>0</v>
      </c>
      <c r="O628" s="3" t="str">
        <f t="shared" si="284"/>
        <v>0</v>
      </c>
      <c r="P628" s="3" t="str">
        <f t="shared" si="285"/>
        <v>0</v>
      </c>
      <c r="Q628" s="3" t="str">
        <f t="shared" si="286"/>
        <v>0</v>
      </c>
      <c r="R628" s="3" t="str">
        <f t="shared" si="287"/>
        <v>0</v>
      </c>
      <c r="S628" s="3">
        <f t="shared" si="288"/>
        <v>0</v>
      </c>
      <c r="T628" s="3" t="str">
        <f t="shared" si="289"/>
        <v>0</v>
      </c>
      <c r="U628" s="3"/>
      <c r="V628" s="3"/>
      <c r="W628" s="3"/>
      <c r="X628" s="3"/>
      <c r="Y628" s="3"/>
      <c r="Z628" s="3"/>
    </row>
    <row r="629" spans="1:26" x14ac:dyDescent="0.25">
      <c r="A629" s="2">
        <v>46088</v>
      </c>
      <c r="B629" s="3" t="s">
        <v>170</v>
      </c>
      <c r="C629" s="3" t="s">
        <v>249</v>
      </c>
      <c r="D629" s="170">
        <v>1662.76</v>
      </c>
      <c r="E629" s="221">
        <v>0.995</v>
      </c>
      <c r="F629" s="211">
        <f>+D629*E629</f>
        <v>1654.4462000000001</v>
      </c>
      <c r="G629" s="211">
        <f t="shared" si="277"/>
        <v>0</v>
      </c>
      <c r="H629" s="3"/>
      <c r="I629" s="3" t="str">
        <f t="shared" si="278"/>
        <v>0</v>
      </c>
      <c r="J629" s="3" t="str">
        <f t="shared" si="279"/>
        <v>0</v>
      </c>
      <c r="K629" s="3" t="str">
        <f t="shared" si="280"/>
        <v>0</v>
      </c>
      <c r="L629" s="3" t="str">
        <f t="shared" si="281"/>
        <v>0</v>
      </c>
      <c r="M629" s="3">
        <f t="shared" si="282"/>
        <v>0</v>
      </c>
      <c r="N629" s="3">
        <f t="shared" si="283"/>
        <v>0</v>
      </c>
      <c r="O629" s="3">
        <f t="shared" si="284"/>
        <v>1662.76</v>
      </c>
      <c r="P629" s="3" t="str">
        <f t="shared" si="285"/>
        <v>0</v>
      </c>
      <c r="Q629" s="3">
        <f t="shared" si="286"/>
        <v>1654.4462000000001</v>
      </c>
      <c r="R629" s="3" t="str">
        <f t="shared" si="287"/>
        <v>0</v>
      </c>
      <c r="S629" s="3">
        <f t="shared" si="288"/>
        <v>0</v>
      </c>
      <c r="T629" s="3" t="str">
        <f t="shared" si="289"/>
        <v>0</v>
      </c>
      <c r="U629" s="3"/>
      <c r="V629" s="3"/>
      <c r="W629" s="3"/>
      <c r="X629" s="3"/>
      <c r="Y629" s="3"/>
      <c r="Z629" s="3"/>
    </row>
    <row r="630" spans="1:26" x14ac:dyDescent="0.25">
      <c r="A630" s="2">
        <v>46090</v>
      </c>
      <c r="B630" s="3" t="s">
        <v>169</v>
      </c>
      <c r="C630" s="169" t="s">
        <v>228</v>
      </c>
      <c r="D630" s="170">
        <v>263.64800000000002</v>
      </c>
      <c r="E630" s="221">
        <v>0.88</v>
      </c>
      <c r="F630" s="211">
        <f>+D630*E630</f>
        <v>232.01024000000001</v>
      </c>
      <c r="G630" s="211">
        <f t="shared" si="277"/>
        <v>57.169407695108625</v>
      </c>
      <c r="H630" s="3">
        <v>15072.6</v>
      </c>
      <c r="I630" s="3">
        <f t="shared" si="278"/>
        <v>263.64800000000002</v>
      </c>
      <c r="J630" s="3" t="str">
        <f t="shared" si="279"/>
        <v>0</v>
      </c>
      <c r="K630" s="3">
        <f t="shared" si="280"/>
        <v>232.01024000000001</v>
      </c>
      <c r="L630" s="3" t="str">
        <f t="shared" si="281"/>
        <v>0</v>
      </c>
      <c r="M630" s="3">
        <f t="shared" si="282"/>
        <v>15826.23</v>
      </c>
      <c r="N630" s="3">
        <f t="shared" si="283"/>
        <v>0</v>
      </c>
      <c r="O630" s="3" t="str">
        <f t="shared" si="284"/>
        <v>0</v>
      </c>
      <c r="P630" s="3" t="str">
        <f t="shared" si="285"/>
        <v>0</v>
      </c>
      <c r="Q630" s="3" t="str">
        <f t="shared" si="286"/>
        <v>0</v>
      </c>
      <c r="R630" s="3" t="str">
        <f t="shared" si="287"/>
        <v>0</v>
      </c>
      <c r="S630" s="3">
        <f t="shared" si="288"/>
        <v>0</v>
      </c>
      <c r="T630" s="3" t="str">
        <f t="shared" si="289"/>
        <v>0</v>
      </c>
      <c r="U630" s="3"/>
      <c r="V630" s="3"/>
      <c r="W630" s="3"/>
      <c r="X630" s="3"/>
      <c r="Y630" s="3"/>
      <c r="Z630" s="3"/>
    </row>
    <row r="631" spans="1:26" x14ac:dyDescent="0.25">
      <c r="A631" s="2">
        <v>46090</v>
      </c>
      <c r="B631" s="3" t="s">
        <v>170</v>
      </c>
      <c r="C631" s="169" t="s">
        <v>229</v>
      </c>
      <c r="D631" s="170">
        <v>75.768000000000001</v>
      </c>
      <c r="E631" s="221">
        <v>0.995</v>
      </c>
      <c r="F631" s="211">
        <f>D631*E631</f>
        <v>75.389160000000004</v>
      </c>
      <c r="G631" s="211">
        <f t="shared" si="277"/>
        <v>0</v>
      </c>
      <c r="H631" s="3"/>
      <c r="I631" s="3" t="str">
        <f t="shared" si="278"/>
        <v>0</v>
      </c>
      <c r="J631" s="3" t="str">
        <f t="shared" si="279"/>
        <v>0</v>
      </c>
      <c r="K631" s="3" t="str">
        <f t="shared" si="280"/>
        <v>0</v>
      </c>
      <c r="L631" s="3" t="str">
        <f t="shared" si="281"/>
        <v>0</v>
      </c>
      <c r="M631" s="3">
        <f t="shared" si="282"/>
        <v>0</v>
      </c>
      <c r="N631" s="3">
        <f t="shared" si="283"/>
        <v>0</v>
      </c>
      <c r="O631" s="3">
        <f t="shared" si="284"/>
        <v>75.768000000000001</v>
      </c>
      <c r="P631" s="3" t="str">
        <f t="shared" si="285"/>
        <v>0</v>
      </c>
      <c r="Q631" s="3">
        <f t="shared" si="286"/>
        <v>75.389160000000004</v>
      </c>
      <c r="R631" s="3" t="str">
        <f t="shared" si="287"/>
        <v>0</v>
      </c>
      <c r="S631" s="3">
        <f t="shared" si="288"/>
        <v>0</v>
      </c>
      <c r="T631" s="3" t="str">
        <f t="shared" si="289"/>
        <v>0</v>
      </c>
      <c r="U631" s="3"/>
      <c r="V631" s="3"/>
      <c r="W631" s="3"/>
      <c r="X631" s="3"/>
      <c r="Y631" s="3"/>
      <c r="Z631" s="3"/>
    </row>
    <row r="632" spans="1:26" x14ac:dyDescent="0.25">
      <c r="A632" s="2">
        <v>46090</v>
      </c>
      <c r="B632" s="3" t="s">
        <v>170</v>
      </c>
      <c r="C632" s="3" t="s">
        <v>230</v>
      </c>
      <c r="D632" s="170">
        <v>505.00229999999999</v>
      </c>
      <c r="E632" s="221">
        <v>0.995</v>
      </c>
      <c r="F632" s="211">
        <f>D632*E632</f>
        <v>502.47728849999999</v>
      </c>
      <c r="G632" s="211">
        <f t="shared" si="277"/>
        <v>0</v>
      </c>
      <c r="H632" s="3"/>
      <c r="I632" s="3" t="str">
        <f t="shared" si="278"/>
        <v>0</v>
      </c>
      <c r="J632" s="3" t="str">
        <f t="shared" si="279"/>
        <v>0</v>
      </c>
      <c r="K632" s="3" t="str">
        <f t="shared" si="280"/>
        <v>0</v>
      </c>
      <c r="L632" s="3" t="str">
        <f t="shared" si="281"/>
        <v>0</v>
      </c>
      <c r="M632" s="3">
        <f t="shared" si="282"/>
        <v>0</v>
      </c>
      <c r="N632" s="3">
        <f t="shared" si="283"/>
        <v>0</v>
      </c>
      <c r="O632" s="3">
        <f t="shared" si="284"/>
        <v>505.00229999999999</v>
      </c>
      <c r="P632" s="3" t="str">
        <f t="shared" si="285"/>
        <v>0</v>
      </c>
      <c r="Q632" s="3">
        <f t="shared" si="286"/>
        <v>502.47728849999999</v>
      </c>
      <c r="R632" s="3" t="str">
        <f t="shared" si="287"/>
        <v>0</v>
      </c>
      <c r="S632" s="3">
        <f t="shared" si="288"/>
        <v>0</v>
      </c>
      <c r="T632" s="3" t="str">
        <f t="shared" si="289"/>
        <v>0</v>
      </c>
      <c r="U632" s="3"/>
      <c r="V632" s="3"/>
      <c r="W632" s="3"/>
      <c r="X632" s="3"/>
      <c r="Y632" s="3"/>
      <c r="Z632" s="3"/>
    </row>
    <row r="633" spans="1:26" x14ac:dyDescent="0.25">
      <c r="A633" s="2">
        <v>46090</v>
      </c>
      <c r="B633" s="3" t="s">
        <v>170</v>
      </c>
      <c r="C633" s="169" t="s">
        <v>253</v>
      </c>
      <c r="D633" s="170">
        <v>988.85599999999999</v>
      </c>
      <c r="E633" s="221">
        <v>0.875</v>
      </c>
      <c r="F633" s="211">
        <f>D633*E633</f>
        <v>865.24900000000002</v>
      </c>
      <c r="G633" s="211">
        <f t="shared" si="277"/>
        <v>1.2082649040911921</v>
      </c>
      <c r="H633" s="3">
        <v>1194.8</v>
      </c>
      <c r="I633" s="3" t="str">
        <f t="shared" si="278"/>
        <v>0</v>
      </c>
      <c r="J633" s="3" t="str">
        <f t="shared" si="279"/>
        <v>0</v>
      </c>
      <c r="K633" s="3" t="str">
        <f t="shared" si="280"/>
        <v>0</v>
      </c>
      <c r="L633" s="3" t="str">
        <f t="shared" si="281"/>
        <v>0</v>
      </c>
      <c r="M633" s="3">
        <f t="shared" si="282"/>
        <v>0</v>
      </c>
      <c r="N633" s="3">
        <f t="shared" si="283"/>
        <v>0</v>
      </c>
      <c r="O633" s="3">
        <f t="shared" si="284"/>
        <v>988.85599999999999</v>
      </c>
      <c r="P633" s="3" t="str">
        <f t="shared" si="285"/>
        <v>0</v>
      </c>
      <c r="Q633" s="3">
        <f t="shared" si="286"/>
        <v>865.24900000000002</v>
      </c>
      <c r="R633" s="3" t="str">
        <f t="shared" si="287"/>
        <v>0</v>
      </c>
      <c r="S633" s="3">
        <f t="shared" si="288"/>
        <v>1254.54</v>
      </c>
      <c r="T633" s="3" t="str">
        <f t="shared" si="289"/>
        <v>0</v>
      </c>
      <c r="U633" s="3"/>
      <c r="V633" s="3"/>
      <c r="W633" s="3"/>
      <c r="X633" s="3"/>
      <c r="Y633" s="3"/>
      <c r="Z633" s="3"/>
    </row>
    <row r="634" spans="1:26" x14ac:dyDescent="0.25">
      <c r="A634" s="2">
        <v>46090</v>
      </c>
      <c r="B634" s="3" t="s">
        <v>209</v>
      </c>
      <c r="C634" s="169" t="s">
        <v>253</v>
      </c>
      <c r="D634" s="170">
        <v>105.07</v>
      </c>
      <c r="E634" s="221">
        <v>0.995</v>
      </c>
      <c r="F634" s="211">
        <f>+D634*E634</f>
        <v>104.54464999999999</v>
      </c>
      <c r="G634" s="211">
        <f t="shared" si="277"/>
        <v>0</v>
      </c>
      <c r="H634" s="3"/>
      <c r="I634" s="3" t="str">
        <f t="shared" si="278"/>
        <v>0</v>
      </c>
      <c r="J634" s="3" t="str">
        <f t="shared" si="279"/>
        <v>0</v>
      </c>
      <c r="K634" s="3" t="str">
        <f t="shared" si="280"/>
        <v>0</v>
      </c>
      <c r="L634" s="3" t="str">
        <f t="shared" si="281"/>
        <v>0</v>
      </c>
      <c r="M634" s="3">
        <f t="shared" si="282"/>
        <v>0</v>
      </c>
      <c r="N634" s="3">
        <f t="shared" si="283"/>
        <v>0</v>
      </c>
      <c r="O634" s="3" t="str">
        <f t="shared" si="284"/>
        <v>0</v>
      </c>
      <c r="P634" s="3">
        <f t="shared" si="285"/>
        <v>105.07</v>
      </c>
      <c r="Q634" s="3" t="str">
        <f t="shared" si="286"/>
        <v>0</v>
      </c>
      <c r="R634" s="3">
        <f t="shared" si="287"/>
        <v>104.54464999999999</v>
      </c>
      <c r="S634" s="3">
        <f t="shared" si="288"/>
        <v>0</v>
      </c>
      <c r="T634" s="3">
        <f t="shared" si="289"/>
        <v>0</v>
      </c>
      <c r="U634" s="3"/>
      <c r="V634" s="3"/>
      <c r="W634" s="3"/>
      <c r="X634" s="3"/>
      <c r="Y634" s="3"/>
      <c r="Z634" s="3"/>
    </row>
    <row r="635" spans="1:26" x14ac:dyDescent="0.25">
      <c r="A635" s="2">
        <v>46090</v>
      </c>
      <c r="B635" s="3" t="s">
        <v>171</v>
      </c>
      <c r="C635" s="169" t="s">
        <v>228</v>
      </c>
      <c r="D635" s="3"/>
      <c r="E635" s="3"/>
      <c r="F635" s="211">
        <f>+D635*E635</f>
        <v>0</v>
      </c>
      <c r="G635" s="172" t="e">
        <f t="shared" si="277"/>
        <v>#DIV/0!</v>
      </c>
      <c r="H635" s="3"/>
      <c r="I635" s="3" t="str">
        <f t="shared" si="278"/>
        <v>0</v>
      </c>
      <c r="J635" s="3" t="str">
        <f t="shared" si="279"/>
        <v>0</v>
      </c>
      <c r="K635" s="3" t="str">
        <f t="shared" si="280"/>
        <v>0</v>
      </c>
      <c r="L635" s="3" t="str">
        <f t="shared" si="281"/>
        <v>0</v>
      </c>
      <c r="M635" s="3">
        <f t="shared" si="282"/>
        <v>0</v>
      </c>
      <c r="N635" s="3">
        <f t="shared" si="283"/>
        <v>0</v>
      </c>
      <c r="O635" s="3" t="str">
        <f t="shared" si="284"/>
        <v>0</v>
      </c>
      <c r="P635" s="3" t="str">
        <f t="shared" si="285"/>
        <v>0</v>
      </c>
      <c r="Q635" s="3" t="str">
        <f t="shared" si="286"/>
        <v>0</v>
      </c>
      <c r="R635" s="3" t="str">
        <f t="shared" si="287"/>
        <v>0</v>
      </c>
      <c r="S635" s="3">
        <f t="shared" si="288"/>
        <v>0</v>
      </c>
      <c r="T635" s="3" t="str">
        <f t="shared" si="289"/>
        <v>0</v>
      </c>
      <c r="U635" s="3">
        <v>50000</v>
      </c>
      <c r="V635" s="3"/>
      <c r="W635" s="3"/>
      <c r="X635" s="3"/>
      <c r="Y635" s="3"/>
      <c r="Z635" s="3"/>
    </row>
    <row r="636" spans="1:26" x14ac:dyDescent="0.25">
      <c r="A636" s="2">
        <v>46091</v>
      </c>
      <c r="B636" s="3" t="s">
        <v>169</v>
      </c>
      <c r="C636" s="169" t="s">
        <v>247</v>
      </c>
      <c r="D636" s="170">
        <v>159.69999999999999</v>
      </c>
      <c r="E636" s="221">
        <v>0.88</v>
      </c>
      <c r="F636" s="211">
        <f>D636*E636</f>
        <v>140.536</v>
      </c>
      <c r="G636" s="211">
        <f t="shared" si="277"/>
        <v>10</v>
      </c>
      <c r="H636" s="3">
        <v>1597</v>
      </c>
      <c r="I636" s="3">
        <f t="shared" si="278"/>
        <v>159.69999999999999</v>
      </c>
      <c r="J636" s="3" t="str">
        <f t="shared" si="279"/>
        <v>0</v>
      </c>
      <c r="K636" s="3">
        <f t="shared" si="280"/>
        <v>140.536</v>
      </c>
      <c r="L636" s="3" t="str">
        <f t="shared" si="281"/>
        <v>0</v>
      </c>
      <c r="M636" s="3">
        <f t="shared" si="282"/>
        <v>1676.85</v>
      </c>
      <c r="N636" s="3">
        <f t="shared" si="283"/>
        <v>0</v>
      </c>
      <c r="O636" s="3" t="str">
        <f t="shared" si="284"/>
        <v>0</v>
      </c>
      <c r="P636" s="3" t="str">
        <f t="shared" si="285"/>
        <v>0</v>
      </c>
      <c r="Q636" s="3" t="str">
        <f t="shared" si="286"/>
        <v>0</v>
      </c>
      <c r="R636" s="3" t="str">
        <f t="shared" si="287"/>
        <v>0</v>
      </c>
      <c r="S636" s="3">
        <f t="shared" si="288"/>
        <v>0</v>
      </c>
      <c r="T636" s="3" t="str">
        <f t="shared" si="289"/>
        <v>0</v>
      </c>
      <c r="U636" s="3"/>
      <c r="V636" s="3"/>
      <c r="W636" s="3"/>
      <c r="X636" s="3"/>
      <c r="Y636" s="3"/>
      <c r="Z636" s="3"/>
    </row>
    <row r="637" spans="1:26" x14ac:dyDescent="0.25">
      <c r="A637" s="2">
        <v>46091</v>
      </c>
      <c r="B637" s="3" t="s">
        <v>170</v>
      </c>
      <c r="C637" s="3" t="s">
        <v>235</v>
      </c>
      <c r="D637" s="170">
        <v>301.68</v>
      </c>
      <c r="E637" s="221">
        <v>0.995</v>
      </c>
      <c r="F637" s="211">
        <f>D637*E637</f>
        <v>300.17160000000001</v>
      </c>
      <c r="G637" s="211">
        <f t="shared" ref="G637:G674" si="301">+H637/D637</f>
        <v>0</v>
      </c>
      <c r="H637" s="3"/>
      <c r="I637" s="3" t="str">
        <f t="shared" si="278"/>
        <v>0</v>
      </c>
      <c r="J637" s="3" t="str">
        <f t="shared" si="279"/>
        <v>0</v>
      </c>
      <c r="K637" s="3" t="str">
        <f t="shared" si="280"/>
        <v>0</v>
      </c>
      <c r="L637" s="3" t="str">
        <f t="shared" si="281"/>
        <v>0</v>
      </c>
      <c r="M637" s="3">
        <f t="shared" si="282"/>
        <v>0</v>
      </c>
      <c r="N637" s="3">
        <f t="shared" si="283"/>
        <v>0</v>
      </c>
      <c r="O637" s="3">
        <f t="shared" si="284"/>
        <v>301.68</v>
      </c>
      <c r="P637" s="3" t="str">
        <f t="shared" si="285"/>
        <v>0</v>
      </c>
      <c r="Q637" s="3">
        <f t="shared" si="286"/>
        <v>300.17160000000001</v>
      </c>
      <c r="R637" s="3" t="str">
        <f t="shared" si="287"/>
        <v>0</v>
      </c>
      <c r="S637" s="3">
        <f t="shared" si="288"/>
        <v>0</v>
      </c>
      <c r="T637" s="3" t="str">
        <f t="shared" si="289"/>
        <v>0</v>
      </c>
      <c r="U637" s="3"/>
      <c r="V637" s="3"/>
      <c r="W637" s="3"/>
      <c r="X637" s="3"/>
      <c r="Y637" s="3"/>
      <c r="Z637" s="3"/>
    </row>
    <row r="638" spans="1:26" x14ac:dyDescent="0.25">
      <c r="A638" s="2">
        <v>46091</v>
      </c>
      <c r="B638" s="3" t="s">
        <v>170</v>
      </c>
      <c r="C638" s="169" t="s">
        <v>228</v>
      </c>
      <c r="D638" s="170">
        <v>567.9</v>
      </c>
      <c r="E638" s="221">
        <v>0.995</v>
      </c>
      <c r="F638" s="211">
        <f>D638*E638</f>
        <v>565.06049999999993</v>
      </c>
      <c r="G638" s="211">
        <f t="shared" si="301"/>
        <v>0</v>
      </c>
      <c r="H638" s="3"/>
      <c r="I638" s="3" t="str">
        <f t="shared" si="278"/>
        <v>0</v>
      </c>
      <c r="J638" s="3" t="str">
        <f t="shared" si="279"/>
        <v>0</v>
      </c>
      <c r="K638" s="3" t="str">
        <f t="shared" si="280"/>
        <v>0</v>
      </c>
      <c r="L638" s="3" t="str">
        <f t="shared" si="281"/>
        <v>0</v>
      </c>
      <c r="M638" s="3">
        <f t="shared" si="282"/>
        <v>0</v>
      </c>
      <c r="N638" s="3">
        <f t="shared" si="283"/>
        <v>0</v>
      </c>
      <c r="O638" s="3">
        <f t="shared" si="284"/>
        <v>567.9</v>
      </c>
      <c r="P638" s="3" t="str">
        <f t="shared" si="285"/>
        <v>0</v>
      </c>
      <c r="Q638" s="3">
        <f t="shared" si="286"/>
        <v>565.06049999999993</v>
      </c>
      <c r="R638" s="3" t="str">
        <f t="shared" si="287"/>
        <v>0</v>
      </c>
      <c r="S638" s="3">
        <f t="shared" si="288"/>
        <v>0</v>
      </c>
      <c r="T638" s="3" t="str">
        <f t="shared" si="289"/>
        <v>0</v>
      </c>
      <c r="U638" s="3"/>
      <c r="V638" s="3"/>
      <c r="W638" s="3"/>
      <c r="X638" s="3"/>
      <c r="Y638" s="3"/>
      <c r="Z638" s="3"/>
    </row>
    <row r="639" spans="1:26" x14ac:dyDescent="0.25">
      <c r="A639" s="2">
        <v>46092</v>
      </c>
      <c r="B639" s="3" t="s">
        <v>169</v>
      </c>
      <c r="C639" s="169" t="s">
        <v>247</v>
      </c>
      <c r="D639" s="170">
        <v>78.8</v>
      </c>
      <c r="E639" s="221">
        <v>0.88</v>
      </c>
      <c r="F639" s="211">
        <f>+D639*E639</f>
        <v>69.343999999999994</v>
      </c>
      <c r="G639" s="211">
        <f t="shared" si="301"/>
        <v>4</v>
      </c>
      <c r="H639" s="3">
        <v>315.2</v>
      </c>
      <c r="I639" s="3">
        <f t="shared" si="278"/>
        <v>78.8</v>
      </c>
      <c r="J639" s="3" t="str">
        <f t="shared" si="279"/>
        <v>0</v>
      </c>
      <c r="K639" s="3">
        <f t="shared" si="280"/>
        <v>69.343999999999994</v>
      </c>
      <c r="L639" s="3" t="str">
        <f t="shared" si="281"/>
        <v>0</v>
      </c>
      <c r="M639" s="3">
        <f t="shared" si="282"/>
        <v>330.96</v>
      </c>
      <c r="N639" s="3">
        <f t="shared" si="283"/>
        <v>0</v>
      </c>
      <c r="O639" s="3" t="str">
        <f t="shared" si="284"/>
        <v>0</v>
      </c>
      <c r="P639" s="3" t="str">
        <f t="shared" si="285"/>
        <v>0</v>
      </c>
      <c r="Q639" s="3" t="str">
        <f t="shared" si="286"/>
        <v>0</v>
      </c>
      <c r="R639" s="3" t="str">
        <f t="shared" si="287"/>
        <v>0</v>
      </c>
      <c r="S639" s="3">
        <f t="shared" si="288"/>
        <v>0</v>
      </c>
      <c r="T639" s="3" t="str">
        <f t="shared" si="289"/>
        <v>0</v>
      </c>
      <c r="U639" s="3"/>
      <c r="V639" s="3"/>
      <c r="W639" s="3"/>
      <c r="X639" s="3"/>
      <c r="Y639" s="3"/>
      <c r="Z639" s="3"/>
    </row>
    <row r="640" spans="1:26" x14ac:dyDescent="0.25">
      <c r="A640" s="2">
        <v>46092</v>
      </c>
      <c r="B640" s="3" t="s">
        <v>170</v>
      </c>
      <c r="C640" s="169" t="s">
        <v>253</v>
      </c>
      <c r="D640" s="170">
        <v>20.52</v>
      </c>
      <c r="E640" s="221">
        <v>0.995</v>
      </c>
      <c r="F640" s="211">
        <f>D640*E640</f>
        <v>20.417400000000001</v>
      </c>
      <c r="G640" s="211">
        <f t="shared" si="301"/>
        <v>0</v>
      </c>
      <c r="H640" s="3"/>
      <c r="I640" s="3" t="str">
        <f t="shared" si="278"/>
        <v>0</v>
      </c>
      <c r="J640" s="3" t="str">
        <f t="shared" si="279"/>
        <v>0</v>
      </c>
      <c r="K640" s="3" t="str">
        <f t="shared" si="280"/>
        <v>0</v>
      </c>
      <c r="L640" s="3" t="str">
        <f t="shared" si="281"/>
        <v>0</v>
      </c>
      <c r="M640" s="3">
        <f t="shared" si="282"/>
        <v>0</v>
      </c>
      <c r="N640" s="3">
        <f t="shared" si="283"/>
        <v>0</v>
      </c>
      <c r="O640" s="3">
        <f t="shared" si="284"/>
        <v>20.52</v>
      </c>
      <c r="P640" s="3" t="str">
        <f t="shared" si="285"/>
        <v>0</v>
      </c>
      <c r="Q640" s="3">
        <f t="shared" si="286"/>
        <v>20.417400000000001</v>
      </c>
      <c r="R640" s="3" t="str">
        <f t="shared" si="287"/>
        <v>0</v>
      </c>
      <c r="S640" s="3">
        <f t="shared" si="288"/>
        <v>0</v>
      </c>
      <c r="T640" s="3" t="str">
        <f t="shared" si="289"/>
        <v>0</v>
      </c>
      <c r="U640" s="3"/>
      <c r="V640" s="3"/>
      <c r="W640" s="3"/>
      <c r="X640" s="3"/>
      <c r="Y640" s="3"/>
      <c r="Z640" s="3"/>
    </row>
    <row r="641" spans="1:26" x14ac:dyDescent="0.25">
      <c r="A641" s="2">
        <v>46092</v>
      </c>
      <c r="B641" s="3" t="s">
        <v>170</v>
      </c>
      <c r="C641" s="169" t="s">
        <v>233</v>
      </c>
      <c r="D641" s="170">
        <v>1000</v>
      </c>
      <c r="E641" s="221">
        <v>0.995</v>
      </c>
      <c r="F641" s="211">
        <f>D641*E641</f>
        <v>995</v>
      </c>
      <c r="G641" s="211">
        <f t="shared" si="301"/>
        <v>0</v>
      </c>
      <c r="H641" s="3"/>
      <c r="I641" s="3" t="str">
        <f t="shared" si="278"/>
        <v>0</v>
      </c>
      <c r="J641" s="3" t="str">
        <f t="shared" si="279"/>
        <v>0</v>
      </c>
      <c r="K641" s="3" t="str">
        <f t="shared" si="280"/>
        <v>0</v>
      </c>
      <c r="L641" s="3" t="str">
        <f t="shared" si="281"/>
        <v>0</v>
      </c>
      <c r="M641" s="3">
        <f t="shared" si="282"/>
        <v>0</v>
      </c>
      <c r="N641" s="3">
        <f t="shared" si="283"/>
        <v>0</v>
      </c>
      <c r="O641" s="3">
        <f t="shared" si="284"/>
        <v>1000</v>
      </c>
      <c r="P641" s="3" t="str">
        <f t="shared" si="285"/>
        <v>0</v>
      </c>
      <c r="Q641" s="3">
        <f t="shared" si="286"/>
        <v>995</v>
      </c>
      <c r="R641" s="3" t="str">
        <f t="shared" si="287"/>
        <v>0</v>
      </c>
      <c r="S641" s="3">
        <f t="shared" si="288"/>
        <v>0</v>
      </c>
      <c r="T641" s="3" t="str">
        <f t="shared" si="289"/>
        <v>0</v>
      </c>
      <c r="U641" s="3"/>
      <c r="V641" s="3"/>
      <c r="W641" s="3"/>
      <c r="X641" s="3"/>
      <c r="Y641" s="3"/>
      <c r="Z641" s="3"/>
    </row>
    <row r="642" spans="1:26" x14ac:dyDescent="0.25">
      <c r="A642" s="2">
        <v>46092</v>
      </c>
      <c r="B642" s="3" t="s">
        <v>211</v>
      </c>
      <c r="C642" s="169" t="s">
        <v>253</v>
      </c>
      <c r="D642" s="3"/>
      <c r="E642" s="3"/>
      <c r="F642" s="211">
        <f>+D642*E642</f>
        <v>0</v>
      </c>
      <c r="G642" s="172" t="e">
        <f t="shared" si="301"/>
        <v>#DIV/0!</v>
      </c>
      <c r="H642" s="3"/>
      <c r="I642" s="3" t="str">
        <f t="shared" ref="I642:I686" si="302">IF(B642="SALES",D642,"0")</f>
        <v>0</v>
      </c>
      <c r="J642" s="3" t="str">
        <f t="shared" ref="J642:J686" si="303">IF(B642="SALES RETURN",D642,"0")</f>
        <v>0</v>
      </c>
      <c r="K642" s="3" t="str">
        <f t="shared" ref="K642:K686" si="304">IF(B642="SALES",F642,"0")</f>
        <v>0</v>
      </c>
      <c r="L642" s="3" t="str">
        <f t="shared" ref="L642:L686" si="305">IF(B642="SALES RETURN",F642,"0")</f>
        <v>0</v>
      </c>
      <c r="M642" s="3">
        <f t="shared" ref="M642:M686" si="306">IF(B642="SALES",H642,"0")+IF(B642="SALES",H642,"0")*5%</f>
        <v>0</v>
      </c>
      <c r="N642" s="3">
        <f t="shared" ref="N642:N686" si="307">IF(B642="SALES RETURN",H642,"0")+IF(B642="SALES RETURN",H642,"0")*5%</f>
        <v>0</v>
      </c>
      <c r="O642" s="3" t="str">
        <f t="shared" ref="O642:O686" si="308">IF(B642="PURCHASE",D642,"0")</f>
        <v>0</v>
      </c>
      <c r="P642" s="3" t="str">
        <f t="shared" ref="P642:P686" si="309">IF(B642="METAL PAYMENT",D642,"0")</f>
        <v>0</v>
      </c>
      <c r="Q642" s="3" t="str">
        <f t="shared" ref="Q642:Q686" si="310">IF(B642="PURCHASE",F642,"0")</f>
        <v>0</v>
      </c>
      <c r="R642" s="3" t="str">
        <f t="shared" ref="R642:R686" si="311">IF(B642="METAL PAYMENT",F642,"0")</f>
        <v>0</v>
      </c>
      <c r="S642" s="3">
        <f t="shared" ref="S642:S686" si="312">IF(B642="PURCHASE",H642,"0")+IF(B642="PURCHASE",H642,"0")*5%</f>
        <v>0</v>
      </c>
      <c r="T642" s="3" t="str">
        <f t="shared" ref="T642:T686" si="313">IF(B642="METAL PAYMENT",H642,"0")</f>
        <v>0</v>
      </c>
      <c r="U642" s="3"/>
      <c r="V642" s="3"/>
      <c r="W642" s="3">
        <v>2350</v>
      </c>
      <c r="X642" s="3"/>
      <c r="Y642" s="3"/>
      <c r="Z642" s="3"/>
    </row>
    <row r="643" spans="1:26" x14ac:dyDescent="0.25">
      <c r="A643" s="2">
        <v>46093</v>
      </c>
      <c r="B643" s="3" t="s">
        <v>170</v>
      </c>
      <c r="C643" s="3" t="s">
        <v>230</v>
      </c>
      <c r="D643" s="170">
        <v>399.61369100000002</v>
      </c>
      <c r="E643" s="221">
        <v>0.995</v>
      </c>
      <c r="F643" s="211">
        <f>+D643*E643</f>
        <v>397.61562254500001</v>
      </c>
      <c r="G643" s="172">
        <f t="shared" si="301"/>
        <v>0</v>
      </c>
      <c r="H643" s="3"/>
      <c r="I643" s="3" t="str">
        <f t="shared" si="302"/>
        <v>0</v>
      </c>
      <c r="J643" s="3" t="str">
        <f t="shared" si="303"/>
        <v>0</v>
      </c>
      <c r="K643" s="3" t="str">
        <f t="shared" si="304"/>
        <v>0</v>
      </c>
      <c r="L643" s="3" t="str">
        <f t="shared" si="305"/>
        <v>0</v>
      </c>
      <c r="M643" s="3">
        <f t="shared" si="306"/>
        <v>0</v>
      </c>
      <c r="N643" s="3">
        <f t="shared" si="307"/>
        <v>0</v>
      </c>
      <c r="O643" s="3">
        <f t="shared" si="308"/>
        <v>399.61369100000002</v>
      </c>
      <c r="P643" s="3" t="str">
        <f t="shared" si="309"/>
        <v>0</v>
      </c>
      <c r="Q643" s="3">
        <f t="shared" si="310"/>
        <v>397.61562254500001</v>
      </c>
      <c r="R643" s="3" t="str">
        <f t="shared" si="311"/>
        <v>0</v>
      </c>
      <c r="S643" s="3">
        <f t="shared" si="312"/>
        <v>0</v>
      </c>
      <c r="T643" s="3" t="str">
        <f t="shared" si="313"/>
        <v>0</v>
      </c>
      <c r="U643" s="3"/>
      <c r="V643" s="3"/>
      <c r="W643" s="3"/>
      <c r="X643" s="3"/>
      <c r="Y643" s="3"/>
      <c r="Z643" s="3"/>
    </row>
    <row r="644" spans="1:26" x14ac:dyDescent="0.25">
      <c r="A644" s="2">
        <v>46095</v>
      </c>
      <c r="B644" s="3" t="s">
        <v>169</v>
      </c>
      <c r="C644" s="3" t="s">
        <v>250</v>
      </c>
      <c r="D644" s="170">
        <v>497.9975</v>
      </c>
      <c r="E644" s="221">
        <v>0.88</v>
      </c>
      <c r="F644" s="211">
        <f>+D644*E644</f>
        <v>438.23779999999999</v>
      </c>
      <c r="G644" s="211">
        <f t="shared" si="301"/>
        <v>4.0421889668120823</v>
      </c>
      <c r="H644" s="3">
        <v>2013</v>
      </c>
      <c r="I644" s="3">
        <f t="shared" si="302"/>
        <v>497.9975</v>
      </c>
      <c r="J644" s="3" t="str">
        <f t="shared" si="303"/>
        <v>0</v>
      </c>
      <c r="K644" s="3">
        <f t="shared" si="304"/>
        <v>438.23779999999999</v>
      </c>
      <c r="L644" s="3" t="str">
        <f t="shared" si="305"/>
        <v>0</v>
      </c>
      <c r="M644" s="3">
        <f t="shared" si="306"/>
        <v>2113.65</v>
      </c>
      <c r="N644" s="3">
        <f t="shared" si="307"/>
        <v>0</v>
      </c>
      <c r="O644" s="3" t="str">
        <f t="shared" si="308"/>
        <v>0</v>
      </c>
      <c r="P644" s="3" t="str">
        <f t="shared" si="309"/>
        <v>0</v>
      </c>
      <c r="Q644" s="3" t="str">
        <f t="shared" si="310"/>
        <v>0</v>
      </c>
      <c r="R644" s="3" t="str">
        <f t="shared" si="311"/>
        <v>0</v>
      </c>
      <c r="S644" s="3">
        <f t="shared" si="312"/>
        <v>0</v>
      </c>
      <c r="T644" s="3" t="str">
        <f t="shared" si="313"/>
        <v>0</v>
      </c>
      <c r="U644" s="3"/>
      <c r="V644" s="3"/>
      <c r="W644" s="3"/>
      <c r="X644" s="3"/>
      <c r="Y644" s="3"/>
      <c r="Z644" s="3"/>
    </row>
    <row r="645" spans="1:26" x14ac:dyDescent="0.25">
      <c r="A645" s="2">
        <v>46095</v>
      </c>
      <c r="B645" s="3" t="s">
        <v>212</v>
      </c>
      <c r="C645" s="169" t="s">
        <v>228</v>
      </c>
      <c r="D645" s="170">
        <v>177.14400000000001</v>
      </c>
      <c r="E645" s="221">
        <v>0.88</v>
      </c>
      <c r="F645" s="211">
        <f>+D645*E645</f>
        <v>155.88672</v>
      </c>
      <c r="G645" s="211">
        <f t="shared" si="301"/>
        <v>25.317538273946621</v>
      </c>
      <c r="H645" s="3">
        <v>4484.8500000000004</v>
      </c>
      <c r="I645" s="3" t="str">
        <f t="shared" si="302"/>
        <v>0</v>
      </c>
      <c r="J645" s="3">
        <f t="shared" si="303"/>
        <v>177.14400000000001</v>
      </c>
      <c r="K645" s="3" t="str">
        <f t="shared" si="304"/>
        <v>0</v>
      </c>
      <c r="L645" s="3">
        <f t="shared" si="305"/>
        <v>155.88672</v>
      </c>
      <c r="M645" s="3">
        <f t="shared" si="306"/>
        <v>0</v>
      </c>
      <c r="N645" s="3">
        <f t="shared" si="307"/>
        <v>4709.0925000000007</v>
      </c>
      <c r="O645" s="3" t="str">
        <f t="shared" si="308"/>
        <v>0</v>
      </c>
      <c r="P645" s="3" t="str">
        <f t="shared" si="309"/>
        <v>0</v>
      </c>
      <c r="Q645" s="3" t="str">
        <f t="shared" si="310"/>
        <v>0</v>
      </c>
      <c r="R645" s="3" t="str">
        <f t="shared" si="311"/>
        <v>0</v>
      </c>
      <c r="S645" s="3">
        <f t="shared" si="312"/>
        <v>0</v>
      </c>
      <c r="T645" s="3" t="str">
        <f t="shared" si="313"/>
        <v>0</v>
      </c>
      <c r="U645" s="3"/>
      <c r="V645" s="3"/>
      <c r="W645" s="3"/>
      <c r="X645" s="3"/>
      <c r="Y645" s="3"/>
      <c r="Z645" s="3"/>
    </row>
    <row r="646" spans="1:26" x14ac:dyDescent="0.25">
      <c r="A646" s="2">
        <v>46097</v>
      </c>
      <c r="B646" s="3" t="s">
        <v>169</v>
      </c>
      <c r="C646" s="169" t="s">
        <v>228</v>
      </c>
      <c r="D646" s="170">
        <v>382.00800000000004</v>
      </c>
      <c r="E646" s="221">
        <v>0.88</v>
      </c>
      <c r="F646" s="211">
        <f>+D646*E646</f>
        <v>336.16704000000004</v>
      </c>
      <c r="G646" s="211">
        <f t="shared" si="301"/>
        <v>10.697158174697911</v>
      </c>
      <c r="H646" s="3">
        <v>4086.4</v>
      </c>
      <c r="I646" s="3">
        <f t="shared" si="302"/>
        <v>382.00800000000004</v>
      </c>
      <c r="J646" s="3" t="str">
        <f t="shared" si="303"/>
        <v>0</v>
      </c>
      <c r="K646" s="3">
        <f t="shared" si="304"/>
        <v>336.16704000000004</v>
      </c>
      <c r="L646" s="3" t="str">
        <f t="shared" si="305"/>
        <v>0</v>
      </c>
      <c r="M646" s="3">
        <f t="shared" si="306"/>
        <v>4290.72</v>
      </c>
      <c r="N646" s="3">
        <f t="shared" si="307"/>
        <v>0</v>
      </c>
      <c r="O646" s="3" t="str">
        <f t="shared" si="308"/>
        <v>0</v>
      </c>
      <c r="P646" s="3" t="str">
        <f t="shared" si="309"/>
        <v>0</v>
      </c>
      <c r="Q646" s="3" t="str">
        <f t="shared" si="310"/>
        <v>0</v>
      </c>
      <c r="R646" s="3" t="str">
        <f t="shared" si="311"/>
        <v>0</v>
      </c>
      <c r="S646" s="3">
        <f t="shared" si="312"/>
        <v>0</v>
      </c>
      <c r="T646" s="3" t="str">
        <f t="shared" si="313"/>
        <v>0</v>
      </c>
      <c r="U646" s="3"/>
      <c r="V646" s="3"/>
      <c r="W646" s="3"/>
      <c r="X646" s="3"/>
      <c r="Y646" s="3"/>
      <c r="Z646" s="3"/>
    </row>
    <row r="647" spans="1:26" x14ac:dyDescent="0.25">
      <c r="A647" s="2">
        <v>46097</v>
      </c>
      <c r="B647" s="3" t="s">
        <v>170</v>
      </c>
      <c r="C647" s="169" t="s">
        <v>228</v>
      </c>
      <c r="D647" s="170">
        <v>519.20000000000005</v>
      </c>
      <c r="E647" s="221">
        <v>0.995</v>
      </c>
      <c r="F647" s="211">
        <f>D647*E647</f>
        <v>516.60400000000004</v>
      </c>
      <c r="G647" s="172">
        <f t="shared" si="301"/>
        <v>0</v>
      </c>
      <c r="H647" s="3"/>
      <c r="I647" s="3" t="str">
        <f t="shared" si="302"/>
        <v>0</v>
      </c>
      <c r="J647" s="3" t="str">
        <f t="shared" si="303"/>
        <v>0</v>
      </c>
      <c r="K647" s="3" t="str">
        <f t="shared" si="304"/>
        <v>0</v>
      </c>
      <c r="L647" s="3" t="str">
        <f t="shared" si="305"/>
        <v>0</v>
      </c>
      <c r="M647" s="3">
        <f t="shared" si="306"/>
        <v>0</v>
      </c>
      <c r="N647" s="3">
        <f t="shared" si="307"/>
        <v>0</v>
      </c>
      <c r="O647" s="3">
        <f t="shared" si="308"/>
        <v>519.20000000000005</v>
      </c>
      <c r="P647" s="3" t="str">
        <f t="shared" si="309"/>
        <v>0</v>
      </c>
      <c r="Q647" s="3">
        <f t="shared" si="310"/>
        <v>516.60400000000004</v>
      </c>
      <c r="R647" s="3" t="str">
        <f t="shared" si="311"/>
        <v>0</v>
      </c>
      <c r="S647" s="3">
        <f t="shared" si="312"/>
        <v>0</v>
      </c>
      <c r="T647" s="3" t="str">
        <f t="shared" si="313"/>
        <v>0</v>
      </c>
      <c r="U647" s="3"/>
      <c r="V647" s="3"/>
      <c r="W647" s="3"/>
      <c r="X647" s="3"/>
      <c r="Y647" s="3"/>
      <c r="Z647" s="3"/>
    </row>
    <row r="648" spans="1:26" x14ac:dyDescent="0.25">
      <c r="A648" s="2">
        <v>46097</v>
      </c>
      <c r="B648" s="3" t="s">
        <v>170</v>
      </c>
      <c r="C648" s="3" t="s">
        <v>235</v>
      </c>
      <c r="D648" s="170">
        <v>995</v>
      </c>
      <c r="E648" s="221">
        <v>0.995</v>
      </c>
      <c r="F648" s="211">
        <f>D648*E648</f>
        <v>990.02499999999998</v>
      </c>
      <c r="G648" s="172">
        <f t="shared" si="301"/>
        <v>0</v>
      </c>
      <c r="H648" s="3"/>
      <c r="I648" s="3" t="str">
        <f t="shared" si="302"/>
        <v>0</v>
      </c>
      <c r="J648" s="3" t="str">
        <f t="shared" si="303"/>
        <v>0</v>
      </c>
      <c r="K648" s="3" t="str">
        <f t="shared" si="304"/>
        <v>0</v>
      </c>
      <c r="L648" s="3" t="str">
        <f t="shared" si="305"/>
        <v>0</v>
      </c>
      <c r="M648" s="3">
        <f t="shared" si="306"/>
        <v>0</v>
      </c>
      <c r="N648" s="3">
        <f t="shared" si="307"/>
        <v>0</v>
      </c>
      <c r="O648" s="3">
        <f t="shared" si="308"/>
        <v>995</v>
      </c>
      <c r="P648" s="3" t="str">
        <f t="shared" si="309"/>
        <v>0</v>
      </c>
      <c r="Q648" s="3">
        <f t="shared" si="310"/>
        <v>990.02499999999998</v>
      </c>
      <c r="R648" s="3" t="str">
        <f t="shared" si="311"/>
        <v>0</v>
      </c>
      <c r="S648" s="3">
        <f t="shared" si="312"/>
        <v>0</v>
      </c>
      <c r="T648" s="3" t="str">
        <f t="shared" si="313"/>
        <v>0</v>
      </c>
      <c r="U648" s="3"/>
      <c r="V648" s="3"/>
      <c r="W648" s="3"/>
      <c r="X648" s="3"/>
      <c r="Y648" s="3"/>
      <c r="Z648" s="3"/>
    </row>
    <row r="649" spans="1:26" x14ac:dyDescent="0.25">
      <c r="A649" s="2">
        <v>46098</v>
      </c>
      <c r="B649" s="3" t="s">
        <v>170</v>
      </c>
      <c r="C649" s="3" t="s">
        <v>231</v>
      </c>
      <c r="D649" s="170">
        <v>401.62180000000001</v>
      </c>
      <c r="E649" s="221">
        <v>0.995</v>
      </c>
      <c r="F649" s="211">
        <f>D649*E649</f>
        <v>399.61369100000002</v>
      </c>
      <c r="G649" s="172">
        <f t="shared" si="301"/>
        <v>0</v>
      </c>
      <c r="H649" s="3"/>
      <c r="I649" s="3" t="str">
        <f t="shared" si="302"/>
        <v>0</v>
      </c>
      <c r="J649" s="3" t="str">
        <f t="shared" si="303"/>
        <v>0</v>
      </c>
      <c r="K649" s="3" t="str">
        <f t="shared" si="304"/>
        <v>0</v>
      </c>
      <c r="L649" s="3" t="str">
        <f t="shared" si="305"/>
        <v>0</v>
      </c>
      <c r="M649" s="3">
        <f t="shared" si="306"/>
        <v>0</v>
      </c>
      <c r="N649" s="3">
        <f t="shared" si="307"/>
        <v>0</v>
      </c>
      <c r="O649" s="3">
        <f t="shared" si="308"/>
        <v>401.62180000000001</v>
      </c>
      <c r="P649" s="3" t="str">
        <f t="shared" si="309"/>
        <v>0</v>
      </c>
      <c r="Q649" s="3">
        <f t="shared" si="310"/>
        <v>399.61369100000002</v>
      </c>
      <c r="R649" s="3" t="str">
        <f t="shared" si="311"/>
        <v>0</v>
      </c>
      <c r="S649" s="3">
        <f t="shared" si="312"/>
        <v>0</v>
      </c>
      <c r="T649" s="3" t="str">
        <f t="shared" si="313"/>
        <v>0</v>
      </c>
      <c r="U649" s="3"/>
      <c r="V649" s="3"/>
      <c r="W649" s="3"/>
      <c r="X649" s="3"/>
      <c r="Y649" s="3"/>
      <c r="Z649" s="3"/>
    </row>
    <row r="650" spans="1:26" x14ac:dyDescent="0.25">
      <c r="A650" s="2">
        <v>46086</v>
      </c>
      <c r="B650" s="3" t="s">
        <v>171</v>
      </c>
      <c r="C650" s="169" t="s">
        <v>233</v>
      </c>
      <c r="D650" s="3"/>
      <c r="E650" s="3"/>
      <c r="F650" s="211">
        <f>+D650*E650</f>
        <v>0</v>
      </c>
      <c r="G650" s="172" t="e">
        <f t="shared" si="301"/>
        <v>#DIV/0!</v>
      </c>
      <c r="H650" s="3"/>
      <c r="I650" s="3" t="str">
        <f t="shared" si="302"/>
        <v>0</v>
      </c>
      <c r="J650" s="3" t="str">
        <f t="shared" si="303"/>
        <v>0</v>
      </c>
      <c r="K650" s="3" t="str">
        <f t="shared" si="304"/>
        <v>0</v>
      </c>
      <c r="L650" s="3" t="str">
        <f t="shared" si="305"/>
        <v>0</v>
      </c>
      <c r="M650" s="3">
        <f t="shared" si="306"/>
        <v>0</v>
      </c>
      <c r="N650" s="3">
        <f t="shared" si="307"/>
        <v>0</v>
      </c>
      <c r="O650" s="3" t="str">
        <f t="shared" si="308"/>
        <v>0</v>
      </c>
      <c r="P650" s="3" t="str">
        <f t="shared" si="309"/>
        <v>0</v>
      </c>
      <c r="Q650" s="3" t="str">
        <f t="shared" si="310"/>
        <v>0</v>
      </c>
      <c r="R650" s="3" t="str">
        <f t="shared" si="311"/>
        <v>0</v>
      </c>
      <c r="S650" s="3">
        <f t="shared" si="312"/>
        <v>0</v>
      </c>
      <c r="T650" s="3" t="str">
        <f t="shared" si="313"/>
        <v>0</v>
      </c>
      <c r="U650" s="3"/>
      <c r="V650" s="3">
        <v>30000</v>
      </c>
      <c r="W650" s="3"/>
      <c r="X650" s="3"/>
      <c r="Y650" s="3"/>
      <c r="Z650" s="3"/>
    </row>
    <row r="651" spans="1:26" x14ac:dyDescent="0.25">
      <c r="A651" s="2">
        <v>46086</v>
      </c>
      <c r="B651" s="3" t="s">
        <v>171</v>
      </c>
      <c r="C651" s="3" t="s">
        <v>231</v>
      </c>
      <c r="D651" s="3"/>
      <c r="E651" s="3"/>
      <c r="F651" s="211">
        <f>+D651*E651</f>
        <v>0</v>
      </c>
      <c r="G651" s="172" t="e">
        <f t="shared" si="301"/>
        <v>#DIV/0!</v>
      </c>
      <c r="H651" s="3"/>
      <c r="I651" s="3" t="str">
        <f t="shared" si="302"/>
        <v>0</v>
      </c>
      <c r="J651" s="3" t="str">
        <f t="shared" si="303"/>
        <v>0</v>
      </c>
      <c r="K651" s="3" t="str">
        <f t="shared" si="304"/>
        <v>0</v>
      </c>
      <c r="L651" s="3" t="str">
        <f t="shared" si="305"/>
        <v>0</v>
      </c>
      <c r="M651" s="3">
        <f t="shared" si="306"/>
        <v>0</v>
      </c>
      <c r="N651" s="3">
        <f t="shared" si="307"/>
        <v>0</v>
      </c>
      <c r="O651" s="3" t="str">
        <f t="shared" si="308"/>
        <v>0</v>
      </c>
      <c r="P651" s="3" t="str">
        <f t="shared" si="309"/>
        <v>0</v>
      </c>
      <c r="Q651" s="3" t="str">
        <f t="shared" si="310"/>
        <v>0</v>
      </c>
      <c r="R651" s="3" t="str">
        <f t="shared" si="311"/>
        <v>0</v>
      </c>
      <c r="S651" s="3">
        <f t="shared" si="312"/>
        <v>0</v>
      </c>
      <c r="T651" s="3" t="str">
        <f t="shared" si="313"/>
        <v>0</v>
      </c>
      <c r="U651" s="3"/>
      <c r="V651" s="3">
        <v>25000</v>
      </c>
      <c r="W651" s="3"/>
      <c r="X651" s="3"/>
      <c r="Y651" s="3"/>
      <c r="Z651" s="3"/>
    </row>
    <row r="652" spans="1:26" x14ac:dyDescent="0.25">
      <c r="A652" s="2">
        <v>46086</v>
      </c>
      <c r="B652" s="3" t="s">
        <v>171</v>
      </c>
      <c r="C652" s="169" t="s">
        <v>241</v>
      </c>
      <c r="D652" s="3"/>
      <c r="E652" s="3"/>
      <c r="F652" s="211">
        <f t="shared" ref="F652:F660" si="314">+D652*E652</f>
        <v>0</v>
      </c>
      <c r="G652" s="172" t="e">
        <f t="shared" si="301"/>
        <v>#DIV/0!</v>
      </c>
      <c r="H652" s="3"/>
      <c r="I652" s="3" t="str">
        <f t="shared" si="302"/>
        <v>0</v>
      </c>
      <c r="J652" s="3" t="str">
        <f t="shared" si="303"/>
        <v>0</v>
      </c>
      <c r="K652" s="3" t="str">
        <f t="shared" si="304"/>
        <v>0</v>
      </c>
      <c r="L652" s="3" t="str">
        <f t="shared" si="305"/>
        <v>0</v>
      </c>
      <c r="M652" s="3">
        <f t="shared" si="306"/>
        <v>0</v>
      </c>
      <c r="N652" s="3">
        <f t="shared" si="307"/>
        <v>0</v>
      </c>
      <c r="O652" s="3" t="str">
        <f t="shared" si="308"/>
        <v>0</v>
      </c>
      <c r="P652" s="3" t="str">
        <f t="shared" si="309"/>
        <v>0</v>
      </c>
      <c r="Q652" s="3" t="str">
        <f t="shared" si="310"/>
        <v>0</v>
      </c>
      <c r="R652" s="3" t="str">
        <f t="shared" si="311"/>
        <v>0</v>
      </c>
      <c r="S652" s="3">
        <f t="shared" si="312"/>
        <v>0</v>
      </c>
      <c r="T652" s="3" t="str">
        <f t="shared" si="313"/>
        <v>0</v>
      </c>
      <c r="U652" s="3"/>
      <c r="V652" s="3">
        <v>3000</v>
      </c>
      <c r="W652" s="3"/>
      <c r="X652" s="3"/>
      <c r="Y652" s="3"/>
      <c r="Z652" s="3"/>
    </row>
    <row r="653" spans="1:26" x14ac:dyDescent="0.25">
      <c r="A653" s="2">
        <v>46086</v>
      </c>
      <c r="B653" s="3" t="s">
        <v>171</v>
      </c>
      <c r="C653" s="3" t="s">
        <v>252</v>
      </c>
      <c r="D653" s="3"/>
      <c r="E653" s="3"/>
      <c r="F653" s="211">
        <f t="shared" si="314"/>
        <v>0</v>
      </c>
      <c r="G653" s="172" t="e">
        <f t="shared" si="301"/>
        <v>#DIV/0!</v>
      </c>
      <c r="H653" s="3"/>
      <c r="I653" s="3" t="str">
        <f t="shared" si="302"/>
        <v>0</v>
      </c>
      <c r="J653" s="3" t="str">
        <f t="shared" si="303"/>
        <v>0</v>
      </c>
      <c r="K653" s="3" t="str">
        <f t="shared" si="304"/>
        <v>0</v>
      </c>
      <c r="L653" s="3" t="str">
        <f t="shared" si="305"/>
        <v>0</v>
      </c>
      <c r="M653" s="3">
        <f t="shared" si="306"/>
        <v>0</v>
      </c>
      <c r="N653" s="3">
        <f t="shared" si="307"/>
        <v>0</v>
      </c>
      <c r="O653" s="3" t="str">
        <f t="shared" si="308"/>
        <v>0</v>
      </c>
      <c r="P653" s="3" t="str">
        <f t="shared" si="309"/>
        <v>0</v>
      </c>
      <c r="Q653" s="3" t="str">
        <f t="shared" si="310"/>
        <v>0</v>
      </c>
      <c r="R653" s="3" t="str">
        <f t="shared" si="311"/>
        <v>0</v>
      </c>
      <c r="S653" s="3">
        <f t="shared" si="312"/>
        <v>0</v>
      </c>
      <c r="T653" s="3" t="str">
        <f t="shared" si="313"/>
        <v>0</v>
      </c>
      <c r="U653" s="3"/>
      <c r="V653" s="3">
        <v>15000</v>
      </c>
      <c r="W653" s="3"/>
      <c r="X653" s="3"/>
      <c r="Y653" s="3"/>
      <c r="Z653" s="3"/>
    </row>
    <row r="654" spans="1:26" x14ac:dyDescent="0.25">
      <c r="A654" s="2">
        <v>46086</v>
      </c>
      <c r="B654" s="3" t="s">
        <v>171</v>
      </c>
      <c r="C654" s="169" t="s">
        <v>234</v>
      </c>
      <c r="D654" s="3"/>
      <c r="E654" s="3"/>
      <c r="F654" s="211">
        <f t="shared" si="314"/>
        <v>0</v>
      </c>
      <c r="G654" s="172" t="e">
        <f t="shared" si="301"/>
        <v>#DIV/0!</v>
      </c>
      <c r="H654" s="3"/>
      <c r="I654" s="3" t="str">
        <f t="shared" si="302"/>
        <v>0</v>
      </c>
      <c r="J654" s="3" t="str">
        <f t="shared" si="303"/>
        <v>0</v>
      </c>
      <c r="K654" s="3" t="str">
        <f t="shared" si="304"/>
        <v>0</v>
      </c>
      <c r="L654" s="3" t="str">
        <f t="shared" si="305"/>
        <v>0</v>
      </c>
      <c r="M654" s="3">
        <f t="shared" si="306"/>
        <v>0</v>
      </c>
      <c r="N654" s="3">
        <f t="shared" si="307"/>
        <v>0</v>
      </c>
      <c r="O654" s="3" t="str">
        <f t="shared" si="308"/>
        <v>0</v>
      </c>
      <c r="P654" s="3" t="str">
        <f t="shared" si="309"/>
        <v>0</v>
      </c>
      <c r="Q654" s="3" t="str">
        <f t="shared" si="310"/>
        <v>0</v>
      </c>
      <c r="R654" s="3" t="str">
        <f t="shared" si="311"/>
        <v>0</v>
      </c>
      <c r="S654" s="3">
        <f t="shared" si="312"/>
        <v>0</v>
      </c>
      <c r="T654" s="3" t="str">
        <f t="shared" si="313"/>
        <v>0</v>
      </c>
      <c r="U654" s="3"/>
      <c r="V654" s="3">
        <v>29400</v>
      </c>
      <c r="W654" s="3"/>
      <c r="X654" s="3"/>
      <c r="Y654" s="3"/>
      <c r="Z654" s="3"/>
    </row>
    <row r="655" spans="1:26" x14ac:dyDescent="0.25">
      <c r="A655" s="2">
        <v>46088</v>
      </c>
      <c r="B655" s="3" t="s">
        <v>171</v>
      </c>
      <c r="C655" s="169" t="s">
        <v>232</v>
      </c>
      <c r="D655" s="3"/>
      <c r="E655" s="3"/>
      <c r="F655" s="211">
        <f t="shared" si="314"/>
        <v>0</v>
      </c>
      <c r="G655" s="172" t="e">
        <f t="shared" si="301"/>
        <v>#DIV/0!</v>
      </c>
      <c r="H655" s="3"/>
      <c r="I655" s="3" t="str">
        <f t="shared" si="302"/>
        <v>0</v>
      </c>
      <c r="J655" s="3" t="str">
        <f t="shared" si="303"/>
        <v>0</v>
      </c>
      <c r="K655" s="3" t="str">
        <f t="shared" si="304"/>
        <v>0</v>
      </c>
      <c r="L655" s="3" t="str">
        <f t="shared" si="305"/>
        <v>0</v>
      </c>
      <c r="M655" s="3">
        <f t="shared" si="306"/>
        <v>0</v>
      </c>
      <c r="N655" s="3">
        <f t="shared" si="307"/>
        <v>0</v>
      </c>
      <c r="O655" s="3" t="str">
        <f t="shared" si="308"/>
        <v>0</v>
      </c>
      <c r="P655" s="3" t="str">
        <f t="shared" si="309"/>
        <v>0</v>
      </c>
      <c r="Q655" s="3" t="str">
        <f t="shared" si="310"/>
        <v>0</v>
      </c>
      <c r="R655" s="3" t="str">
        <f t="shared" si="311"/>
        <v>0</v>
      </c>
      <c r="S655" s="3">
        <f t="shared" si="312"/>
        <v>0</v>
      </c>
      <c r="T655" s="3" t="str">
        <f t="shared" si="313"/>
        <v>0</v>
      </c>
      <c r="U655" s="3"/>
      <c r="V655" s="3">
        <v>10000</v>
      </c>
      <c r="W655" s="3"/>
      <c r="X655" s="3"/>
      <c r="Y655" s="3"/>
      <c r="Z655" s="3"/>
    </row>
    <row r="656" spans="1:26" x14ac:dyDescent="0.25">
      <c r="A656" s="2">
        <v>46099</v>
      </c>
      <c r="B656" s="3" t="s">
        <v>171</v>
      </c>
      <c r="C656" s="3" t="s">
        <v>235</v>
      </c>
      <c r="D656" s="3"/>
      <c r="E656" s="3"/>
      <c r="F656" s="211">
        <f t="shared" si="314"/>
        <v>0</v>
      </c>
      <c r="G656" s="172" t="e">
        <f t="shared" si="301"/>
        <v>#DIV/0!</v>
      </c>
      <c r="H656" s="3"/>
      <c r="I656" s="3" t="str">
        <f t="shared" si="302"/>
        <v>0</v>
      </c>
      <c r="J656" s="3" t="str">
        <f t="shared" si="303"/>
        <v>0</v>
      </c>
      <c r="K656" s="3" t="str">
        <f t="shared" si="304"/>
        <v>0</v>
      </c>
      <c r="L656" s="3" t="str">
        <f t="shared" si="305"/>
        <v>0</v>
      </c>
      <c r="M656" s="3">
        <f t="shared" si="306"/>
        <v>0</v>
      </c>
      <c r="N656" s="3">
        <f t="shared" si="307"/>
        <v>0</v>
      </c>
      <c r="O656" s="3" t="str">
        <f t="shared" si="308"/>
        <v>0</v>
      </c>
      <c r="P656" s="3" t="str">
        <f t="shared" si="309"/>
        <v>0</v>
      </c>
      <c r="Q656" s="3" t="str">
        <f t="shared" si="310"/>
        <v>0</v>
      </c>
      <c r="R656" s="3" t="str">
        <f t="shared" si="311"/>
        <v>0</v>
      </c>
      <c r="S656" s="3">
        <f t="shared" si="312"/>
        <v>0</v>
      </c>
      <c r="T656" s="3" t="str">
        <f t="shared" si="313"/>
        <v>0</v>
      </c>
      <c r="U656" s="3"/>
      <c r="V656" s="3">
        <v>20000</v>
      </c>
      <c r="W656" s="3"/>
      <c r="X656" s="3"/>
      <c r="Y656" s="3"/>
      <c r="Z656" s="3"/>
    </row>
    <row r="657" spans="1:26" x14ac:dyDescent="0.25">
      <c r="A657" s="2">
        <v>46099</v>
      </c>
      <c r="B657" s="3" t="s">
        <v>171</v>
      </c>
      <c r="C657" s="3" t="s">
        <v>252</v>
      </c>
      <c r="D657" s="3"/>
      <c r="E657" s="3"/>
      <c r="F657" s="211">
        <f t="shared" si="314"/>
        <v>0</v>
      </c>
      <c r="G657" s="172" t="e">
        <f t="shared" si="301"/>
        <v>#DIV/0!</v>
      </c>
      <c r="H657" s="3"/>
      <c r="I657" s="3" t="str">
        <f t="shared" si="302"/>
        <v>0</v>
      </c>
      <c r="J657" s="3" t="str">
        <f t="shared" si="303"/>
        <v>0</v>
      </c>
      <c r="K657" s="3" t="str">
        <f t="shared" si="304"/>
        <v>0</v>
      </c>
      <c r="L657" s="3" t="str">
        <f t="shared" si="305"/>
        <v>0</v>
      </c>
      <c r="M657" s="3">
        <f t="shared" si="306"/>
        <v>0</v>
      </c>
      <c r="N657" s="3">
        <f t="shared" si="307"/>
        <v>0</v>
      </c>
      <c r="O657" s="3" t="str">
        <f t="shared" si="308"/>
        <v>0</v>
      </c>
      <c r="P657" s="3" t="str">
        <f t="shared" si="309"/>
        <v>0</v>
      </c>
      <c r="Q657" s="3" t="str">
        <f t="shared" si="310"/>
        <v>0</v>
      </c>
      <c r="R657" s="3" t="str">
        <f t="shared" si="311"/>
        <v>0</v>
      </c>
      <c r="S657" s="3">
        <f t="shared" si="312"/>
        <v>0</v>
      </c>
      <c r="T657" s="3" t="str">
        <f t="shared" si="313"/>
        <v>0</v>
      </c>
      <c r="U657" s="3"/>
      <c r="V657" s="3">
        <v>10000</v>
      </c>
      <c r="W657" s="3"/>
      <c r="X657" s="3"/>
      <c r="Y657" s="3"/>
      <c r="Z657" s="3"/>
    </row>
    <row r="658" spans="1:26" x14ac:dyDescent="0.25">
      <c r="A658" s="2">
        <v>46104</v>
      </c>
      <c r="B658" s="3" t="s">
        <v>169</v>
      </c>
      <c r="C658" s="169" t="s">
        <v>247</v>
      </c>
      <c r="D658" s="170">
        <v>248.3</v>
      </c>
      <c r="E658" s="221">
        <v>0.88</v>
      </c>
      <c r="F658" s="211">
        <f t="shared" si="314"/>
        <v>218.50400000000002</v>
      </c>
      <c r="G658" s="211">
        <f t="shared" si="301"/>
        <v>8.7442609746274655</v>
      </c>
      <c r="H658" s="3">
        <v>2171.1999999999998</v>
      </c>
      <c r="I658" s="3">
        <f t="shared" si="302"/>
        <v>248.3</v>
      </c>
      <c r="J658" s="3" t="str">
        <f t="shared" si="303"/>
        <v>0</v>
      </c>
      <c r="K658" s="3">
        <f t="shared" si="304"/>
        <v>218.50400000000002</v>
      </c>
      <c r="L658" s="3" t="str">
        <f t="shared" si="305"/>
        <v>0</v>
      </c>
      <c r="M658" s="3">
        <f t="shared" si="306"/>
        <v>2279.7599999999998</v>
      </c>
      <c r="N658" s="3">
        <f t="shared" si="307"/>
        <v>0</v>
      </c>
      <c r="O658" s="3" t="str">
        <f t="shared" si="308"/>
        <v>0</v>
      </c>
      <c r="P658" s="3" t="str">
        <f t="shared" si="309"/>
        <v>0</v>
      </c>
      <c r="Q658" s="3" t="str">
        <f t="shared" si="310"/>
        <v>0</v>
      </c>
      <c r="R658" s="3" t="str">
        <f t="shared" si="311"/>
        <v>0</v>
      </c>
      <c r="S658" s="3">
        <f t="shared" si="312"/>
        <v>0</v>
      </c>
      <c r="T658" s="3" t="str">
        <f t="shared" si="313"/>
        <v>0</v>
      </c>
      <c r="U658" s="3"/>
      <c r="V658" s="3"/>
      <c r="W658" s="3"/>
      <c r="X658" s="3"/>
      <c r="Y658" s="3"/>
      <c r="Z658" s="3"/>
    </row>
    <row r="659" spans="1:26" x14ac:dyDescent="0.25">
      <c r="A659" s="2">
        <v>46105</v>
      </c>
      <c r="B659" s="3" t="s">
        <v>170</v>
      </c>
      <c r="C659" s="3" t="s">
        <v>235</v>
      </c>
      <c r="D659" s="170">
        <v>302.04000000000002</v>
      </c>
      <c r="E659" s="221">
        <v>0.995</v>
      </c>
      <c r="F659" s="211">
        <f t="shared" si="314"/>
        <v>300.52980000000002</v>
      </c>
      <c r="G659" s="172">
        <f t="shared" si="301"/>
        <v>0</v>
      </c>
      <c r="H659" s="3"/>
      <c r="I659" s="3" t="str">
        <f t="shared" si="302"/>
        <v>0</v>
      </c>
      <c r="J659" s="3" t="str">
        <f t="shared" si="303"/>
        <v>0</v>
      </c>
      <c r="K659" s="3" t="str">
        <f t="shared" si="304"/>
        <v>0</v>
      </c>
      <c r="L659" s="3" t="str">
        <f t="shared" si="305"/>
        <v>0</v>
      </c>
      <c r="M659" s="3">
        <f t="shared" si="306"/>
        <v>0</v>
      </c>
      <c r="N659" s="3">
        <f t="shared" si="307"/>
        <v>0</v>
      </c>
      <c r="O659" s="3">
        <f t="shared" si="308"/>
        <v>302.04000000000002</v>
      </c>
      <c r="P659" s="3" t="str">
        <f t="shared" si="309"/>
        <v>0</v>
      </c>
      <c r="Q659" s="3">
        <f t="shared" si="310"/>
        <v>300.52980000000002</v>
      </c>
      <c r="R659" s="3" t="str">
        <f t="shared" si="311"/>
        <v>0</v>
      </c>
      <c r="S659" s="3">
        <f t="shared" si="312"/>
        <v>0</v>
      </c>
      <c r="T659" s="3" t="str">
        <f t="shared" si="313"/>
        <v>0</v>
      </c>
      <c r="U659" s="3"/>
      <c r="V659" s="3"/>
      <c r="W659" s="3"/>
      <c r="X659" s="3"/>
      <c r="Y659" s="3"/>
      <c r="Z659" s="3"/>
    </row>
    <row r="660" spans="1:26" x14ac:dyDescent="0.25">
      <c r="A660" s="2">
        <v>46106</v>
      </c>
      <c r="B660" s="3" t="s">
        <v>171</v>
      </c>
      <c r="C660" s="169" t="s">
        <v>240</v>
      </c>
      <c r="D660" s="3"/>
      <c r="E660" s="221"/>
      <c r="F660" s="211">
        <f t="shared" si="314"/>
        <v>0</v>
      </c>
      <c r="G660" s="172" t="e">
        <f t="shared" si="301"/>
        <v>#DIV/0!</v>
      </c>
      <c r="H660" s="3"/>
      <c r="I660" s="3" t="str">
        <f t="shared" si="302"/>
        <v>0</v>
      </c>
      <c r="J660" s="3" t="str">
        <f t="shared" si="303"/>
        <v>0</v>
      </c>
      <c r="K660" s="3" t="str">
        <f t="shared" si="304"/>
        <v>0</v>
      </c>
      <c r="L660" s="3" t="str">
        <f t="shared" si="305"/>
        <v>0</v>
      </c>
      <c r="M660" s="3">
        <f t="shared" si="306"/>
        <v>0</v>
      </c>
      <c r="N660" s="3">
        <f t="shared" si="307"/>
        <v>0</v>
      </c>
      <c r="O660" s="3" t="str">
        <f t="shared" si="308"/>
        <v>0</v>
      </c>
      <c r="P660" s="3" t="str">
        <f t="shared" si="309"/>
        <v>0</v>
      </c>
      <c r="Q660" s="3" t="str">
        <f t="shared" si="310"/>
        <v>0</v>
      </c>
      <c r="R660" s="3" t="str">
        <f t="shared" si="311"/>
        <v>0</v>
      </c>
      <c r="S660" s="3">
        <f t="shared" si="312"/>
        <v>0</v>
      </c>
      <c r="T660" s="3" t="str">
        <f t="shared" si="313"/>
        <v>0</v>
      </c>
      <c r="U660" s="3"/>
      <c r="V660" s="3">
        <v>9749</v>
      </c>
      <c r="W660" s="3"/>
      <c r="X660" s="3"/>
      <c r="Y660" s="3"/>
      <c r="Z660" s="3"/>
    </row>
    <row r="661" spans="1:26" x14ac:dyDescent="0.25">
      <c r="A661" s="2">
        <v>46107</v>
      </c>
      <c r="B661" s="3" t="s">
        <v>170</v>
      </c>
      <c r="C661" s="169" t="s">
        <v>229</v>
      </c>
      <c r="D661" s="170">
        <v>352</v>
      </c>
      <c r="E661" s="221">
        <v>0.995</v>
      </c>
      <c r="F661" s="211">
        <f t="shared" ref="F661:F665" si="315">D661*E661</f>
        <v>350.24</v>
      </c>
      <c r="G661" s="172">
        <f t="shared" si="301"/>
        <v>0</v>
      </c>
      <c r="H661" s="3"/>
      <c r="I661" s="3" t="str">
        <f t="shared" si="302"/>
        <v>0</v>
      </c>
      <c r="J661" s="3" t="str">
        <f t="shared" si="303"/>
        <v>0</v>
      </c>
      <c r="K661" s="3" t="str">
        <f t="shared" si="304"/>
        <v>0</v>
      </c>
      <c r="L661" s="3" t="str">
        <f t="shared" si="305"/>
        <v>0</v>
      </c>
      <c r="M661" s="3">
        <f t="shared" si="306"/>
        <v>0</v>
      </c>
      <c r="N661" s="3">
        <f t="shared" si="307"/>
        <v>0</v>
      </c>
      <c r="O661" s="3">
        <f t="shared" si="308"/>
        <v>352</v>
      </c>
      <c r="P661" s="3" t="str">
        <f t="shared" si="309"/>
        <v>0</v>
      </c>
      <c r="Q661" s="3">
        <f t="shared" si="310"/>
        <v>350.24</v>
      </c>
      <c r="R661" s="3" t="str">
        <f t="shared" si="311"/>
        <v>0</v>
      </c>
      <c r="S661" s="3">
        <f t="shared" si="312"/>
        <v>0</v>
      </c>
      <c r="T661" s="3" t="str">
        <f t="shared" si="313"/>
        <v>0</v>
      </c>
      <c r="U661" s="3"/>
      <c r="V661" s="3"/>
      <c r="W661" s="3"/>
      <c r="X661" s="3"/>
      <c r="Y661" s="3"/>
      <c r="Z661" s="3"/>
    </row>
    <row r="662" spans="1:26" x14ac:dyDescent="0.25">
      <c r="A662" s="2">
        <v>46107</v>
      </c>
      <c r="B662" s="3" t="s">
        <v>170</v>
      </c>
      <c r="C662" s="3" t="s">
        <v>231</v>
      </c>
      <c r="D662" s="170">
        <v>45.408000000000001</v>
      </c>
      <c r="E662" s="221">
        <v>0.995</v>
      </c>
      <c r="F662" s="211">
        <f t="shared" si="315"/>
        <v>45.180959999999999</v>
      </c>
      <c r="G662" s="172">
        <f t="shared" si="301"/>
        <v>0</v>
      </c>
      <c r="H662" s="3"/>
      <c r="I662" s="3" t="str">
        <f t="shared" si="302"/>
        <v>0</v>
      </c>
      <c r="J662" s="3" t="str">
        <f t="shared" si="303"/>
        <v>0</v>
      </c>
      <c r="K662" s="3" t="str">
        <f t="shared" si="304"/>
        <v>0</v>
      </c>
      <c r="L662" s="3" t="str">
        <f t="shared" si="305"/>
        <v>0</v>
      </c>
      <c r="M662" s="3">
        <f t="shared" si="306"/>
        <v>0</v>
      </c>
      <c r="N662" s="3">
        <f t="shared" si="307"/>
        <v>0</v>
      </c>
      <c r="O662" s="3">
        <f t="shared" si="308"/>
        <v>45.408000000000001</v>
      </c>
      <c r="P662" s="3" t="str">
        <f t="shared" si="309"/>
        <v>0</v>
      </c>
      <c r="Q662" s="3">
        <f t="shared" si="310"/>
        <v>45.180959999999999</v>
      </c>
      <c r="R662" s="3" t="str">
        <f t="shared" si="311"/>
        <v>0</v>
      </c>
      <c r="S662" s="3">
        <f t="shared" si="312"/>
        <v>0</v>
      </c>
      <c r="T662" s="3" t="str">
        <f t="shared" si="313"/>
        <v>0</v>
      </c>
      <c r="U662" s="3"/>
      <c r="V662" s="3"/>
      <c r="W662" s="3"/>
      <c r="X662" s="3"/>
      <c r="Y662" s="3"/>
      <c r="Z662" s="3"/>
    </row>
    <row r="663" spans="1:26" x14ac:dyDescent="0.25">
      <c r="A663" s="2">
        <v>46109</v>
      </c>
      <c r="B663" s="3" t="s">
        <v>169</v>
      </c>
      <c r="C663" s="3" t="s">
        <v>235</v>
      </c>
      <c r="D663" s="170">
        <v>287.76</v>
      </c>
      <c r="E663" s="221">
        <v>0.88</v>
      </c>
      <c r="F663" s="211">
        <f t="shared" si="315"/>
        <v>253.22880000000001</v>
      </c>
      <c r="G663" s="172">
        <f t="shared" si="301"/>
        <v>23.472616068946344</v>
      </c>
      <c r="H663" s="3">
        <v>6754.48</v>
      </c>
      <c r="I663" s="3">
        <f t="shared" si="302"/>
        <v>287.76</v>
      </c>
      <c r="J663" s="3" t="str">
        <f t="shared" si="303"/>
        <v>0</v>
      </c>
      <c r="K663" s="3">
        <f t="shared" si="304"/>
        <v>253.22880000000001</v>
      </c>
      <c r="L663" s="3" t="str">
        <f t="shared" si="305"/>
        <v>0</v>
      </c>
      <c r="M663" s="3">
        <f t="shared" si="306"/>
        <v>7092.2039999999997</v>
      </c>
      <c r="N663" s="3">
        <f t="shared" si="307"/>
        <v>0</v>
      </c>
      <c r="O663" s="3" t="str">
        <f t="shared" si="308"/>
        <v>0</v>
      </c>
      <c r="P663" s="3" t="str">
        <f t="shared" si="309"/>
        <v>0</v>
      </c>
      <c r="Q663" s="3" t="str">
        <f t="shared" si="310"/>
        <v>0</v>
      </c>
      <c r="R663" s="3" t="str">
        <f t="shared" si="311"/>
        <v>0</v>
      </c>
      <c r="S663" s="3">
        <f t="shared" si="312"/>
        <v>0</v>
      </c>
      <c r="T663" s="3" t="str">
        <f t="shared" si="313"/>
        <v>0</v>
      </c>
      <c r="U663" s="3"/>
      <c r="V663" s="3"/>
      <c r="W663" s="3"/>
      <c r="X663" s="3"/>
      <c r="Y663" s="3"/>
      <c r="Z663" s="3"/>
    </row>
    <row r="664" spans="1:26" x14ac:dyDescent="0.25">
      <c r="A664" s="2">
        <v>46109</v>
      </c>
      <c r="B664" s="3" t="s">
        <v>170</v>
      </c>
      <c r="C664" s="3" t="s">
        <v>235</v>
      </c>
      <c r="D664" s="170">
        <v>766.83199999999999</v>
      </c>
      <c r="E664" s="221">
        <v>0.995</v>
      </c>
      <c r="F664" s="211">
        <f t="shared" si="315"/>
        <v>762.99784</v>
      </c>
      <c r="G664" s="172">
        <f t="shared" si="301"/>
        <v>0</v>
      </c>
      <c r="H664" s="3"/>
      <c r="I664" s="3" t="str">
        <f t="shared" si="302"/>
        <v>0</v>
      </c>
      <c r="J664" s="3" t="str">
        <f t="shared" si="303"/>
        <v>0</v>
      </c>
      <c r="K664" s="3" t="str">
        <f t="shared" si="304"/>
        <v>0</v>
      </c>
      <c r="L664" s="3" t="str">
        <f t="shared" si="305"/>
        <v>0</v>
      </c>
      <c r="M664" s="3">
        <f t="shared" si="306"/>
        <v>0</v>
      </c>
      <c r="N664" s="3">
        <f t="shared" si="307"/>
        <v>0</v>
      </c>
      <c r="O664" s="3">
        <f t="shared" si="308"/>
        <v>766.83199999999999</v>
      </c>
      <c r="P664" s="3" t="str">
        <f t="shared" si="309"/>
        <v>0</v>
      </c>
      <c r="Q664" s="3">
        <f t="shared" si="310"/>
        <v>762.99784</v>
      </c>
      <c r="R664" s="3" t="str">
        <f t="shared" si="311"/>
        <v>0</v>
      </c>
      <c r="S664" s="3">
        <f t="shared" si="312"/>
        <v>0</v>
      </c>
      <c r="T664" s="3" t="str">
        <f t="shared" si="313"/>
        <v>0</v>
      </c>
      <c r="U664" s="3"/>
      <c r="V664" s="3"/>
      <c r="W664" s="3"/>
      <c r="X664" s="3"/>
      <c r="Y664" s="3"/>
      <c r="Z664" s="3"/>
    </row>
    <row r="665" spans="1:26" x14ac:dyDescent="0.25">
      <c r="A665" s="2">
        <v>46109</v>
      </c>
      <c r="B665" s="3" t="s">
        <v>170</v>
      </c>
      <c r="C665" s="3" t="s">
        <v>230</v>
      </c>
      <c r="D665" s="170">
        <v>75.944000000000003</v>
      </c>
      <c r="E665" s="221">
        <v>0.995</v>
      </c>
      <c r="F665" s="211">
        <f t="shared" si="315"/>
        <v>75.564279999999997</v>
      </c>
      <c r="G665" s="172">
        <f t="shared" si="301"/>
        <v>0</v>
      </c>
      <c r="H665" s="3"/>
      <c r="I665" s="3" t="str">
        <f t="shared" si="302"/>
        <v>0</v>
      </c>
      <c r="J665" s="3" t="str">
        <f t="shared" si="303"/>
        <v>0</v>
      </c>
      <c r="K665" s="3" t="str">
        <f t="shared" si="304"/>
        <v>0</v>
      </c>
      <c r="L665" s="3" t="str">
        <f t="shared" si="305"/>
        <v>0</v>
      </c>
      <c r="M665" s="3">
        <f t="shared" si="306"/>
        <v>0</v>
      </c>
      <c r="N665" s="3">
        <f t="shared" si="307"/>
        <v>0</v>
      </c>
      <c r="O665" s="3">
        <f t="shared" si="308"/>
        <v>75.944000000000003</v>
      </c>
      <c r="P665" s="3" t="str">
        <f t="shared" si="309"/>
        <v>0</v>
      </c>
      <c r="Q665" s="3">
        <f t="shared" si="310"/>
        <v>75.564279999999997</v>
      </c>
      <c r="R665" s="3" t="str">
        <f t="shared" si="311"/>
        <v>0</v>
      </c>
      <c r="S665" s="3">
        <f t="shared" si="312"/>
        <v>0</v>
      </c>
      <c r="T665" s="3" t="str">
        <f t="shared" si="313"/>
        <v>0</v>
      </c>
      <c r="U665" s="3"/>
      <c r="V665" s="3"/>
      <c r="W665" s="3"/>
      <c r="X665" s="3"/>
      <c r="Y665" s="3"/>
      <c r="Z665" s="3"/>
    </row>
    <row r="666" spans="1:26" x14ac:dyDescent="0.25">
      <c r="A666" s="2">
        <v>46111</v>
      </c>
      <c r="B666" s="3" t="s">
        <v>169</v>
      </c>
      <c r="C666" s="3" t="s">
        <v>230</v>
      </c>
      <c r="D666" s="170">
        <v>287.75399999999996</v>
      </c>
      <c r="E666" s="221">
        <v>0.88</v>
      </c>
      <c r="F666" s="211">
        <f t="shared" ref="F666:F668" si="316">+D666*E666</f>
        <v>253.22351999999998</v>
      </c>
      <c r="G666" s="172">
        <f t="shared" si="301"/>
        <v>15.19492344155077</v>
      </c>
      <c r="H666" s="3">
        <v>4372.3999999999996</v>
      </c>
      <c r="I666" s="3">
        <f t="shared" si="302"/>
        <v>287.75399999999996</v>
      </c>
      <c r="J666" s="3" t="str">
        <f t="shared" si="303"/>
        <v>0</v>
      </c>
      <c r="K666" s="3">
        <f t="shared" si="304"/>
        <v>253.22351999999998</v>
      </c>
      <c r="L666" s="3" t="str">
        <f t="shared" si="305"/>
        <v>0</v>
      </c>
      <c r="M666" s="3">
        <f t="shared" si="306"/>
        <v>4591.0199999999995</v>
      </c>
      <c r="N666" s="3">
        <f t="shared" si="307"/>
        <v>0</v>
      </c>
      <c r="O666" s="3" t="str">
        <f t="shared" si="308"/>
        <v>0</v>
      </c>
      <c r="P666" s="3" t="str">
        <f t="shared" si="309"/>
        <v>0</v>
      </c>
      <c r="Q666" s="3" t="str">
        <f t="shared" si="310"/>
        <v>0</v>
      </c>
      <c r="R666" s="3" t="str">
        <f t="shared" si="311"/>
        <v>0</v>
      </c>
      <c r="S666" s="3">
        <f t="shared" si="312"/>
        <v>0</v>
      </c>
      <c r="T666" s="3" t="str">
        <f t="shared" si="313"/>
        <v>0</v>
      </c>
      <c r="U666" s="3"/>
      <c r="V666" s="3"/>
      <c r="W666" s="3"/>
      <c r="X666" s="3"/>
      <c r="Y666" s="3"/>
      <c r="Z666" s="3"/>
    </row>
    <row r="667" spans="1:26" x14ac:dyDescent="0.25">
      <c r="A667" s="2">
        <v>46111</v>
      </c>
      <c r="B667" s="3" t="s">
        <v>169</v>
      </c>
      <c r="C667" s="169" t="s">
        <v>228</v>
      </c>
      <c r="D667" s="170">
        <v>732.15440000000012</v>
      </c>
      <c r="E667" s="221">
        <v>0.88</v>
      </c>
      <c r="F667" s="211">
        <f t="shared" si="316"/>
        <v>644.29587200000014</v>
      </c>
      <c r="G667" s="172">
        <f t="shared" si="301"/>
        <v>14.121952965112275</v>
      </c>
      <c r="H667" s="3">
        <v>10339.450000000001</v>
      </c>
      <c r="I667" s="3">
        <f t="shared" si="302"/>
        <v>732.15440000000012</v>
      </c>
      <c r="J667" s="3" t="str">
        <f t="shared" si="303"/>
        <v>0</v>
      </c>
      <c r="K667" s="3">
        <f t="shared" si="304"/>
        <v>644.29587200000014</v>
      </c>
      <c r="L667" s="3" t="str">
        <f t="shared" si="305"/>
        <v>0</v>
      </c>
      <c r="M667" s="3">
        <f t="shared" si="306"/>
        <v>10856.422500000001</v>
      </c>
      <c r="N667" s="3">
        <f t="shared" si="307"/>
        <v>0</v>
      </c>
      <c r="O667" s="3" t="str">
        <f t="shared" si="308"/>
        <v>0</v>
      </c>
      <c r="P667" s="3" t="str">
        <f t="shared" si="309"/>
        <v>0</v>
      </c>
      <c r="Q667" s="3" t="str">
        <f t="shared" si="310"/>
        <v>0</v>
      </c>
      <c r="R667" s="3" t="str">
        <f t="shared" si="311"/>
        <v>0</v>
      </c>
      <c r="S667" s="3">
        <f t="shared" si="312"/>
        <v>0</v>
      </c>
      <c r="T667" s="3" t="str">
        <f t="shared" si="313"/>
        <v>0</v>
      </c>
      <c r="U667" s="3"/>
      <c r="V667" s="3"/>
      <c r="W667" s="3"/>
      <c r="X667" s="3"/>
      <c r="Y667" s="3"/>
      <c r="Z667" s="3"/>
    </row>
    <row r="668" spans="1:26" x14ac:dyDescent="0.25">
      <c r="A668" s="2">
        <v>46111</v>
      </c>
      <c r="B668" s="3" t="s">
        <v>170</v>
      </c>
      <c r="C668" s="169" t="s">
        <v>233</v>
      </c>
      <c r="D668" s="170">
        <v>732.15383499999996</v>
      </c>
      <c r="E668" s="221">
        <v>0.995</v>
      </c>
      <c r="F668" s="211">
        <f t="shared" si="316"/>
        <v>728.49306582499992</v>
      </c>
      <c r="G668" s="172"/>
      <c r="H668" s="3"/>
      <c r="I668" s="3" t="str">
        <f t="shared" si="302"/>
        <v>0</v>
      </c>
      <c r="J668" s="3" t="str">
        <f t="shared" si="303"/>
        <v>0</v>
      </c>
      <c r="K668" s="3" t="str">
        <f t="shared" si="304"/>
        <v>0</v>
      </c>
      <c r="L668" s="3" t="str">
        <f t="shared" si="305"/>
        <v>0</v>
      </c>
      <c r="M668" s="3">
        <f t="shared" si="306"/>
        <v>0</v>
      </c>
      <c r="N668" s="3">
        <f t="shared" si="307"/>
        <v>0</v>
      </c>
      <c r="O668" s="3">
        <f t="shared" si="308"/>
        <v>732.15383499999996</v>
      </c>
      <c r="P668" s="3" t="str">
        <f t="shared" si="309"/>
        <v>0</v>
      </c>
      <c r="Q668" s="3">
        <f t="shared" si="310"/>
        <v>728.49306582499992</v>
      </c>
      <c r="R668" s="3" t="str">
        <f t="shared" si="311"/>
        <v>0</v>
      </c>
      <c r="S668" s="3">
        <f t="shared" si="312"/>
        <v>0</v>
      </c>
      <c r="T668" s="3" t="str">
        <f t="shared" si="313"/>
        <v>0</v>
      </c>
      <c r="U668" s="3"/>
      <c r="V668" s="3"/>
      <c r="W668" s="3"/>
      <c r="X668" s="3"/>
      <c r="Y668" s="3"/>
      <c r="Z668" s="3"/>
    </row>
    <row r="669" spans="1:26" x14ac:dyDescent="0.25">
      <c r="A669" s="2">
        <v>46111</v>
      </c>
      <c r="B669" s="3" t="s">
        <v>170</v>
      </c>
      <c r="C669" s="3" t="s">
        <v>230</v>
      </c>
      <c r="D669" s="170">
        <v>503.41030000000001</v>
      </c>
      <c r="E669" s="221">
        <v>0.88</v>
      </c>
      <c r="F669" s="211">
        <f>+D669*E669</f>
        <v>443.00106399999999</v>
      </c>
      <c r="G669" s="172">
        <f>+H669/D669</f>
        <v>3.9729024217422646</v>
      </c>
      <c r="H669" s="3">
        <v>2000</v>
      </c>
      <c r="I669" s="3" t="str">
        <f t="shared" si="302"/>
        <v>0</v>
      </c>
      <c r="J669" s="3" t="str">
        <f t="shared" si="303"/>
        <v>0</v>
      </c>
      <c r="K669" s="3" t="str">
        <f t="shared" si="304"/>
        <v>0</v>
      </c>
      <c r="L669" s="3" t="str">
        <f t="shared" si="305"/>
        <v>0</v>
      </c>
      <c r="M669" s="3">
        <f t="shared" si="306"/>
        <v>0</v>
      </c>
      <c r="N669" s="3">
        <f t="shared" si="307"/>
        <v>0</v>
      </c>
      <c r="O669" s="3">
        <f t="shared" si="308"/>
        <v>503.41030000000001</v>
      </c>
      <c r="P669" s="3" t="str">
        <f t="shared" si="309"/>
        <v>0</v>
      </c>
      <c r="Q669" s="3">
        <f t="shared" si="310"/>
        <v>443.00106399999999</v>
      </c>
      <c r="R669" s="3" t="str">
        <f t="shared" si="311"/>
        <v>0</v>
      </c>
      <c r="S669" s="3">
        <f t="shared" si="312"/>
        <v>2100</v>
      </c>
      <c r="T669" s="3" t="str">
        <f t="shared" si="313"/>
        <v>0</v>
      </c>
      <c r="U669" s="3"/>
      <c r="V669" s="3"/>
      <c r="W669" s="3"/>
      <c r="X669" s="3"/>
      <c r="Y669" s="3"/>
      <c r="Z669" s="3"/>
    </row>
    <row r="670" spans="1:26" x14ac:dyDescent="0.25">
      <c r="A670" s="2">
        <v>46111</v>
      </c>
      <c r="B670" s="3" t="s">
        <v>212</v>
      </c>
      <c r="C670" s="169" t="s">
        <v>228</v>
      </c>
      <c r="D670" s="170">
        <v>443.00106399999999</v>
      </c>
      <c r="E670" s="221">
        <v>0.88</v>
      </c>
      <c r="F670" s="211">
        <f>+D670*E670</f>
        <v>389.84093631999997</v>
      </c>
      <c r="G670" s="172">
        <f>+H670/D670</f>
        <v>1.4559784443316823</v>
      </c>
      <c r="H670" s="3">
        <v>645</v>
      </c>
      <c r="I670" s="3" t="str">
        <f t="shared" si="302"/>
        <v>0</v>
      </c>
      <c r="J670" s="3">
        <f t="shared" si="303"/>
        <v>443.00106399999999</v>
      </c>
      <c r="K670" s="3" t="str">
        <f t="shared" si="304"/>
        <v>0</v>
      </c>
      <c r="L670" s="3">
        <f t="shared" si="305"/>
        <v>389.84093631999997</v>
      </c>
      <c r="M670" s="3">
        <f t="shared" si="306"/>
        <v>0</v>
      </c>
      <c r="N670" s="3">
        <f t="shared" si="307"/>
        <v>677.25</v>
      </c>
      <c r="O670" s="3" t="str">
        <f t="shared" si="308"/>
        <v>0</v>
      </c>
      <c r="P670" s="3" t="str">
        <f t="shared" si="309"/>
        <v>0</v>
      </c>
      <c r="Q670" s="3" t="str">
        <f t="shared" si="310"/>
        <v>0</v>
      </c>
      <c r="R670" s="3" t="str">
        <f t="shared" si="311"/>
        <v>0</v>
      </c>
      <c r="S670" s="3">
        <f t="shared" si="312"/>
        <v>0</v>
      </c>
      <c r="T670" s="3" t="str">
        <f t="shared" si="313"/>
        <v>0</v>
      </c>
      <c r="U670" s="3"/>
      <c r="V670" s="3"/>
      <c r="W670" s="3"/>
      <c r="X670" s="3"/>
      <c r="Y670" s="3"/>
      <c r="Z670" s="3"/>
    </row>
    <row r="671" spans="1:26" x14ac:dyDescent="0.25">
      <c r="A671" s="2">
        <v>46112</v>
      </c>
      <c r="B671" s="3" t="s">
        <v>169</v>
      </c>
      <c r="C671" s="169" t="s">
        <v>237</v>
      </c>
      <c r="D671" s="170">
        <v>174.68219999999999</v>
      </c>
      <c r="E671" s="221">
        <v>0.88</v>
      </c>
      <c r="F671" s="211">
        <f t="shared" ref="F671:F674" si="317">+D671*E671</f>
        <v>153.720336</v>
      </c>
      <c r="G671" s="172">
        <f t="shared" ref="G671:G673" si="318">+H671/D671</f>
        <v>5.6159127833288114</v>
      </c>
      <c r="H671" s="3">
        <v>981</v>
      </c>
      <c r="I671" s="3">
        <f t="shared" si="302"/>
        <v>174.68219999999999</v>
      </c>
      <c r="J671" s="3" t="str">
        <f t="shared" si="303"/>
        <v>0</v>
      </c>
      <c r="K671" s="3">
        <f t="shared" si="304"/>
        <v>153.720336</v>
      </c>
      <c r="L671" s="3" t="str">
        <f t="shared" si="305"/>
        <v>0</v>
      </c>
      <c r="M671" s="3">
        <f t="shared" si="306"/>
        <v>1030.05</v>
      </c>
      <c r="N671" s="3">
        <f t="shared" si="307"/>
        <v>0</v>
      </c>
      <c r="O671" s="3" t="str">
        <f t="shared" si="308"/>
        <v>0</v>
      </c>
      <c r="P671" s="3" t="str">
        <f t="shared" si="309"/>
        <v>0</v>
      </c>
      <c r="Q671" s="3" t="str">
        <f t="shared" si="310"/>
        <v>0</v>
      </c>
      <c r="R671" s="3" t="str">
        <f t="shared" si="311"/>
        <v>0</v>
      </c>
      <c r="S671" s="3">
        <f t="shared" si="312"/>
        <v>0</v>
      </c>
      <c r="T671" s="3" t="str">
        <f t="shared" si="313"/>
        <v>0</v>
      </c>
      <c r="U671" s="3"/>
      <c r="V671" s="3"/>
      <c r="W671" s="3"/>
      <c r="X671" s="3"/>
      <c r="Y671" s="3"/>
      <c r="Z671" s="3"/>
    </row>
    <row r="672" spans="1:26" x14ac:dyDescent="0.25">
      <c r="A672" s="2">
        <v>46112</v>
      </c>
      <c r="B672" s="3" t="s">
        <v>169</v>
      </c>
      <c r="C672" s="3" t="s">
        <v>230</v>
      </c>
      <c r="D672" s="170">
        <v>287.76</v>
      </c>
      <c r="E672" s="221">
        <v>0.88</v>
      </c>
      <c r="F672" s="211">
        <f t="shared" si="317"/>
        <v>253.22880000000001</v>
      </c>
      <c r="G672" s="172">
        <f t="shared" si="318"/>
        <v>24.22574367528496</v>
      </c>
      <c r="H672" s="3">
        <v>6971.2</v>
      </c>
      <c r="I672" s="3">
        <f t="shared" si="302"/>
        <v>287.76</v>
      </c>
      <c r="J672" s="3" t="str">
        <f t="shared" si="303"/>
        <v>0</v>
      </c>
      <c r="K672" s="3">
        <f t="shared" si="304"/>
        <v>253.22880000000001</v>
      </c>
      <c r="L672" s="3" t="str">
        <f t="shared" si="305"/>
        <v>0</v>
      </c>
      <c r="M672" s="3">
        <f t="shared" si="306"/>
        <v>7319.76</v>
      </c>
      <c r="N672" s="3">
        <f t="shared" si="307"/>
        <v>0</v>
      </c>
      <c r="O672" s="3" t="str">
        <f t="shared" si="308"/>
        <v>0</v>
      </c>
      <c r="P672" s="3" t="str">
        <f t="shared" si="309"/>
        <v>0</v>
      </c>
      <c r="Q672" s="3" t="str">
        <f t="shared" si="310"/>
        <v>0</v>
      </c>
      <c r="R672" s="3" t="str">
        <f t="shared" si="311"/>
        <v>0</v>
      </c>
      <c r="S672" s="3">
        <f t="shared" si="312"/>
        <v>0</v>
      </c>
      <c r="T672" s="3" t="str">
        <f t="shared" si="313"/>
        <v>0</v>
      </c>
      <c r="U672" s="3"/>
      <c r="V672" s="3"/>
      <c r="W672" s="3"/>
      <c r="X672" s="3"/>
      <c r="Y672" s="3"/>
      <c r="Z672" s="3"/>
    </row>
    <row r="673" spans="1:26" x14ac:dyDescent="0.25">
      <c r="A673" s="2">
        <v>46112</v>
      </c>
      <c r="B673" s="3" t="s">
        <v>169</v>
      </c>
      <c r="C673" s="169" t="s">
        <v>233</v>
      </c>
      <c r="D673" s="170">
        <v>766.83199999999999</v>
      </c>
      <c r="E673" s="221">
        <v>0.88</v>
      </c>
      <c r="F673" s="211">
        <f t="shared" si="317"/>
        <v>674.81215999999995</v>
      </c>
      <c r="G673" s="172">
        <f t="shared" si="318"/>
        <v>0.78778663383896341</v>
      </c>
      <c r="H673" s="3">
        <v>604.1</v>
      </c>
      <c r="I673" s="3">
        <f t="shared" si="302"/>
        <v>766.83199999999999</v>
      </c>
      <c r="J673" s="3" t="str">
        <f t="shared" si="303"/>
        <v>0</v>
      </c>
      <c r="K673" s="3">
        <f t="shared" si="304"/>
        <v>674.81215999999995</v>
      </c>
      <c r="L673" s="3" t="str">
        <f t="shared" si="305"/>
        <v>0</v>
      </c>
      <c r="M673" s="3">
        <f t="shared" si="306"/>
        <v>634.30500000000006</v>
      </c>
      <c r="N673" s="3">
        <f t="shared" si="307"/>
        <v>0</v>
      </c>
      <c r="O673" s="3" t="str">
        <f t="shared" si="308"/>
        <v>0</v>
      </c>
      <c r="P673" s="3" t="str">
        <f t="shared" si="309"/>
        <v>0</v>
      </c>
      <c r="Q673" s="3" t="str">
        <f t="shared" si="310"/>
        <v>0</v>
      </c>
      <c r="R673" s="3" t="str">
        <f t="shared" si="311"/>
        <v>0</v>
      </c>
      <c r="S673" s="3">
        <f t="shared" si="312"/>
        <v>0</v>
      </c>
      <c r="T673" s="3" t="str">
        <f t="shared" si="313"/>
        <v>0</v>
      </c>
      <c r="U673" s="3"/>
      <c r="V673" s="3"/>
      <c r="W673" s="3"/>
      <c r="X673" s="3"/>
      <c r="Y673" s="3"/>
      <c r="Z673" s="3"/>
    </row>
    <row r="674" spans="1:26" x14ac:dyDescent="0.25">
      <c r="A674" s="2">
        <v>46112</v>
      </c>
      <c r="B674" s="3" t="s">
        <v>170</v>
      </c>
      <c r="C674" s="169" t="s">
        <v>237</v>
      </c>
      <c r="D674" s="170">
        <v>75.944000000000003</v>
      </c>
      <c r="E674" s="221">
        <v>0.995</v>
      </c>
      <c r="F674" s="211">
        <f t="shared" si="317"/>
        <v>75.564279999999997</v>
      </c>
      <c r="G674" s="172">
        <f t="shared" si="301"/>
        <v>0</v>
      </c>
      <c r="H674" s="3"/>
      <c r="I674" s="3" t="str">
        <f t="shared" si="302"/>
        <v>0</v>
      </c>
      <c r="J674" s="3" t="str">
        <f t="shared" si="303"/>
        <v>0</v>
      </c>
      <c r="K674" s="3" t="str">
        <f t="shared" si="304"/>
        <v>0</v>
      </c>
      <c r="L674" s="3" t="str">
        <f t="shared" si="305"/>
        <v>0</v>
      </c>
      <c r="M674" s="3">
        <f t="shared" si="306"/>
        <v>0</v>
      </c>
      <c r="N674" s="3">
        <f t="shared" si="307"/>
        <v>0</v>
      </c>
      <c r="O674" s="3">
        <f t="shared" si="308"/>
        <v>75.944000000000003</v>
      </c>
      <c r="P674" s="3" t="str">
        <f t="shared" si="309"/>
        <v>0</v>
      </c>
      <c r="Q674" s="3">
        <f t="shared" si="310"/>
        <v>75.564279999999997</v>
      </c>
      <c r="R674" s="3" t="str">
        <f t="shared" si="311"/>
        <v>0</v>
      </c>
      <c r="S674" s="3">
        <f t="shared" si="312"/>
        <v>0</v>
      </c>
      <c r="T674" s="3" t="str">
        <f t="shared" si="313"/>
        <v>0</v>
      </c>
      <c r="U674" s="3"/>
      <c r="V674" s="3"/>
      <c r="W674" s="3"/>
      <c r="X674" s="3"/>
      <c r="Y674" s="3"/>
      <c r="Z674" s="3"/>
    </row>
    <row r="675" spans="1:26" x14ac:dyDescent="0.25">
      <c r="A675" s="2">
        <v>46055</v>
      </c>
      <c r="B675" s="3" t="s">
        <v>169</v>
      </c>
      <c r="C675" s="169" t="s">
        <v>236</v>
      </c>
      <c r="D675" s="232">
        <v>287.75399999999996</v>
      </c>
      <c r="E675" s="171">
        <v>0.92</v>
      </c>
      <c r="F675" s="211">
        <f>+D675*E675</f>
        <v>264.73367999999999</v>
      </c>
      <c r="G675" s="172">
        <f>+H675/D675</f>
        <v>8.9883025083925876</v>
      </c>
      <c r="H675" s="176">
        <v>2586.42</v>
      </c>
      <c r="I675" s="3">
        <f t="shared" si="302"/>
        <v>287.75399999999996</v>
      </c>
      <c r="J675" s="3" t="str">
        <f t="shared" si="303"/>
        <v>0</v>
      </c>
      <c r="K675" s="3">
        <f t="shared" si="304"/>
        <v>264.73367999999999</v>
      </c>
      <c r="L675" s="3" t="str">
        <f t="shared" si="305"/>
        <v>0</v>
      </c>
      <c r="M675" s="3">
        <f t="shared" si="306"/>
        <v>2715.741</v>
      </c>
      <c r="N675" s="3">
        <f t="shared" si="307"/>
        <v>0</v>
      </c>
      <c r="O675" s="3" t="str">
        <f t="shared" si="308"/>
        <v>0</v>
      </c>
      <c r="P675" s="3" t="str">
        <f t="shared" si="309"/>
        <v>0</v>
      </c>
      <c r="Q675" s="3" t="str">
        <f t="shared" si="310"/>
        <v>0</v>
      </c>
      <c r="R675" s="3" t="str">
        <f t="shared" si="311"/>
        <v>0</v>
      </c>
      <c r="S675" s="3">
        <f t="shared" si="312"/>
        <v>0</v>
      </c>
      <c r="T675" s="3" t="str">
        <f t="shared" si="313"/>
        <v>0</v>
      </c>
      <c r="U675" s="3"/>
      <c r="V675" s="3"/>
      <c r="W675" s="3"/>
      <c r="X675" s="3"/>
      <c r="Y675" s="3"/>
      <c r="Z675" s="3"/>
    </row>
    <row r="676" spans="1:26" x14ac:dyDescent="0.25">
      <c r="A676" s="2">
        <v>46055</v>
      </c>
      <c r="B676" s="3" t="s">
        <v>170</v>
      </c>
      <c r="C676" s="169" t="s">
        <v>236</v>
      </c>
      <c r="D676" s="232">
        <v>732.15440000000012</v>
      </c>
      <c r="E676" s="173">
        <v>0.995</v>
      </c>
      <c r="F676" s="231">
        <f>D676*E676</f>
        <v>728.49362800000017</v>
      </c>
      <c r="G676" s="3"/>
      <c r="H676" s="3">
        <f>D676*G676</f>
        <v>0</v>
      </c>
      <c r="I676" s="3" t="str">
        <f t="shared" si="302"/>
        <v>0</v>
      </c>
      <c r="J676" s="3" t="str">
        <f t="shared" si="303"/>
        <v>0</v>
      </c>
      <c r="K676" s="3" t="str">
        <f t="shared" si="304"/>
        <v>0</v>
      </c>
      <c r="L676" s="3" t="str">
        <f t="shared" si="305"/>
        <v>0</v>
      </c>
      <c r="M676" s="3">
        <f t="shared" si="306"/>
        <v>0</v>
      </c>
      <c r="N676" s="3">
        <f t="shared" si="307"/>
        <v>0</v>
      </c>
      <c r="O676" s="3">
        <f t="shared" si="308"/>
        <v>732.15440000000012</v>
      </c>
      <c r="P676" s="3" t="str">
        <f t="shared" si="309"/>
        <v>0</v>
      </c>
      <c r="Q676" s="3">
        <f t="shared" si="310"/>
        <v>728.49362800000017</v>
      </c>
      <c r="R676" s="3" t="str">
        <f t="shared" si="311"/>
        <v>0</v>
      </c>
      <c r="S676" s="3">
        <f t="shared" si="312"/>
        <v>0</v>
      </c>
      <c r="T676" s="3" t="str">
        <f t="shared" si="313"/>
        <v>0</v>
      </c>
      <c r="U676" s="3"/>
      <c r="V676" s="3"/>
      <c r="W676" s="3"/>
      <c r="X676" s="3"/>
      <c r="Y676" s="3"/>
      <c r="Z676" s="3"/>
    </row>
    <row r="677" spans="1:26" x14ac:dyDescent="0.25">
      <c r="A677" s="2">
        <v>46055</v>
      </c>
      <c r="B677" s="3" t="s">
        <v>170</v>
      </c>
      <c r="C677" s="3" t="s">
        <v>235</v>
      </c>
      <c r="D677" s="232">
        <v>732.15383499999996</v>
      </c>
      <c r="E677" s="173">
        <v>0.995</v>
      </c>
      <c r="F677" s="231">
        <f>D677*E677</f>
        <v>728.49306582499992</v>
      </c>
      <c r="G677" s="3"/>
      <c r="H677" s="3">
        <f>D677*G677</f>
        <v>0</v>
      </c>
      <c r="I677" s="3" t="str">
        <f t="shared" si="302"/>
        <v>0</v>
      </c>
      <c r="J677" s="3" t="str">
        <f t="shared" si="303"/>
        <v>0</v>
      </c>
      <c r="K677" s="3" t="str">
        <f t="shared" si="304"/>
        <v>0</v>
      </c>
      <c r="L677" s="3" t="str">
        <f t="shared" si="305"/>
        <v>0</v>
      </c>
      <c r="M677" s="3">
        <f t="shared" si="306"/>
        <v>0</v>
      </c>
      <c r="N677" s="3">
        <f t="shared" si="307"/>
        <v>0</v>
      </c>
      <c r="O677" s="3">
        <f t="shared" si="308"/>
        <v>732.15383499999996</v>
      </c>
      <c r="P677" s="3" t="str">
        <f t="shared" si="309"/>
        <v>0</v>
      </c>
      <c r="Q677" s="3">
        <f t="shared" si="310"/>
        <v>728.49306582499992</v>
      </c>
      <c r="R677" s="3" t="str">
        <f t="shared" si="311"/>
        <v>0</v>
      </c>
      <c r="S677" s="3">
        <f t="shared" si="312"/>
        <v>0</v>
      </c>
      <c r="T677" s="3" t="str">
        <f t="shared" si="313"/>
        <v>0</v>
      </c>
      <c r="U677" s="3"/>
      <c r="V677" s="3"/>
      <c r="W677" s="3"/>
      <c r="X677" s="3"/>
      <c r="Y677" s="3"/>
      <c r="Z677" s="3"/>
    </row>
    <row r="678" spans="1:26" x14ac:dyDescent="0.25">
      <c r="A678" s="2">
        <v>46055</v>
      </c>
      <c r="B678" s="3" t="s">
        <v>170</v>
      </c>
      <c r="C678" s="169" t="s">
        <v>241</v>
      </c>
      <c r="D678" s="232">
        <v>652</v>
      </c>
      <c r="E678" s="173">
        <v>0.995</v>
      </c>
      <c r="F678" s="231">
        <f>D678*E678</f>
        <v>648.74</v>
      </c>
      <c r="G678" s="3"/>
      <c r="H678" s="3">
        <f>D678*G678</f>
        <v>0</v>
      </c>
      <c r="I678" s="3" t="str">
        <f t="shared" si="302"/>
        <v>0</v>
      </c>
      <c r="J678" s="3" t="str">
        <f t="shared" si="303"/>
        <v>0</v>
      </c>
      <c r="K678" s="3" t="str">
        <f t="shared" si="304"/>
        <v>0</v>
      </c>
      <c r="L678" s="3" t="str">
        <f t="shared" si="305"/>
        <v>0</v>
      </c>
      <c r="M678" s="3">
        <f t="shared" si="306"/>
        <v>0</v>
      </c>
      <c r="N678" s="3">
        <f t="shared" si="307"/>
        <v>0</v>
      </c>
      <c r="O678" s="3">
        <f t="shared" si="308"/>
        <v>652</v>
      </c>
      <c r="P678" s="3" t="str">
        <f t="shared" si="309"/>
        <v>0</v>
      </c>
      <c r="Q678" s="3">
        <f t="shared" si="310"/>
        <v>648.74</v>
      </c>
      <c r="R678" s="3" t="str">
        <f t="shared" si="311"/>
        <v>0</v>
      </c>
      <c r="S678" s="3">
        <f t="shared" si="312"/>
        <v>0</v>
      </c>
      <c r="T678" s="3" t="str">
        <f t="shared" si="313"/>
        <v>0</v>
      </c>
      <c r="U678" s="3"/>
      <c r="V678" s="3"/>
      <c r="W678" s="3"/>
      <c r="X678" s="3"/>
      <c r="Y678" s="3"/>
      <c r="Z678" s="3"/>
    </row>
    <row r="679" spans="1:26" x14ac:dyDescent="0.25">
      <c r="A679" s="2">
        <v>46055</v>
      </c>
      <c r="B679" s="3" t="s">
        <v>171</v>
      </c>
      <c r="C679" s="169" t="s">
        <v>236</v>
      </c>
      <c r="D679" s="232"/>
      <c r="E679" s="239"/>
      <c r="F679" s="239">
        <f>D679*E679</f>
        <v>0</v>
      </c>
      <c r="G679" s="3"/>
      <c r="H679" s="3">
        <f>D679*G679</f>
        <v>0</v>
      </c>
      <c r="I679" s="3" t="str">
        <f t="shared" si="302"/>
        <v>0</v>
      </c>
      <c r="J679" s="3" t="str">
        <f t="shared" si="303"/>
        <v>0</v>
      </c>
      <c r="K679" s="3" t="str">
        <f t="shared" si="304"/>
        <v>0</v>
      </c>
      <c r="L679" s="3" t="str">
        <f t="shared" si="305"/>
        <v>0</v>
      </c>
      <c r="M679" s="3">
        <f t="shared" si="306"/>
        <v>0</v>
      </c>
      <c r="N679" s="3">
        <f t="shared" si="307"/>
        <v>0</v>
      </c>
      <c r="O679" s="3" t="str">
        <f t="shared" si="308"/>
        <v>0</v>
      </c>
      <c r="P679" s="3" t="str">
        <f t="shared" si="309"/>
        <v>0</v>
      </c>
      <c r="Q679" s="3" t="str">
        <f t="shared" si="310"/>
        <v>0</v>
      </c>
      <c r="R679" s="3" t="str">
        <f t="shared" si="311"/>
        <v>0</v>
      </c>
      <c r="S679" s="3">
        <f t="shared" si="312"/>
        <v>0</v>
      </c>
      <c r="T679" s="3" t="str">
        <f t="shared" si="313"/>
        <v>0</v>
      </c>
      <c r="U679" s="3">
        <v>2715</v>
      </c>
      <c r="V679" s="3"/>
      <c r="W679" s="3"/>
      <c r="X679" s="3"/>
      <c r="Y679" s="3"/>
      <c r="Z679" s="3"/>
    </row>
    <row r="680" spans="1:26" x14ac:dyDescent="0.25">
      <c r="A680" s="2">
        <v>46055</v>
      </c>
      <c r="B680" s="3" t="s">
        <v>171</v>
      </c>
      <c r="C680" s="169" t="s">
        <v>246</v>
      </c>
      <c r="D680" s="232"/>
      <c r="E680" s="239"/>
      <c r="F680" s="239">
        <f>D680*E680</f>
        <v>0</v>
      </c>
      <c r="G680" s="172"/>
      <c r="H680" s="176">
        <f>D680*G680</f>
        <v>0</v>
      </c>
      <c r="I680" s="3" t="str">
        <f t="shared" si="302"/>
        <v>0</v>
      </c>
      <c r="J680" s="3" t="str">
        <f t="shared" si="303"/>
        <v>0</v>
      </c>
      <c r="K680" s="3" t="str">
        <f t="shared" si="304"/>
        <v>0</v>
      </c>
      <c r="L680" s="3" t="str">
        <f t="shared" si="305"/>
        <v>0</v>
      </c>
      <c r="M680" s="3">
        <f t="shared" si="306"/>
        <v>0</v>
      </c>
      <c r="N680" s="3">
        <f t="shared" si="307"/>
        <v>0</v>
      </c>
      <c r="O680" s="3" t="str">
        <f t="shared" si="308"/>
        <v>0</v>
      </c>
      <c r="P680" s="3" t="str">
        <f t="shared" si="309"/>
        <v>0</v>
      </c>
      <c r="Q680" s="3" t="str">
        <f t="shared" si="310"/>
        <v>0</v>
      </c>
      <c r="R680" s="3" t="str">
        <f t="shared" si="311"/>
        <v>0</v>
      </c>
      <c r="S680" s="3">
        <f t="shared" si="312"/>
        <v>0</v>
      </c>
      <c r="T680" s="3" t="str">
        <f t="shared" si="313"/>
        <v>0</v>
      </c>
      <c r="U680" s="3">
        <v>2830</v>
      </c>
      <c r="V680" s="3"/>
      <c r="W680" s="3"/>
      <c r="X680" s="3"/>
      <c r="Y680" s="3"/>
      <c r="Z680" s="3"/>
    </row>
    <row r="681" spans="1:26" x14ac:dyDescent="0.25">
      <c r="A681" s="2">
        <v>46056</v>
      </c>
      <c r="B681" s="3" t="s">
        <v>169</v>
      </c>
      <c r="C681" s="169" t="s">
        <v>229</v>
      </c>
      <c r="D681" s="232">
        <v>537.20000000000005</v>
      </c>
      <c r="E681" s="173">
        <v>0.88</v>
      </c>
      <c r="F681" s="239">
        <f>+D681*E681</f>
        <v>472.73600000000005</v>
      </c>
      <c r="G681" s="172">
        <f>+H681/D681</f>
        <v>7</v>
      </c>
      <c r="H681" s="176">
        <v>3760.4</v>
      </c>
      <c r="I681" s="3">
        <f t="shared" si="302"/>
        <v>537.20000000000005</v>
      </c>
      <c r="J681" s="3" t="str">
        <f t="shared" si="303"/>
        <v>0</v>
      </c>
      <c r="K681" s="3">
        <f t="shared" si="304"/>
        <v>472.73600000000005</v>
      </c>
      <c r="L681" s="3" t="str">
        <f t="shared" si="305"/>
        <v>0</v>
      </c>
      <c r="M681" s="3">
        <f t="shared" si="306"/>
        <v>3948.42</v>
      </c>
      <c r="N681" s="3">
        <f t="shared" si="307"/>
        <v>0</v>
      </c>
      <c r="O681" s="3" t="str">
        <f t="shared" si="308"/>
        <v>0</v>
      </c>
      <c r="P681" s="3" t="str">
        <f t="shared" si="309"/>
        <v>0</v>
      </c>
      <c r="Q681" s="3" t="str">
        <f t="shared" si="310"/>
        <v>0</v>
      </c>
      <c r="R681" s="3" t="str">
        <f t="shared" si="311"/>
        <v>0</v>
      </c>
      <c r="S681" s="3">
        <f t="shared" si="312"/>
        <v>0</v>
      </c>
      <c r="T681" s="3" t="str">
        <f t="shared" si="313"/>
        <v>0</v>
      </c>
      <c r="U681" s="3"/>
      <c r="V681" s="3"/>
      <c r="W681" s="3"/>
      <c r="X681" s="3"/>
      <c r="Y681" s="3"/>
      <c r="Z681" s="3"/>
    </row>
    <row r="682" spans="1:26" x14ac:dyDescent="0.25">
      <c r="A682" s="2">
        <v>46056</v>
      </c>
      <c r="B682" s="3" t="s">
        <v>169</v>
      </c>
      <c r="C682" s="169" t="s">
        <v>247</v>
      </c>
      <c r="D682" s="232">
        <v>177.9</v>
      </c>
      <c r="E682" s="173">
        <v>0.88</v>
      </c>
      <c r="F682" s="239">
        <f>+D682*E682</f>
        <v>156.55199999999999</v>
      </c>
      <c r="G682" s="172">
        <f>+H682/D682</f>
        <v>6.9999999999999991</v>
      </c>
      <c r="H682" s="176">
        <v>1245.3</v>
      </c>
      <c r="I682" s="3">
        <f t="shared" si="302"/>
        <v>177.9</v>
      </c>
      <c r="J682" s="3" t="str">
        <f t="shared" si="303"/>
        <v>0</v>
      </c>
      <c r="K682" s="3">
        <f t="shared" si="304"/>
        <v>156.55199999999999</v>
      </c>
      <c r="L682" s="3" t="str">
        <f t="shared" si="305"/>
        <v>0</v>
      </c>
      <c r="M682" s="3">
        <f t="shared" si="306"/>
        <v>1307.5650000000001</v>
      </c>
      <c r="N682" s="3">
        <f t="shared" si="307"/>
        <v>0</v>
      </c>
      <c r="O682" s="3" t="str">
        <f t="shared" si="308"/>
        <v>0</v>
      </c>
      <c r="P682" s="3" t="str">
        <f t="shared" si="309"/>
        <v>0</v>
      </c>
      <c r="Q682" s="3" t="str">
        <f t="shared" si="310"/>
        <v>0</v>
      </c>
      <c r="R682" s="3" t="str">
        <f t="shared" si="311"/>
        <v>0</v>
      </c>
      <c r="S682" s="3">
        <f t="shared" si="312"/>
        <v>0</v>
      </c>
      <c r="T682" s="3" t="str">
        <f t="shared" si="313"/>
        <v>0</v>
      </c>
      <c r="U682" s="3"/>
      <c r="V682" s="3"/>
      <c r="W682" s="3"/>
      <c r="X682" s="3"/>
      <c r="Y682" s="3"/>
      <c r="Z682" s="3"/>
    </row>
    <row r="683" spans="1:26" x14ac:dyDescent="0.25">
      <c r="A683" s="2">
        <v>46056</v>
      </c>
      <c r="B683" s="3" t="s">
        <v>170</v>
      </c>
      <c r="C683" s="169" t="s">
        <v>229</v>
      </c>
      <c r="D683" s="232">
        <v>459.8</v>
      </c>
      <c r="E683" s="173">
        <v>0.995</v>
      </c>
      <c r="F683" s="239">
        <f>D683*E683</f>
        <v>457.50100000000003</v>
      </c>
      <c r="G683" s="172"/>
      <c r="H683" s="3">
        <f>D683*G683</f>
        <v>0</v>
      </c>
      <c r="I683" s="3" t="str">
        <f t="shared" si="302"/>
        <v>0</v>
      </c>
      <c r="J683" s="3" t="str">
        <f t="shared" si="303"/>
        <v>0</v>
      </c>
      <c r="K683" s="3" t="str">
        <f t="shared" si="304"/>
        <v>0</v>
      </c>
      <c r="L683" s="3" t="str">
        <f t="shared" si="305"/>
        <v>0</v>
      </c>
      <c r="M683" s="3">
        <f t="shared" si="306"/>
        <v>0</v>
      </c>
      <c r="N683" s="3">
        <f t="shared" si="307"/>
        <v>0</v>
      </c>
      <c r="O683" s="3">
        <f t="shared" si="308"/>
        <v>459.8</v>
      </c>
      <c r="P683" s="3" t="str">
        <f t="shared" si="309"/>
        <v>0</v>
      </c>
      <c r="Q683" s="3">
        <f t="shared" si="310"/>
        <v>457.50100000000003</v>
      </c>
      <c r="R683" s="3" t="str">
        <f t="shared" si="311"/>
        <v>0</v>
      </c>
      <c r="S683" s="3">
        <f t="shared" si="312"/>
        <v>0</v>
      </c>
      <c r="T683" s="3" t="str">
        <f t="shared" si="313"/>
        <v>0</v>
      </c>
      <c r="U683" s="3"/>
      <c r="V683" s="3"/>
      <c r="W683" s="3"/>
      <c r="X683" s="3"/>
      <c r="Y683" s="3"/>
      <c r="Z683" s="3"/>
    </row>
    <row r="684" spans="1:26" x14ac:dyDescent="0.25">
      <c r="A684" s="2">
        <v>46056</v>
      </c>
      <c r="B684" s="2" t="s">
        <v>170</v>
      </c>
      <c r="C684" s="169" t="s">
        <v>238</v>
      </c>
      <c r="D684" s="232">
        <v>977.91</v>
      </c>
      <c r="E684" s="173">
        <v>0.995</v>
      </c>
      <c r="F684" s="239">
        <f>D684*E684</f>
        <v>973.02044999999998</v>
      </c>
      <c r="G684" s="3"/>
      <c r="H684" s="3">
        <f>D684*G684</f>
        <v>0</v>
      </c>
      <c r="I684" s="3" t="str">
        <f t="shared" si="302"/>
        <v>0</v>
      </c>
      <c r="J684" s="3" t="str">
        <f t="shared" si="303"/>
        <v>0</v>
      </c>
      <c r="K684" s="3" t="str">
        <f t="shared" si="304"/>
        <v>0</v>
      </c>
      <c r="L684" s="3" t="str">
        <f t="shared" si="305"/>
        <v>0</v>
      </c>
      <c r="M684" s="3">
        <f t="shared" si="306"/>
        <v>0</v>
      </c>
      <c r="N684" s="3">
        <f t="shared" si="307"/>
        <v>0</v>
      </c>
      <c r="O684" s="3">
        <f t="shared" si="308"/>
        <v>977.91</v>
      </c>
      <c r="P684" s="3" t="str">
        <f t="shared" si="309"/>
        <v>0</v>
      </c>
      <c r="Q684" s="3">
        <f t="shared" si="310"/>
        <v>973.02044999999998</v>
      </c>
      <c r="R684" s="3" t="str">
        <f t="shared" si="311"/>
        <v>0</v>
      </c>
      <c r="S684" s="3">
        <f t="shared" si="312"/>
        <v>0</v>
      </c>
      <c r="T684" s="3" t="str">
        <f t="shared" si="313"/>
        <v>0</v>
      </c>
      <c r="U684" s="3"/>
      <c r="V684" s="3"/>
      <c r="W684" s="3"/>
      <c r="X684" s="3"/>
      <c r="Y684" s="3"/>
      <c r="Z684" s="3"/>
    </row>
    <row r="685" spans="1:26" x14ac:dyDescent="0.25">
      <c r="A685" s="2">
        <v>46056</v>
      </c>
      <c r="B685" s="2" t="s">
        <v>209</v>
      </c>
      <c r="C685" s="169" t="s">
        <v>239</v>
      </c>
      <c r="D685" s="232">
        <v>233.28</v>
      </c>
      <c r="E685" s="173">
        <v>0.999</v>
      </c>
      <c r="F685" s="239">
        <f>+D685*E685</f>
        <v>233.04671999999999</v>
      </c>
      <c r="G685" s="3"/>
      <c r="H685" s="3">
        <f>D685*G685</f>
        <v>0</v>
      </c>
      <c r="I685" s="3" t="str">
        <f t="shared" si="302"/>
        <v>0</v>
      </c>
      <c r="J685" s="3" t="str">
        <f t="shared" si="303"/>
        <v>0</v>
      </c>
      <c r="K685" s="3" t="str">
        <f t="shared" si="304"/>
        <v>0</v>
      </c>
      <c r="L685" s="3" t="str">
        <f t="shared" si="305"/>
        <v>0</v>
      </c>
      <c r="M685" s="3">
        <f t="shared" si="306"/>
        <v>0</v>
      </c>
      <c r="N685" s="3">
        <f t="shared" si="307"/>
        <v>0</v>
      </c>
      <c r="O685" s="3" t="str">
        <f t="shared" si="308"/>
        <v>0</v>
      </c>
      <c r="P685" s="3">
        <f t="shared" si="309"/>
        <v>233.28</v>
      </c>
      <c r="Q685" s="3" t="str">
        <f t="shared" si="310"/>
        <v>0</v>
      </c>
      <c r="R685" s="3">
        <f t="shared" si="311"/>
        <v>233.04671999999999</v>
      </c>
      <c r="S685" s="3">
        <f t="shared" si="312"/>
        <v>0</v>
      </c>
      <c r="T685" s="3">
        <f t="shared" si="313"/>
        <v>0</v>
      </c>
      <c r="U685" s="3"/>
      <c r="V685" s="3"/>
      <c r="W685" s="3"/>
      <c r="X685" s="3"/>
      <c r="Y685" s="3"/>
      <c r="Z685" s="3"/>
    </row>
    <row r="686" spans="1:26" x14ac:dyDescent="0.25">
      <c r="A686" s="2">
        <v>46056</v>
      </c>
      <c r="B686" s="2" t="s">
        <v>171</v>
      </c>
      <c r="C686" s="169" t="s">
        <v>241</v>
      </c>
      <c r="D686" s="4"/>
      <c r="E686" s="239"/>
      <c r="F686" s="239">
        <f>D686*E686</f>
        <v>0</v>
      </c>
      <c r="G686" s="3"/>
      <c r="H686" s="3">
        <f>D686*G686</f>
        <v>0</v>
      </c>
      <c r="I686" s="3" t="str">
        <f t="shared" si="302"/>
        <v>0</v>
      </c>
      <c r="J686" s="3" t="str">
        <f t="shared" si="303"/>
        <v>0</v>
      </c>
      <c r="K686" s="3" t="str">
        <f t="shared" si="304"/>
        <v>0</v>
      </c>
      <c r="L686" s="3" t="str">
        <f t="shared" si="305"/>
        <v>0</v>
      </c>
      <c r="M686" s="3">
        <f t="shared" si="306"/>
        <v>0</v>
      </c>
      <c r="N686" s="3">
        <f t="shared" si="307"/>
        <v>0</v>
      </c>
      <c r="O686" s="3" t="str">
        <f t="shared" si="308"/>
        <v>0</v>
      </c>
      <c r="P686" s="3" t="str">
        <f t="shared" si="309"/>
        <v>0</v>
      </c>
      <c r="Q686" s="3" t="str">
        <f t="shared" si="310"/>
        <v>0</v>
      </c>
      <c r="R686" s="3" t="str">
        <f t="shared" si="311"/>
        <v>0</v>
      </c>
      <c r="S686" s="3">
        <f t="shared" si="312"/>
        <v>0</v>
      </c>
      <c r="T686" s="3" t="str">
        <f t="shared" si="313"/>
        <v>0</v>
      </c>
      <c r="U686" s="3"/>
      <c r="V686" s="3">
        <v>10000</v>
      </c>
      <c r="W686" s="3"/>
      <c r="X686" s="3"/>
      <c r="Y686" s="3"/>
      <c r="Z686" s="3"/>
    </row>
    <row r="687" spans="1:26" x14ac:dyDescent="0.25">
      <c r="A687" s="2">
        <v>46057</v>
      </c>
      <c r="B687" s="3" t="s">
        <v>171</v>
      </c>
      <c r="C687" s="169" t="s">
        <v>229</v>
      </c>
      <c r="D687" s="232"/>
      <c r="E687" s="173"/>
      <c r="F687" s="239"/>
      <c r="G687" s="172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>
        <v>15000</v>
      </c>
      <c r="V687" s="3"/>
      <c r="W687" s="3"/>
      <c r="X687" s="3"/>
      <c r="Y687" s="3"/>
      <c r="Z687" s="3"/>
    </row>
    <row r="688" spans="1:26" x14ac:dyDescent="0.25">
      <c r="A688" s="2">
        <v>46057</v>
      </c>
      <c r="B688" s="2" t="s">
        <v>169</v>
      </c>
      <c r="C688" s="3" t="s">
        <v>235</v>
      </c>
      <c r="D688" s="232">
        <v>2771.13</v>
      </c>
      <c r="E688" s="173">
        <v>0.88</v>
      </c>
      <c r="F688" s="239">
        <f>+D688*E688</f>
        <v>2438.5944</v>
      </c>
      <c r="G688" s="172">
        <f>+H688/D688</f>
        <v>7.4051307589322768</v>
      </c>
      <c r="H688" s="176">
        <v>20520.580000000002</v>
      </c>
      <c r="I688" s="3">
        <f>IF(B688="SALES",D688,"0")</f>
        <v>2771.13</v>
      </c>
      <c r="J688" s="3" t="str">
        <f>IF(B688="SALES RETURN",D688,"0")</f>
        <v>0</v>
      </c>
      <c r="K688" s="3">
        <f>IF(B688="SALES",F688,"0")</f>
        <v>2438.5944</v>
      </c>
      <c r="L688" s="3" t="str">
        <f>IF(B688="SALES RETURN",F688,"0")</f>
        <v>0</v>
      </c>
      <c r="M688" s="3">
        <f>IF(B688="SALES",H688,"0")+IF(B688="SALES",H688,"0")*5%</f>
        <v>21546.609</v>
      </c>
      <c r="N688" s="3">
        <f>IF(B688="SALES RETURN",H688,"0")+IF(B688="SALES RETURN",H688,"0")*5%</f>
        <v>0</v>
      </c>
      <c r="O688" s="3" t="str">
        <f>IF(B688="PURCHASE",D688,"0")</f>
        <v>0</v>
      </c>
      <c r="P688" s="3" t="str">
        <f>IF(B688="METAL PAYMENT",D688,"0")</f>
        <v>0</v>
      </c>
      <c r="Q688" s="3" t="str">
        <f>IF(B688="PURCHASE",F688,"0")</f>
        <v>0</v>
      </c>
      <c r="R688" s="3" t="str">
        <f>IF(B688="METAL PAYMENT",F688,"0")</f>
        <v>0</v>
      </c>
      <c r="S688" s="3">
        <f>IF(B688="PURCHASE",H688,"0")+IF(B688="PURCHASE",H688,"0")*5%</f>
        <v>0</v>
      </c>
      <c r="T688" s="3" t="str">
        <f>IF(B688="METAL PAYMENT",H688,"0")</f>
        <v>0</v>
      </c>
      <c r="U688" s="3"/>
      <c r="V688" s="3"/>
      <c r="W688" s="3"/>
      <c r="X688" s="3"/>
      <c r="Y688" s="3"/>
      <c r="Z688" s="3"/>
    </row>
    <row r="689" spans="1:26" x14ac:dyDescent="0.25">
      <c r="A689" s="2">
        <v>46057</v>
      </c>
      <c r="B689" s="2" t="s">
        <v>171</v>
      </c>
      <c r="C689" s="3" t="s">
        <v>235</v>
      </c>
      <c r="D689" s="232"/>
      <c r="E689" s="173"/>
      <c r="F689" s="239"/>
      <c r="G689" s="172"/>
      <c r="H689" s="176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>
        <v>30000</v>
      </c>
      <c r="V689" s="3"/>
      <c r="W689" s="3"/>
      <c r="X689" s="3"/>
      <c r="Y689" s="3"/>
      <c r="Z689" s="3"/>
    </row>
    <row r="690" spans="1:26" x14ac:dyDescent="0.25">
      <c r="A690" s="2">
        <v>46057</v>
      </c>
      <c r="B690" s="2" t="s">
        <v>169</v>
      </c>
      <c r="C690" s="169" t="s">
        <v>247</v>
      </c>
      <c r="D690" s="232">
        <v>2325.1999999999998</v>
      </c>
      <c r="E690" s="173">
        <v>0.88</v>
      </c>
      <c r="F690" s="239">
        <f>+D690*E690</f>
        <v>2046.1759999999999</v>
      </c>
      <c r="G690" s="172">
        <f>+H690/D690</f>
        <v>7.1980044727335288</v>
      </c>
      <c r="H690" s="176">
        <v>16736.8</v>
      </c>
      <c r="I690" s="3">
        <f>IF(B690="SALES",D690,"0")</f>
        <v>2325.1999999999998</v>
      </c>
      <c r="J690" s="3" t="str">
        <f>IF(B690="SALES RETURN",D690,"0")</f>
        <v>0</v>
      </c>
      <c r="K690" s="3">
        <f>IF(B690="SALES",F690,"0")</f>
        <v>2046.1759999999999</v>
      </c>
      <c r="L690" s="3" t="str">
        <f>IF(B690="SALES RETURN",F690,"0")</f>
        <v>0</v>
      </c>
      <c r="M690" s="3">
        <f>IF(B690="SALES",H690,"0")+IF(B690="SALES",H690,"0")*5%</f>
        <v>17573.64</v>
      </c>
      <c r="N690" s="3">
        <f>IF(B690="SALES RETURN",H690,"0")+IF(B690="SALES RETURN",H690,"0")*5%</f>
        <v>0</v>
      </c>
      <c r="O690" s="3" t="str">
        <f>IF(B690="PURCHASE",D690,"0")</f>
        <v>0</v>
      </c>
      <c r="P690" s="3" t="str">
        <f>IF(B690="METAL PAYMENT",D690,"0")</f>
        <v>0</v>
      </c>
      <c r="Q690" s="3" t="str">
        <f>IF(B690="PURCHASE",F690,"0")</f>
        <v>0</v>
      </c>
      <c r="R690" s="3" t="str">
        <f>IF(B690="METAL PAYMENT",F690,"0")</f>
        <v>0</v>
      </c>
      <c r="S690" s="3">
        <f>IF(B690="PURCHASE",H690,"0")+IF(B690="PURCHASE",H690,"0")*5%</f>
        <v>0</v>
      </c>
      <c r="T690" s="3" t="str">
        <f>IF(B690="METAL PAYMENT",H690,"0")</f>
        <v>0</v>
      </c>
      <c r="U690" s="3"/>
      <c r="V690" s="3"/>
      <c r="W690" s="3"/>
      <c r="X690" s="3"/>
      <c r="Y690" s="3"/>
      <c r="Z690" s="3"/>
    </row>
    <row r="691" spans="1:26" x14ac:dyDescent="0.25">
      <c r="A691" s="2">
        <v>46057</v>
      </c>
      <c r="B691" s="2" t="s">
        <v>171</v>
      </c>
      <c r="C691" s="169" t="s">
        <v>247</v>
      </c>
      <c r="D691" s="232"/>
      <c r="E691" s="173"/>
      <c r="F691" s="239"/>
      <c r="G691" s="172"/>
      <c r="H691" s="176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>
        <v>50000</v>
      </c>
      <c r="V691" s="3"/>
      <c r="W691" s="3"/>
      <c r="X691" s="3"/>
      <c r="Y691" s="3"/>
      <c r="Z691" s="3"/>
    </row>
    <row r="692" spans="1:26" x14ac:dyDescent="0.25">
      <c r="A692" s="2">
        <v>46057</v>
      </c>
      <c r="B692" s="2" t="s">
        <v>169</v>
      </c>
      <c r="C692" s="169" t="s">
        <v>247</v>
      </c>
      <c r="D692" s="232">
        <v>146.30000000000001</v>
      </c>
      <c r="E692" s="173">
        <v>0.88</v>
      </c>
      <c r="F692" s="239">
        <f>+D692*E692</f>
        <v>128.744</v>
      </c>
      <c r="G692" s="172">
        <f>+H692/D692</f>
        <v>4.5635680109364314</v>
      </c>
      <c r="H692" s="176">
        <v>667.65</v>
      </c>
      <c r="I692" s="3">
        <f>IF(B692="SALES",D692,"0")</f>
        <v>146.30000000000001</v>
      </c>
      <c r="J692" s="3" t="str">
        <f>IF(B692="SALES RETURN",D692,"0")</f>
        <v>0</v>
      </c>
      <c r="K692" s="3">
        <f>IF(B692="SALES",F692,"0")</f>
        <v>128.744</v>
      </c>
      <c r="L692" s="3" t="str">
        <f>IF(B692="SALES RETURN",F692,"0")</f>
        <v>0</v>
      </c>
      <c r="M692" s="3">
        <f>IF(B692="SALES",H692,"0")+IF(B692="SALES",H692,"0")*5%</f>
        <v>701.03250000000003</v>
      </c>
      <c r="N692" s="3">
        <f>IF(B692="SALES RETURN",H692,"0")+IF(B692="SALES RETURN",H692,"0")*5%</f>
        <v>0</v>
      </c>
      <c r="O692" s="3" t="str">
        <f>IF(B692="PURCHASE",D692,"0")</f>
        <v>0</v>
      </c>
      <c r="P692" s="3" t="str">
        <f>IF(B692="METAL PAYMENT",D692,"0")</f>
        <v>0</v>
      </c>
      <c r="Q692" s="3" t="str">
        <f>IF(B692="PURCHASE",F692,"0")</f>
        <v>0</v>
      </c>
      <c r="R692" s="3" t="str">
        <f>IF(B692="METAL PAYMENT",F692,"0")</f>
        <v>0</v>
      </c>
      <c r="S692" s="3">
        <f>IF(B692="PURCHASE",H692,"0")+IF(B692="PURCHASE",H692,"0")*5%</f>
        <v>0</v>
      </c>
      <c r="T692" s="3" t="str">
        <f>IF(B692="METAL PAYMENT",H692,"0")</f>
        <v>0</v>
      </c>
      <c r="U692" s="3"/>
      <c r="V692" s="3"/>
      <c r="W692" s="3"/>
      <c r="X692" s="3"/>
      <c r="Y692" s="3"/>
      <c r="Z692" s="3"/>
    </row>
    <row r="693" spans="1:26" x14ac:dyDescent="0.25">
      <c r="A693" s="2">
        <v>46057</v>
      </c>
      <c r="B693" s="2" t="s">
        <v>169</v>
      </c>
      <c r="C693" s="169" t="s">
        <v>236</v>
      </c>
      <c r="D693" s="232">
        <v>1229.6199999999999</v>
      </c>
      <c r="E693" s="173">
        <v>0.92</v>
      </c>
      <c r="F693" s="239">
        <f>+D693*E693</f>
        <v>1131.2503999999999</v>
      </c>
      <c r="G693" s="172">
        <f>+H693/D693</f>
        <v>3.250004066296905</v>
      </c>
      <c r="H693" s="176">
        <v>3996.27</v>
      </c>
      <c r="I693" s="3">
        <f>IF(B693="SALES",D693,"0")</f>
        <v>1229.6199999999999</v>
      </c>
      <c r="J693" s="3" t="str">
        <f>IF(B693="SALES RETURN",D693,"0")</f>
        <v>0</v>
      </c>
      <c r="K693" s="3">
        <f>IF(B693="SALES",F693,"0")</f>
        <v>1131.2503999999999</v>
      </c>
      <c r="L693" s="3" t="str">
        <f>IF(B693="SALES RETURN",F693,"0")</f>
        <v>0</v>
      </c>
      <c r="M693" s="3">
        <f>IF(B693="SALES",H693,"0")+IF(B693="SALES",H693,"0")*5%</f>
        <v>4196.0834999999997</v>
      </c>
      <c r="N693" s="3">
        <f>IF(B693="SALES RETURN",H693,"0")+IF(B693="SALES RETURN",H693,"0")*5%</f>
        <v>0</v>
      </c>
      <c r="O693" s="3" t="str">
        <f>IF(B693="PURCHASE",D693,"0")</f>
        <v>0</v>
      </c>
      <c r="P693" s="3" t="str">
        <f>IF(B693="METAL PAYMENT",D693,"0")</f>
        <v>0</v>
      </c>
      <c r="Q693" s="3" t="str">
        <f>IF(B693="PURCHASE",F693,"0")</f>
        <v>0</v>
      </c>
      <c r="R693" s="3" t="str">
        <f>IF(B693="METAL PAYMENT",F693,"0")</f>
        <v>0</v>
      </c>
      <c r="S693" s="3">
        <f>IF(B693="PURCHASE",H693,"0")+IF(B693="PURCHASE",H693,"0")*5%</f>
        <v>0</v>
      </c>
      <c r="T693" s="3" t="str">
        <f>IF(B693="METAL PAYMENT",H693,"0")</f>
        <v>0</v>
      </c>
      <c r="U693" s="3"/>
      <c r="V693" s="3"/>
      <c r="W693" s="3"/>
      <c r="X693" s="3"/>
      <c r="Y693" s="3"/>
      <c r="Z693" s="3"/>
    </row>
    <row r="694" spans="1:26" x14ac:dyDescent="0.25">
      <c r="A694" s="2">
        <v>46057</v>
      </c>
      <c r="B694" s="2" t="s">
        <v>170</v>
      </c>
      <c r="C694" s="3" t="s">
        <v>235</v>
      </c>
      <c r="D694" s="232">
        <v>1000</v>
      </c>
      <c r="E694" s="173">
        <v>1</v>
      </c>
      <c r="F694" s="239">
        <f>D694*E694</f>
        <v>1000</v>
      </c>
      <c r="G694" s="172"/>
      <c r="H694" s="176">
        <f>D694*G694</f>
        <v>0</v>
      </c>
      <c r="I694" s="3" t="str">
        <f>IF(B694="SALES",D694,"0")</f>
        <v>0</v>
      </c>
      <c r="J694" s="3" t="str">
        <f>IF(B694="SALES RETURN",D694,"0")</f>
        <v>0</v>
      </c>
      <c r="K694" s="3" t="str">
        <f>IF(B694="SALES",F694,"0")</f>
        <v>0</v>
      </c>
      <c r="L694" s="3" t="str">
        <f>IF(B694="SALES RETURN",F694,"0")</f>
        <v>0</v>
      </c>
      <c r="M694" s="3">
        <f>IF(B694="SALES",H694,"0")+IF(B694="SALES",H694,"0")*5%</f>
        <v>0</v>
      </c>
      <c r="N694" s="3">
        <f>IF(B694="SALES RETURN",H694,"0")+IF(B694="SALES RETURN",H694,"0")*5%</f>
        <v>0</v>
      </c>
      <c r="O694" s="3">
        <f>IF(B694="PURCHASE",D694,"0")</f>
        <v>1000</v>
      </c>
      <c r="P694" s="3" t="str">
        <f>IF(B694="METAL PAYMENT",D694,"0")</f>
        <v>0</v>
      </c>
      <c r="Q694" s="3">
        <f>IF(B694="PURCHASE",F694,"0")</f>
        <v>1000</v>
      </c>
      <c r="R694" s="3" t="str">
        <f>IF(B694="METAL PAYMENT",F694,"0")</f>
        <v>0</v>
      </c>
      <c r="S694" s="3">
        <f>IF(B694="PURCHASE",H694,"0")+IF(B694="PURCHASE",H694,"0")*5%</f>
        <v>0</v>
      </c>
      <c r="T694" s="3" t="str">
        <f>IF(B694="METAL PAYMENT",H694,"0")</f>
        <v>0</v>
      </c>
      <c r="U694" s="3"/>
      <c r="V694" s="3"/>
      <c r="W694" s="3"/>
      <c r="X694" s="3"/>
      <c r="Y694" s="3"/>
      <c r="Z694" s="3"/>
    </row>
    <row r="695" spans="1:26" x14ac:dyDescent="0.25">
      <c r="A695" s="2">
        <v>46057</v>
      </c>
      <c r="B695" s="2" t="s">
        <v>170</v>
      </c>
      <c r="C695" s="3" t="s">
        <v>248</v>
      </c>
      <c r="D695" s="232">
        <v>345.4</v>
      </c>
      <c r="E695" s="173">
        <v>0.995</v>
      </c>
      <c r="F695" s="239">
        <f>D695*E695</f>
        <v>343.673</v>
      </c>
      <c r="G695" s="172"/>
      <c r="H695" s="176">
        <f>D695*G695</f>
        <v>0</v>
      </c>
      <c r="I695" s="3" t="str">
        <f>IF(B695="SALES",D695,"0")</f>
        <v>0</v>
      </c>
      <c r="J695" s="3" t="str">
        <f>IF(B695="SALES RETURN",D695,"0")</f>
        <v>0</v>
      </c>
      <c r="K695" s="3" t="str">
        <f>IF(B695="SALES",F695,"0")</f>
        <v>0</v>
      </c>
      <c r="L695" s="3" t="str">
        <f>IF(B695="SALES RETURN",F695,"0")</f>
        <v>0</v>
      </c>
      <c r="M695" s="3">
        <f>IF(B695="SALES",H695,"0")+IF(B695="SALES",H695,"0")*5%</f>
        <v>0</v>
      </c>
      <c r="N695" s="3">
        <f>IF(B695="SALES RETURN",H695,"0")+IF(B695="SALES RETURN",H695,"0")*5%</f>
        <v>0</v>
      </c>
      <c r="O695" s="3">
        <f>IF(B695="PURCHASE",D695,"0")</f>
        <v>345.4</v>
      </c>
      <c r="P695" s="3" t="str">
        <f>IF(B695="METAL PAYMENT",D695,"0")</f>
        <v>0</v>
      </c>
      <c r="Q695" s="3">
        <f>IF(B695="PURCHASE",F695,"0")</f>
        <v>343.673</v>
      </c>
      <c r="R695" s="3" t="str">
        <f>IF(B695="METAL PAYMENT",F695,"0")</f>
        <v>0</v>
      </c>
      <c r="S695" s="3">
        <f>IF(B695="PURCHASE",H695,"0")+IF(B695="PURCHASE",H695,"0")*5%</f>
        <v>0</v>
      </c>
      <c r="T695" s="3" t="str">
        <f>IF(B695="METAL PAYMENT",H695,"0")</f>
        <v>0</v>
      </c>
      <c r="U695" s="3"/>
      <c r="V695" s="3"/>
      <c r="W695" s="3"/>
      <c r="X695" s="3"/>
      <c r="Y695" s="3"/>
      <c r="Z695" s="3"/>
    </row>
    <row r="696" spans="1:26" x14ac:dyDescent="0.25">
      <c r="A696" s="2">
        <v>46057</v>
      </c>
      <c r="B696" s="2" t="s">
        <v>171</v>
      </c>
      <c r="C696" s="3" t="s">
        <v>248</v>
      </c>
      <c r="D696" s="232"/>
      <c r="E696" s="173"/>
      <c r="F696" s="239"/>
      <c r="G696" s="172"/>
      <c r="H696" s="176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>
        <v>10000</v>
      </c>
      <c r="W696" s="3"/>
      <c r="X696" s="3"/>
      <c r="Y696" s="3"/>
      <c r="Z696" s="3"/>
    </row>
    <row r="697" spans="1:26" x14ac:dyDescent="0.25">
      <c r="A697" s="2">
        <v>46057</v>
      </c>
      <c r="B697" s="2" t="s">
        <v>170</v>
      </c>
      <c r="C697" s="169" t="s">
        <v>236</v>
      </c>
      <c r="D697" s="232">
        <v>1136.95</v>
      </c>
      <c r="E697" s="173">
        <v>0.995</v>
      </c>
      <c r="F697" s="239">
        <f>D697*E697</f>
        <v>1131.2652500000002</v>
      </c>
      <c r="G697" s="172"/>
      <c r="H697" s="176">
        <f>D697*G697</f>
        <v>0</v>
      </c>
      <c r="I697" s="3" t="str">
        <f t="shared" ref="I697:I760" si="319">IF(B697="SALES",D697,"0")</f>
        <v>0</v>
      </c>
      <c r="J697" s="3" t="str">
        <f t="shared" ref="J697:J760" si="320">IF(B697="SALES RETURN",D697,"0")</f>
        <v>0</v>
      </c>
      <c r="K697" s="3" t="str">
        <f t="shared" ref="K697:K760" si="321">IF(B697="SALES",F697,"0")</f>
        <v>0</v>
      </c>
      <c r="L697" s="3" t="str">
        <f>IF(B697="SALES RETURN",F697,"0")</f>
        <v>0</v>
      </c>
      <c r="M697" s="3">
        <f t="shared" ref="M697:M760" si="322">IF(B697="SALES",H697,"0")+IF(B697="SALES",H697,"0")*5%</f>
        <v>0</v>
      </c>
      <c r="N697" s="3">
        <f t="shared" ref="N697:N760" si="323">IF(B697="SALES RETURN",H697,"0")+IF(B697="SALES RETURN",H697,"0")*5%</f>
        <v>0</v>
      </c>
      <c r="O697" s="3">
        <f t="shared" ref="O697:O760" si="324">IF(B697="PURCHASE",D697,"0")</f>
        <v>1136.95</v>
      </c>
      <c r="P697" s="3" t="str">
        <f>IF(B697="METAL PAYMENT",D697,"0")</f>
        <v>0</v>
      </c>
      <c r="Q697" s="3">
        <f>IF(B697="PURCHASE",F697,"0")</f>
        <v>1131.2652500000002</v>
      </c>
      <c r="R697" s="3" t="str">
        <f>IF(B697="METAL PAYMENT",F697,"0")</f>
        <v>0</v>
      </c>
      <c r="S697" s="3">
        <f>IF(B697="PURCHASE",H697,"0")+IF(B697="PURCHASE",H697,"0")*5%</f>
        <v>0</v>
      </c>
      <c r="T697" s="3" t="str">
        <f>IF(B697="METAL PAYMENT",H697,"0")</f>
        <v>0</v>
      </c>
      <c r="U697" s="3"/>
      <c r="V697" s="3"/>
      <c r="W697" s="3"/>
      <c r="X697" s="3"/>
      <c r="Y697" s="3"/>
      <c r="Z697" s="3"/>
    </row>
    <row r="698" spans="1:26" x14ac:dyDescent="0.25">
      <c r="A698" s="2">
        <v>46057</v>
      </c>
      <c r="B698" s="2" t="s">
        <v>171</v>
      </c>
      <c r="C698" s="169" t="s">
        <v>236</v>
      </c>
      <c r="D698" s="232"/>
      <c r="E698" s="173"/>
      <c r="F698" s="239"/>
      <c r="G698" s="172"/>
      <c r="H698" s="176">
        <f>D698*G698</f>
        <v>0</v>
      </c>
      <c r="I698" s="3" t="str">
        <f t="shared" si="319"/>
        <v>0</v>
      </c>
      <c r="J698" s="3" t="str">
        <f t="shared" si="320"/>
        <v>0</v>
      </c>
      <c r="K698" s="3" t="str">
        <f t="shared" si="321"/>
        <v>0</v>
      </c>
      <c r="L698" s="3"/>
      <c r="M698" s="3">
        <f t="shared" si="322"/>
        <v>0</v>
      </c>
      <c r="N698" s="3">
        <f t="shared" si="323"/>
        <v>0</v>
      </c>
      <c r="O698" s="3" t="str">
        <f t="shared" si="324"/>
        <v>0</v>
      </c>
      <c r="P698" s="3"/>
      <c r="Q698" s="3"/>
      <c r="R698" s="3"/>
      <c r="S698" s="3"/>
      <c r="T698" s="3"/>
      <c r="U698" s="3">
        <v>4196</v>
      </c>
      <c r="V698" s="3"/>
      <c r="W698" s="3"/>
      <c r="X698" s="3"/>
      <c r="Y698" s="3"/>
      <c r="Z698" s="3"/>
    </row>
    <row r="699" spans="1:26" x14ac:dyDescent="0.25">
      <c r="A699" s="2">
        <v>46057</v>
      </c>
      <c r="B699" s="2" t="s">
        <v>171</v>
      </c>
      <c r="C699" s="4" t="s">
        <v>254</v>
      </c>
      <c r="D699" s="239"/>
      <c r="E699" s="239"/>
      <c r="F699" s="239">
        <f>D699*E699</f>
        <v>0</v>
      </c>
      <c r="G699" s="3"/>
      <c r="H699" s="3">
        <f>D699*G699</f>
        <v>0</v>
      </c>
      <c r="I699" s="3" t="str">
        <f t="shared" si="319"/>
        <v>0</v>
      </c>
      <c r="J699" s="3" t="str">
        <f t="shared" si="320"/>
        <v>0</v>
      </c>
      <c r="K699" s="3" t="str">
        <f t="shared" si="321"/>
        <v>0</v>
      </c>
      <c r="L699" s="3" t="str">
        <f t="shared" ref="L699:L762" si="325">IF(B699="SALES RETURN",F699,"0")</f>
        <v>0</v>
      </c>
      <c r="M699" s="3">
        <f t="shared" si="322"/>
        <v>0</v>
      </c>
      <c r="N699" s="3">
        <f t="shared" si="323"/>
        <v>0</v>
      </c>
      <c r="O699" s="3" t="str">
        <f t="shared" si="324"/>
        <v>0</v>
      </c>
      <c r="P699" s="3" t="str">
        <f t="shared" ref="P699:P762" si="326">IF(B699="METAL PAYMENT",D699,"0")</f>
        <v>0</v>
      </c>
      <c r="Q699" s="3" t="str">
        <f t="shared" ref="Q699:Q762" si="327">IF(B699="PURCHASE",F699,"0")</f>
        <v>0</v>
      </c>
      <c r="R699" s="3" t="str">
        <f t="shared" ref="R699:R762" si="328">IF(B699="METAL PAYMENT",F699,"0")</f>
        <v>0</v>
      </c>
      <c r="S699" s="3">
        <f t="shared" ref="S699:S762" si="329">IF(B699="PURCHASE",H699,"0")+IF(B699="PURCHASE",H699,"0")*5%</f>
        <v>0</v>
      </c>
      <c r="T699" s="3" t="str">
        <f t="shared" ref="T699:T762" si="330">IF(B699="METAL PAYMENT",H699,"0")</f>
        <v>0</v>
      </c>
      <c r="U699" s="3">
        <v>16115</v>
      </c>
      <c r="V699" s="3"/>
      <c r="W699" s="3"/>
      <c r="X699" s="3"/>
      <c r="Y699" s="3"/>
      <c r="Z699" s="3"/>
    </row>
    <row r="700" spans="1:26" x14ac:dyDescent="0.25">
      <c r="A700" s="2">
        <v>46058</v>
      </c>
      <c r="B700" s="2" t="s">
        <v>169</v>
      </c>
      <c r="C700" s="169" t="s">
        <v>247</v>
      </c>
      <c r="D700" s="232">
        <v>2697.5520000000001</v>
      </c>
      <c r="E700" s="173">
        <v>0.88</v>
      </c>
      <c r="F700" s="239">
        <f>+D700*E700</f>
        <v>2373.8457600000002</v>
      </c>
      <c r="G700" s="172">
        <f>+H700/D700</f>
        <v>0.12066495845121798</v>
      </c>
      <c r="H700" s="176">
        <v>325.5</v>
      </c>
      <c r="I700" s="3">
        <f t="shared" si="319"/>
        <v>2697.5520000000001</v>
      </c>
      <c r="J700" s="3" t="str">
        <f t="shared" si="320"/>
        <v>0</v>
      </c>
      <c r="K700" s="3">
        <f t="shared" si="321"/>
        <v>2373.8457600000002</v>
      </c>
      <c r="L700" s="3" t="str">
        <f t="shared" si="325"/>
        <v>0</v>
      </c>
      <c r="M700" s="3">
        <f t="shared" si="322"/>
        <v>341.77499999999998</v>
      </c>
      <c r="N700" s="3">
        <f t="shared" si="323"/>
        <v>0</v>
      </c>
      <c r="O700" s="3" t="str">
        <f t="shared" si="324"/>
        <v>0</v>
      </c>
      <c r="P700" s="3" t="str">
        <f t="shared" si="326"/>
        <v>0</v>
      </c>
      <c r="Q700" s="3" t="str">
        <f t="shared" si="327"/>
        <v>0</v>
      </c>
      <c r="R700" s="3" t="str">
        <f t="shared" si="328"/>
        <v>0</v>
      </c>
      <c r="S700" s="3">
        <f t="shared" si="329"/>
        <v>0</v>
      </c>
      <c r="T700" s="3" t="str">
        <f t="shared" si="330"/>
        <v>0</v>
      </c>
      <c r="U700" s="3"/>
      <c r="V700" s="3"/>
      <c r="W700" s="3"/>
      <c r="X700" s="3"/>
      <c r="Y700" s="3"/>
      <c r="Z700" s="3"/>
    </row>
    <row r="701" spans="1:26" x14ac:dyDescent="0.25">
      <c r="A701" s="2">
        <v>46058</v>
      </c>
      <c r="B701" s="2" t="s">
        <v>169</v>
      </c>
      <c r="C701" s="169" t="s">
        <v>228</v>
      </c>
      <c r="D701" s="232">
        <v>1285.8296</v>
      </c>
      <c r="E701" s="173">
        <v>0.88</v>
      </c>
      <c r="F701" s="239">
        <f>+D701*E701</f>
        <v>1131.5300480000001</v>
      </c>
      <c r="G701" s="172">
        <f>+H701/D701</f>
        <v>25.382095730258502</v>
      </c>
      <c r="H701" s="176">
        <v>32637.05</v>
      </c>
      <c r="I701" s="3">
        <f t="shared" si="319"/>
        <v>1285.8296</v>
      </c>
      <c r="J701" s="3" t="str">
        <f t="shared" si="320"/>
        <v>0</v>
      </c>
      <c r="K701" s="3">
        <f t="shared" si="321"/>
        <v>1131.5300480000001</v>
      </c>
      <c r="L701" s="3" t="str">
        <f t="shared" si="325"/>
        <v>0</v>
      </c>
      <c r="M701" s="3">
        <f t="shared" si="322"/>
        <v>34268.902499999997</v>
      </c>
      <c r="N701" s="3">
        <f t="shared" si="323"/>
        <v>0</v>
      </c>
      <c r="O701" s="3" t="str">
        <f t="shared" si="324"/>
        <v>0</v>
      </c>
      <c r="P701" s="3" t="str">
        <f t="shared" si="326"/>
        <v>0</v>
      </c>
      <c r="Q701" s="3" t="str">
        <f t="shared" si="327"/>
        <v>0</v>
      </c>
      <c r="R701" s="3" t="str">
        <f t="shared" si="328"/>
        <v>0</v>
      </c>
      <c r="S701" s="3">
        <f t="shared" si="329"/>
        <v>0</v>
      </c>
      <c r="T701" s="3" t="str">
        <f t="shared" si="330"/>
        <v>0</v>
      </c>
      <c r="U701" s="3"/>
      <c r="V701" s="3"/>
      <c r="W701" s="3"/>
      <c r="X701" s="3"/>
      <c r="Y701" s="3"/>
      <c r="Z701" s="3"/>
    </row>
    <row r="702" spans="1:26" x14ac:dyDescent="0.25">
      <c r="A702" s="2">
        <v>46058</v>
      </c>
      <c r="B702" s="2" t="s">
        <v>169</v>
      </c>
      <c r="C702" s="3" t="s">
        <v>235</v>
      </c>
      <c r="D702" s="232">
        <v>2457.9279999999999</v>
      </c>
      <c r="E702" s="173">
        <v>0.88</v>
      </c>
      <c r="F702" s="239">
        <f>+D702*E702</f>
        <v>2162.9766399999999</v>
      </c>
      <c r="G702" s="172">
        <f>+H702/D702</f>
        <v>1.7834167640386538</v>
      </c>
      <c r="H702" s="176">
        <v>4383.51</v>
      </c>
      <c r="I702" s="3">
        <f t="shared" si="319"/>
        <v>2457.9279999999999</v>
      </c>
      <c r="J702" s="3" t="str">
        <f t="shared" si="320"/>
        <v>0</v>
      </c>
      <c r="K702" s="3">
        <f t="shared" si="321"/>
        <v>2162.9766399999999</v>
      </c>
      <c r="L702" s="3" t="str">
        <f t="shared" si="325"/>
        <v>0</v>
      </c>
      <c r="M702" s="3">
        <f t="shared" si="322"/>
        <v>4602.6855000000005</v>
      </c>
      <c r="N702" s="3">
        <f t="shared" si="323"/>
        <v>0</v>
      </c>
      <c r="O702" s="3" t="str">
        <f t="shared" si="324"/>
        <v>0</v>
      </c>
      <c r="P702" s="3" t="str">
        <f t="shared" si="326"/>
        <v>0</v>
      </c>
      <c r="Q702" s="3" t="str">
        <f t="shared" si="327"/>
        <v>0</v>
      </c>
      <c r="R702" s="3" t="str">
        <f t="shared" si="328"/>
        <v>0</v>
      </c>
      <c r="S702" s="3">
        <f t="shared" si="329"/>
        <v>0</v>
      </c>
      <c r="T702" s="3" t="str">
        <f t="shared" si="330"/>
        <v>0</v>
      </c>
      <c r="U702" s="3"/>
      <c r="V702" s="3"/>
      <c r="W702" s="3"/>
      <c r="X702" s="3"/>
      <c r="Y702" s="3"/>
      <c r="Z702" s="3"/>
    </row>
    <row r="703" spans="1:26" x14ac:dyDescent="0.25">
      <c r="A703" s="2">
        <v>46058</v>
      </c>
      <c r="B703" s="2" t="s">
        <v>169</v>
      </c>
      <c r="C703" s="169" t="s">
        <v>233</v>
      </c>
      <c r="D703" s="232">
        <v>1199.1760000000002</v>
      </c>
      <c r="E703" s="173">
        <v>0.88</v>
      </c>
      <c r="F703" s="239">
        <f>+D703*E703</f>
        <v>1055.2748800000002</v>
      </c>
      <c r="G703" s="172">
        <f>+H703/D703</f>
        <v>13.670970733236823</v>
      </c>
      <c r="H703" s="176">
        <v>16393.900000000001</v>
      </c>
      <c r="I703" s="3">
        <f t="shared" si="319"/>
        <v>1199.1760000000002</v>
      </c>
      <c r="J703" s="3" t="str">
        <f t="shared" si="320"/>
        <v>0</v>
      </c>
      <c r="K703" s="3">
        <f t="shared" si="321"/>
        <v>1055.2748800000002</v>
      </c>
      <c r="L703" s="3" t="str">
        <f t="shared" si="325"/>
        <v>0</v>
      </c>
      <c r="M703" s="3">
        <f t="shared" si="322"/>
        <v>17213.595000000001</v>
      </c>
      <c r="N703" s="3">
        <f t="shared" si="323"/>
        <v>0</v>
      </c>
      <c r="O703" s="3" t="str">
        <f t="shared" si="324"/>
        <v>0</v>
      </c>
      <c r="P703" s="3" t="str">
        <f t="shared" si="326"/>
        <v>0</v>
      </c>
      <c r="Q703" s="3" t="str">
        <f t="shared" si="327"/>
        <v>0</v>
      </c>
      <c r="R703" s="3" t="str">
        <f t="shared" si="328"/>
        <v>0</v>
      </c>
      <c r="S703" s="3">
        <f t="shared" si="329"/>
        <v>0</v>
      </c>
      <c r="T703" s="3" t="str">
        <f t="shared" si="330"/>
        <v>0</v>
      </c>
      <c r="U703" s="3"/>
      <c r="V703" s="3"/>
      <c r="W703" s="3"/>
      <c r="X703" s="3"/>
      <c r="Y703" s="3"/>
      <c r="Z703" s="3"/>
    </row>
    <row r="704" spans="1:26" x14ac:dyDescent="0.25">
      <c r="A704" s="2">
        <v>46058</v>
      </c>
      <c r="B704" s="2" t="s">
        <v>169</v>
      </c>
      <c r="C704" s="169" t="s">
        <v>234</v>
      </c>
      <c r="D704" s="232">
        <v>500</v>
      </c>
      <c r="E704" s="173">
        <v>0.88</v>
      </c>
      <c r="F704" s="239">
        <f>+D704*E704</f>
        <v>440</v>
      </c>
      <c r="G704" s="172">
        <f>+H704/D704</f>
        <v>20.010000000000002</v>
      </c>
      <c r="H704" s="176">
        <v>10005</v>
      </c>
      <c r="I704" s="3">
        <f t="shared" si="319"/>
        <v>500</v>
      </c>
      <c r="J704" s="3" t="str">
        <f t="shared" si="320"/>
        <v>0</v>
      </c>
      <c r="K704" s="3">
        <f t="shared" si="321"/>
        <v>440</v>
      </c>
      <c r="L704" s="3" t="str">
        <f t="shared" si="325"/>
        <v>0</v>
      </c>
      <c r="M704" s="3">
        <f t="shared" si="322"/>
        <v>10505.25</v>
      </c>
      <c r="N704" s="3">
        <f t="shared" si="323"/>
        <v>0</v>
      </c>
      <c r="O704" s="3" t="str">
        <f t="shared" si="324"/>
        <v>0</v>
      </c>
      <c r="P704" s="3" t="str">
        <f t="shared" si="326"/>
        <v>0</v>
      </c>
      <c r="Q704" s="3" t="str">
        <f t="shared" si="327"/>
        <v>0</v>
      </c>
      <c r="R704" s="3" t="str">
        <f t="shared" si="328"/>
        <v>0</v>
      </c>
      <c r="S704" s="3">
        <f t="shared" si="329"/>
        <v>0</v>
      </c>
      <c r="T704" s="3" t="str">
        <f t="shared" si="330"/>
        <v>0</v>
      </c>
      <c r="U704" s="3"/>
      <c r="V704" s="3"/>
      <c r="W704" s="3"/>
      <c r="X704" s="3"/>
      <c r="Y704" s="3"/>
      <c r="Z704" s="3"/>
    </row>
    <row r="705" spans="1:26" x14ac:dyDescent="0.25">
      <c r="A705" s="2">
        <v>46058</v>
      </c>
      <c r="B705" s="2" t="s">
        <v>170</v>
      </c>
      <c r="C705" s="3" t="s">
        <v>235</v>
      </c>
      <c r="D705" s="232">
        <v>500</v>
      </c>
      <c r="E705" s="173">
        <v>1</v>
      </c>
      <c r="F705" s="239">
        <f>D705*E705</f>
        <v>500</v>
      </c>
      <c r="G705" s="172"/>
      <c r="H705" s="176"/>
      <c r="I705" s="3" t="str">
        <f t="shared" si="319"/>
        <v>0</v>
      </c>
      <c r="J705" s="3" t="str">
        <f t="shared" si="320"/>
        <v>0</v>
      </c>
      <c r="K705" s="3" t="str">
        <f t="shared" si="321"/>
        <v>0</v>
      </c>
      <c r="L705" s="3" t="str">
        <f t="shared" si="325"/>
        <v>0</v>
      </c>
      <c r="M705" s="3">
        <f t="shared" si="322"/>
        <v>0</v>
      </c>
      <c r="N705" s="3">
        <f t="shared" si="323"/>
        <v>0</v>
      </c>
      <c r="O705" s="3">
        <f t="shared" si="324"/>
        <v>500</v>
      </c>
      <c r="P705" s="3" t="str">
        <f t="shared" si="326"/>
        <v>0</v>
      </c>
      <c r="Q705" s="3">
        <f t="shared" si="327"/>
        <v>500</v>
      </c>
      <c r="R705" s="3" t="str">
        <f t="shared" si="328"/>
        <v>0</v>
      </c>
      <c r="S705" s="3">
        <f t="shared" si="329"/>
        <v>0</v>
      </c>
      <c r="T705" s="3" t="str">
        <f t="shared" si="330"/>
        <v>0</v>
      </c>
      <c r="U705" s="3"/>
      <c r="V705" s="3"/>
      <c r="W705" s="3"/>
      <c r="X705" s="3"/>
      <c r="Y705" s="3"/>
      <c r="Z705" s="3"/>
    </row>
    <row r="706" spans="1:26" x14ac:dyDescent="0.25">
      <c r="A706" s="2">
        <v>46058</v>
      </c>
      <c r="B706" s="2" t="s">
        <v>170</v>
      </c>
      <c r="C706" s="3" t="s">
        <v>249</v>
      </c>
      <c r="D706" s="232">
        <v>304.5</v>
      </c>
      <c r="E706" s="171">
        <v>0.995</v>
      </c>
      <c r="F706" s="239">
        <f>D706*E706</f>
        <v>302.97750000000002</v>
      </c>
      <c r="G706" s="172"/>
      <c r="H706" s="176"/>
      <c r="I706" s="3" t="str">
        <f t="shared" si="319"/>
        <v>0</v>
      </c>
      <c r="J706" s="3" t="str">
        <f t="shared" si="320"/>
        <v>0</v>
      </c>
      <c r="K706" s="3" t="str">
        <f t="shared" si="321"/>
        <v>0</v>
      </c>
      <c r="L706" s="3" t="str">
        <f t="shared" si="325"/>
        <v>0</v>
      </c>
      <c r="M706" s="3">
        <f t="shared" si="322"/>
        <v>0</v>
      </c>
      <c r="N706" s="3">
        <f t="shared" si="323"/>
        <v>0</v>
      </c>
      <c r="O706" s="3">
        <f t="shared" si="324"/>
        <v>304.5</v>
      </c>
      <c r="P706" s="3" t="str">
        <f t="shared" si="326"/>
        <v>0</v>
      </c>
      <c r="Q706" s="3">
        <f t="shared" si="327"/>
        <v>302.97750000000002</v>
      </c>
      <c r="R706" s="3" t="str">
        <f t="shared" si="328"/>
        <v>0</v>
      </c>
      <c r="S706" s="3">
        <f t="shared" si="329"/>
        <v>0</v>
      </c>
      <c r="T706" s="3" t="str">
        <f t="shared" si="330"/>
        <v>0</v>
      </c>
      <c r="U706" s="3"/>
      <c r="V706" s="3"/>
      <c r="W706" s="3"/>
      <c r="X706" s="3"/>
      <c r="Y706" s="3"/>
      <c r="Z706" s="3"/>
    </row>
    <row r="707" spans="1:26" x14ac:dyDescent="0.25">
      <c r="A707" s="2">
        <v>46058</v>
      </c>
      <c r="B707" s="2" t="s">
        <v>171</v>
      </c>
      <c r="C707" s="169" t="s">
        <v>238</v>
      </c>
      <c r="D707" s="232"/>
      <c r="E707" s="171"/>
      <c r="F707" s="239">
        <f>D707*E707</f>
        <v>0</v>
      </c>
      <c r="G707" s="3"/>
      <c r="H707" s="3">
        <f>D707*G707</f>
        <v>0</v>
      </c>
      <c r="I707" s="3" t="str">
        <f t="shared" si="319"/>
        <v>0</v>
      </c>
      <c r="J707" s="3" t="str">
        <f t="shared" si="320"/>
        <v>0</v>
      </c>
      <c r="K707" s="3" t="str">
        <f t="shared" si="321"/>
        <v>0</v>
      </c>
      <c r="L707" s="3" t="str">
        <f t="shared" si="325"/>
        <v>0</v>
      </c>
      <c r="M707" s="3">
        <f t="shared" si="322"/>
        <v>0</v>
      </c>
      <c r="N707" s="3">
        <f t="shared" si="323"/>
        <v>0</v>
      </c>
      <c r="O707" s="3" t="str">
        <f t="shared" si="324"/>
        <v>0</v>
      </c>
      <c r="P707" s="3" t="str">
        <f t="shared" si="326"/>
        <v>0</v>
      </c>
      <c r="Q707" s="3" t="str">
        <f t="shared" si="327"/>
        <v>0</v>
      </c>
      <c r="R707" s="3" t="str">
        <f t="shared" si="328"/>
        <v>0</v>
      </c>
      <c r="S707" s="3">
        <f t="shared" si="329"/>
        <v>0</v>
      </c>
      <c r="T707" s="3" t="str">
        <f t="shared" si="330"/>
        <v>0</v>
      </c>
      <c r="U707" s="3"/>
      <c r="V707" s="3">
        <v>35500</v>
      </c>
      <c r="W707" s="3"/>
      <c r="X707" s="3"/>
      <c r="Y707" s="3"/>
      <c r="Z707" s="3"/>
    </row>
    <row r="708" spans="1:26" x14ac:dyDescent="0.25">
      <c r="A708" s="2">
        <v>46059</v>
      </c>
      <c r="B708" s="4" t="s">
        <v>169</v>
      </c>
      <c r="C708" s="3" t="s">
        <v>235</v>
      </c>
      <c r="D708" s="4">
        <v>73.358912000000004</v>
      </c>
      <c r="E708" s="239">
        <v>0.88</v>
      </c>
      <c r="F708" s="4">
        <f>+D708*E708</f>
        <v>64.555842560000002</v>
      </c>
      <c r="G708" s="4">
        <f>+H708/D708</f>
        <v>10.330578512396695</v>
      </c>
      <c r="H708" s="4">
        <v>757.84</v>
      </c>
      <c r="I708" s="3">
        <f t="shared" si="319"/>
        <v>73.358912000000004</v>
      </c>
      <c r="J708" s="3" t="str">
        <f t="shared" si="320"/>
        <v>0</v>
      </c>
      <c r="K708" s="3">
        <f t="shared" si="321"/>
        <v>64.555842560000002</v>
      </c>
      <c r="L708" s="3" t="str">
        <f t="shared" si="325"/>
        <v>0</v>
      </c>
      <c r="M708" s="3">
        <f t="shared" si="322"/>
        <v>795.73200000000008</v>
      </c>
      <c r="N708" s="3">
        <f t="shared" si="323"/>
        <v>0</v>
      </c>
      <c r="O708" s="3" t="str">
        <f t="shared" si="324"/>
        <v>0</v>
      </c>
      <c r="P708" s="3" t="str">
        <f t="shared" si="326"/>
        <v>0</v>
      </c>
      <c r="Q708" s="3" t="str">
        <f t="shared" si="327"/>
        <v>0</v>
      </c>
      <c r="R708" s="3" t="str">
        <f t="shared" si="328"/>
        <v>0</v>
      </c>
      <c r="S708" s="3">
        <f t="shared" si="329"/>
        <v>0</v>
      </c>
      <c r="T708" s="3" t="str">
        <f t="shared" si="330"/>
        <v>0</v>
      </c>
      <c r="U708" s="3"/>
      <c r="V708" s="3"/>
      <c r="W708" s="3"/>
      <c r="X708" s="3"/>
      <c r="Y708" s="3"/>
      <c r="Z708" s="3"/>
    </row>
    <row r="709" spans="1:26" x14ac:dyDescent="0.25">
      <c r="A709" s="2">
        <v>46059</v>
      </c>
      <c r="B709" s="4" t="s">
        <v>169</v>
      </c>
      <c r="C709" s="3" t="s">
        <v>235</v>
      </c>
      <c r="D709" s="4">
        <v>1868.89824</v>
      </c>
      <c r="E709" s="239">
        <v>0.88</v>
      </c>
      <c r="F709" s="4">
        <f>+D709*E709</f>
        <v>1644.6304511999999</v>
      </c>
      <c r="G709" s="4">
        <f>+H709/D709</f>
        <v>6.327685342568464</v>
      </c>
      <c r="H709" s="4">
        <v>11825.8</v>
      </c>
      <c r="I709" s="3">
        <f t="shared" si="319"/>
        <v>1868.89824</v>
      </c>
      <c r="J709" s="3" t="str">
        <f t="shared" si="320"/>
        <v>0</v>
      </c>
      <c r="K709" s="3">
        <f t="shared" si="321"/>
        <v>1644.6304511999999</v>
      </c>
      <c r="L709" s="3" t="str">
        <f t="shared" si="325"/>
        <v>0</v>
      </c>
      <c r="M709" s="3">
        <f t="shared" si="322"/>
        <v>12417.09</v>
      </c>
      <c r="N709" s="3">
        <f t="shared" si="323"/>
        <v>0</v>
      </c>
      <c r="O709" s="3" t="str">
        <f t="shared" si="324"/>
        <v>0</v>
      </c>
      <c r="P709" s="3" t="str">
        <f t="shared" si="326"/>
        <v>0</v>
      </c>
      <c r="Q709" s="3" t="str">
        <f t="shared" si="327"/>
        <v>0</v>
      </c>
      <c r="R709" s="3" t="str">
        <f t="shared" si="328"/>
        <v>0</v>
      </c>
      <c r="S709" s="3">
        <f t="shared" si="329"/>
        <v>0</v>
      </c>
      <c r="T709" s="3" t="str">
        <f t="shared" si="330"/>
        <v>0</v>
      </c>
      <c r="U709" s="3"/>
      <c r="V709" s="3"/>
      <c r="W709" s="3"/>
      <c r="X709" s="3"/>
      <c r="Y709" s="3"/>
      <c r="Z709" s="3"/>
    </row>
    <row r="710" spans="1:26" x14ac:dyDescent="0.25">
      <c r="A710" s="2">
        <v>46059</v>
      </c>
      <c r="B710" s="4" t="s">
        <v>170</v>
      </c>
      <c r="C710" s="3" t="s">
        <v>235</v>
      </c>
      <c r="D710" s="4">
        <v>990.02499999999998</v>
      </c>
      <c r="E710" s="239">
        <v>0.995</v>
      </c>
      <c r="F710" s="4">
        <f>D710*E710</f>
        <v>985.07487500000002</v>
      </c>
      <c r="G710" s="4"/>
      <c r="H710" s="4"/>
      <c r="I710" s="3" t="str">
        <f t="shared" si="319"/>
        <v>0</v>
      </c>
      <c r="J710" s="3" t="str">
        <f t="shared" si="320"/>
        <v>0</v>
      </c>
      <c r="K710" s="3" t="str">
        <f t="shared" si="321"/>
        <v>0</v>
      </c>
      <c r="L710" s="3" t="str">
        <f t="shared" si="325"/>
        <v>0</v>
      </c>
      <c r="M710" s="3">
        <f t="shared" si="322"/>
        <v>0</v>
      </c>
      <c r="N710" s="3">
        <f t="shared" si="323"/>
        <v>0</v>
      </c>
      <c r="O710" s="3">
        <f t="shared" si="324"/>
        <v>990.02499999999998</v>
      </c>
      <c r="P710" s="3" t="str">
        <f t="shared" si="326"/>
        <v>0</v>
      </c>
      <c r="Q710" s="3">
        <f t="shared" si="327"/>
        <v>985.07487500000002</v>
      </c>
      <c r="R710" s="3" t="str">
        <f t="shared" si="328"/>
        <v>0</v>
      </c>
      <c r="S710" s="3">
        <f t="shared" si="329"/>
        <v>0</v>
      </c>
      <c r="T710" s="3" t="str">
        <f t="shared" si="330"/>
        <v>0</v>
      </c>
      <c r="U710" s="3"/>
      <c r="V710" s="3"/>
      <c r="W710" s="3"/>
      <c r="X710" s="3"/>
      <c r="Y710" s="3"/>
      <c r="Z710" s="3"/>
    </row>
    <row r="711" spans="1:26" x14ac:dyDescent="0.25">
      <c r="A711" s="2">
        <v>46059</v>
      </c>
      <c r="B711" s="4" t="s">
        <v>170</v>
      </c>
      <c r="C711" s="169" t="s">
        <v>228</v>
      </c>
      <c r="D711" s="4">
        <v>452.65923050000004</v>
      </c>
      <c r="E711" s="239">
        <v>0.995</v>
      </c>
      <c r="F711" s="239">
        <f>D711*E711</f>
        <v>450.39593434750003</v>
      </c>
      <c r="G711" s="4"/>
      <c r="H711" s="4"/>
      <c r="I711" s="3" t="str">
        <f t="shared" si="319"/>
        <v>0</v>
      </c>
      <c r="J711" s="3" t="str">
        <f t="shared" si="320"/>
        <v>0</v>
      </c>
      <c r="K711" s="3" t="str">
        <f t="shared" si="321"/>
        <v>0</v>
      </c>
      <c r="L711" s="3" t="str">
        <f t="shared" si="325"/>
        <v>0</v>
      </c>
      <c r="M711" s="3">
        <f t="shared" si="322"/>
        <v>0</v>
      </c>
      <c r="N711" s="3">
        <f t="shared" si="323"/>
        <v>0</v>
      </c>
      <c r="O711" s="3">
        <f t="shared" si="324"/>
        <v>452.65923050000004</v>
      </c>
      <c r="P711" s="3" t="str">
        <f t="shared" si="326"/>
        <v>0</v>
      </c>
      <c r="Q711" s="3">
        <f t="shared" si="327"/>
        <v>450.39593434750003</v>
      </c>
      <c r="R711" s="3" t="str">
        <f t="shared" si="328"/>
        <v>0</v>
      </c>
      <c r="S711" s="3">
        <f t="shared" si="329"/>
        <v>0</v>
      </c>
      <c r="T711" s="3" t="str">
        <f t="shared" si="330"/>
        <v>0</v>
      </c>
      <c r="U711" s="3"/>
      <c r="V711" s="3"/>
      <c r="W711" s="3"/>
      <c r="X711" s="3"/>
      <c r="Y711" s="3"/>
      <c r="Z711" s="3"/>
    </row>
    <row r="712" spans="1:26" x14ac:dyDescent="0.25">
      <c r="A712" s="2">
        <v>46059</v>
      </c>
      <c r="B712" s="4" t="s">
        <v>209</v>
      </c>
      <c r="C712" s="169" t="s">
        <v>247</v>
      </c>
      <c r="D712" s="4">
        <v>875.6</v>
      </c>
      <c r="E712" s="239">
        <v>0.995</v>
      </c>
      <c r="F712" s="239">
        <f>+D712*E712</f>
        <v>871.22199999999998</v>
      </c>
      <c r="G712" s="4"/>
      <c r="H712" s="4"/>
      <c r="I712" s="3" t="str">
        <f t="shared" si="319"/>
        <v>0</v>
      </c>
      <c r="J712" s="3" t="str">
        <f t="shared" si="320"/>
        <v>0</v>
      </c>
      <c r="K712" s="3" t="str">
        <f t="shared" si="321"/>
        <v>0</v>
      </c>
      <c r="L712" s="3" t="str">
        <f t="shared" si="325"/>
        <v>0</v>
      </c>
      <c r="M712" s="3">
        <f t="shared" si="322"/>
        <v>0</v>
      </c>
      <c r="N712" s="3">
        <f t="shared" si="323"/>
        <v>0</v>
      </c>
      <c r="O712" s="3" t="str">
        <f t="shared" si="324"/>
        <v>0</v>
      </c>
      <c r="P712" s="3">
        <f t="shared" si="326"/>
        <v>875.6</v>
      </c>
      <c r="Q712" s="3" t="str">
        <f t="shared" si="327"/>
        <v>0</v>
      </c>
      <c r="R712" s="3">
        <f t="shared" si="328"/>
        <v>871.22199999999998</v>
      </c>
      <c r="S712" s="3">
        <f t="shared" si="329"/>
        <v>0</v>
      </c>
      <c r="T712" s="3">
        <f t="shared" si="330"/>
        <v>0</v>
      </c>
      <c r="U712" s="3"/>
      <c r="V712" s="3"/>
      <c r="W712" s="3"/>
      <c r="X712" s="3"/>
      <c r="Y712" s="3"/>
      <c r="Z712" s="3"/>
    </row>
    <row r="713" spans="1:26" x14ac:dyDescent="0.25">
      <c r="A713" s="2">
        <v>46060</v>
      </c>
      <c r="B713" s="2" t="s">
        <v>170</v>
      </c>
      <c r="C713" s="3" t="s">
        <v>230</v>
      </c>
      <c r="D713" s="4">
        <v>329.66340000000002</v>
      </c>
      <c r="E713" s="239">
        <v>0.995</v>
      </c>
      <c r="F713" s="239">
        <f>D713*E713</f>
        <v>328.015083</v>
      </c>
      <c r="G713" s="4"/>
      <c r="H713" s="4">
        <f t="shared" ref="H713:H774" si="331">D713*G713</f>
        <v>0</v>
      </c>
      <c r="I713" s="3" t="str">
        <f t="shared" si="319"/>
        <v>0</v>
      </c>
      <c r="J713" s="3" t="str">
        <f t="shared" si="320"/>
        <v>0</v>
      </c>
      <c r="K713" s="3" t="str">
        <f t="shared" si="321"/>
        <v>0</v>
      </c>
      <c r="L713" s="3" t="str">
        <f t="shared" si="325"/>
        <v>0</v>
      </c>
      <c r="M713" s="3">
        <f t="shared" si="322"/>
        <v>0</v>
      </c>
      <c r="N713" s="3">
        <f t="shared" si="323"/>
        <v>0</v>
      </c>
      <c r="O713" s="3">
        <f t="shared" si="324"/>
        <v>329.66340000000002</v>
      </c>
      <c r="P713" s="3" t="str">
        <f t="shared" si="326"/>
        <v>0</v>
      </c>
      <c r="Q713" s="3">
        <f t="shared" si="327"/>
        <v>328.015083</v>
      </c>
      <c r="R713" s="3" t="str">
        <f t="shared" si="328"/>
        <v>0</v>
      </c>
      <c r="S713" s="3">
        <f t="shared" si="329"/>
        <v>0</v>
      </c>
      <c r="T713" s="3" t="str">
        <f t="shared" si="330"/>
        <v>0</v>
      </c>
      <c r="U713" s="3"/>
      <c r="V713" s="3"/>
      <c r="W713" s="3"/>
      <c r="X713" s="3"/>
      <c r="Y713" s="3"/>
      <c r="Z713" s="3"/>
    </row>
    <row r="714" spans="1:26" x14ac:dyDescent="0.25">
      <c r="A714" s="2">
        <v>46063</v>
      </c>
      <c r="B714" s="2" t="s">
        <v>170</v>
      </c>
      <c r="C714" s="169" t="s">
        <v>229</v>
      </c>
      <c r="D714" s="4">
        <v>875.6</v>
      </c>
      <c r="E714" s="239">
        <v>0.995</v>
      </c>
      <c r="F714" s="239">
        <f t="shared" ref="F714" si="332">D714*E714</f>
        <v>871.22199999999998</v>
      </c>
      <c r="G714" s="4"/>
      <c r="H714" s="4">
        <f t="shared" si="331"/>
        <v>0</v>
      </c>
      <c r="I714" s="3" t="str">
        <f t="shared" si="319"/>
        <v>0</v>
      </c>
      <c r="J714" s="3" t="str">
        <f t="shared" si="320"/>
        <v>0</v>
      </c>
      <c r="K714" s="3" t="str">
        <f t="shared" si="321"/>
        <v>0</v>
      </c>
      <c r="L714" s="3" t="str">
        <f t="shared" si="325"/>
        <v>0</v>
      </c>
      <c r="M714" s="3">
        <f t="shared" si="322"/>
        <v>0</v>
      </c>
      <c r="N714" s="3">
        <f t="shared" si="323"/>
        <v>0</v>
      </c>
      <c r="O714" s="3">
        <f t="shared" si="324"/>
        <v>875.6</v>
      </c>
      <c r="P714" s="3" t="str">
        <f t="shared" si="326"/>
        <v>0</v>
      </c>
      <c r="Q714" s="3">
        <f t="shared" si="327"/>
        <v>871.22199999999998</v>
      </c>
      <c r="R714" s="3" t="str">
        <f t="shared" si="328"/>
        <v>0</v>
      </c>
      <c r="S714" s="3">
        <f t="shared" si="329"/>
        <v>0</v>
      </c>
      <c r="T714" s="3" t="str">
        <f t="shared" si="330"/>
        <v>0</v>
      </c>
      <c r="U714" s="3"/>
      <c r="V714" s="3"/>
      <c r="W714" s="3"/>
      <c r="X714" s="3"/>
      <c r="Y714" s="3"/>
      <c r="Z714" s="3"/>
    </row>
    <row r="715" spans="1:26" x14ac:dyDescent="0.25">
      <c r="A715" s="2">
        <v>46062</v>
      </c>
      <c r="B715" s="2" t="s">
        <v>169</v>
      </c>
      <c r="C715" s="169" t="s">
        <v>236</v>
      </c>
      <c r="D715" s="4">
        <v>1870.4508960000001</v>
      </c>
      <c r="E715" s="239">
        <v>0.92</v>
      </c>
      <c r="F715" s="239">
        <f t="shared" ref="F715" si="333">+D715*E715</f>
        <v>1720.8148243200001</v>
      </c>
      <c r="G715" s="4">
        <f t="shared" ref="G715" si="334">+H715/D715</f>
        <v>3.8397907239153741</v>
      </c>
      <c r="H715" s="4">
        <v>7182.14</v>
      </c>
      <c r="I715" s="3">
        <f t="shared" si="319"/>
        <v>1870.4508960000001</v>
      </c>
      <c r="J715" s="3" t="str">
        <f t="shared" si="320"/>
        <v>0</v>
      </c>
      <c r="K715" s="3">
        <f t="shared" si="321"/>
        <v>1720.8148243200001</v>
      </c>
      <c r="L715" s="3" t="str">
        <f t="shared" si="325"/>
        <v>0</v>
      </c>
      <c r="M715" s="3">
        <f t="shared" si="322"/>
        <v>7541.2470000000003</v>
      </c>
      <c r="N715" s="3">
        <f t="shared" si="323"/>
        <v>0</v>
      </c>
      <c r="O715" s="3" t="str">
        <f t="shared" si="324"/>
        <v>0</v>
      </c>
      <c r="P715" s="3" t="str">
        <f t="shared" si="326"/>
        <v>0</v>
      </c>
      <c r="Q715" s="3" t="str">
        <f t="shared" si="327"/>
        <v>0</v>
      </c>
      <c r="R715" s="3" t="str">
        <f t="shared" si="328"/>
        <v>0</v>
      </c>
      <c r="S715" s="3">
        <f t="shared" si="329"/>
        <v>0</v>
      </c>
      <c r="T715" s="3" t="str">
        <f t="shared" si="330"/>
        <v>0</v>
      </c>
      <c r="U715" s="3"/>
      <c r="V715" s="3"/>
      <c r="W715" s="3"/>
      <c r="X715" s="3"/>
      <c r="Y715" s="3"/>
      <c r="Z715" s="3"/>
    </row>
    <row r="716" spans="1:26" x14ac:dyDescent="0.25">
      <c r="A716" s="2">
        <v>46062</v>
      </c>
      <c r="B716" s="2" t="s">
        <v>170</v>
      </c>
      <c r="C716" s="169" t="s">
        <v>236</v>
      </c>
      <c r="D716" s="4">
        <v>1789.1222359999999</v>
      </c>
      <c r="E716" s="239">
        <v>0.995</v>
      </c>
      <c r="F716" s="239">
        <f t="shared" ref="F716:F718" si="335">D716*E716</f>
        <v>1780.1766248199999</v>
      </c>
      <c r="G716" s="4"/>
      <c r="H716" s="4"/>
      <c r="I716" s="3" t="str">
        <f t="shared" si="319"/>
        <v>0</v>
      </c>
      <c r="J716" s="3" t="str">
        <f t="shared" si="320"/>
        <v>0</v>
      </c>
      <c r="K716" s="3" t="str">
        <f t="shared" si="321"/>
        <v>0</v>
      </c>
      <c r="L716" s="3" t="str">
        <f t="shared" si="325"/>
        <v>0</v>
      </c>
      <c r="M716" s="3">
        <f t="shared" si="322"/>
        <v>0</v>
      </c>
      <c r="N716" s="3">
        <f t="shared" si="323"/>
        <v>0</v>
      </c>
      <c r="O716" s="3">
        <f t="shared" si="324"/>
        <v>1789.1222359999999</v>
      </c>
      <c r="P716" s="3" t="str">
        <f t="shared" si="326"/>
        <v>0</v>
      </c>
      <c r="Q716" s="3">
        <f t="shared" si="327"/>
        <v>1780.1766248199999</v>
      </c>
      <c r="R716" s="3" t="str">
        <f t="shared" si="328"/>
        <v>0</v>
      </c>
      <c r="S716" s="3">
        <f t="shared" si="329"/>
        <v>0</v>
      </c>
      <c r="T716" s="3" t="str">
        <f t="shared" si="330"/>
        <v>0</v>
      </c>
      <c r="U716" s="3"/>
      <c r="V716" s="3"/>
      <c r="W716" s="3"/>
      <c r="X716" s="3"/>
      <c r="Y716" s="3"/>
      <c r="Z716" s="3"/>
    </row>
    <row r="717" spans="1:26" x14ac:dyDescent="0.25">
      <c r="A717" s="2">
        <v>46062</v>
      </c>
      <c r="B717" s="2" t="s">
        <v>170</v>
      </c>
      <c r="C717" s="3" t="s">
        <v>235</v>
      </c>
      <c r="D717" s="4">
        <v>405.14793075</v>
      </c>
      <c r="E717" s="239">
        <v>0.995</v>
      </c>
      <c r="F717" s="239">
        <f t="shared" si="335"/>
        <v>403.12219109624999</v>
      </c>
      <c r="G717" s="4"/>
      <c r="H717" s="4"/>
      <c r="I717" s="3" t="str">
        <f t="shared" si="319"/>
        <v>0</v>
      </c>
      <c r="J717" s="3" t="str">
        <f t="shared" si="320"/>
        <v>0</v>
      </c>
      <c r="K717" s="3" t="str">
        <f t="shared" si="321"/>
        <v>0</v>
      </c>
      <c r="L717" s="3" t="str">
        <f t="shared" si="325"/>
        <v>0</v>
      </c>
      <c r="M717" s="3">
        <f t="shared" si="322"/>
        <v>0</v>
      </c>
      <c r="N717" s="3">
        <f t="shared" si="323"/>
        <v>0</v>
      </c>
      <c r="O717" s="3">
        <f t="shared" si="324"/>
        <v>405.14793075</v>
      </c>
      <c r="P717" s="3" t="str">
        <f t="shared" si="326"/>
        <v>0</v>
      </c>
      <c r="Q717" s="3">
        <f t="shared" si="327"/>
        <v>403.12219109624999</v>
      </c>
      <c r="R717" s="3" t="str">
        <f t="shared" si="328"/>
        <v>0</v>
      </c>
      <c r="S717" s="3">
        <f t="shared" si="329"/>
        <v>0</v>
      </c>
      <c r="T717" s="3" t="str">
        <f t="shared" si="330"/>
        <v>0</v>
      </c>
      <c r="U717" s="3"/>
      <c r="V717" s="3"/>
      <c r="W717" s="3"/>
      <c r="X717" s="3"/>
      <c r="Y717" s="3"/>
      <c r="Z717" s="3"/>
    </row>
    <row r="718" spans="1:26" x14ac:dyDescent="0.25">
      <c r="A718" s="2">
        <v>46062</v>
      </c>
      <c r="B718" s="2" t="s">
        <v>170</v>
      </c>
      <c r="C718" s="169" t="s">
        <v>234</v>
      </c>
      <c r="D718" s="4">
        <v>299.95529943750006</v>
      </c>
      <c r="E718" s="239">
        <v>0.995</v>
      </c>
      <c r="F718" s="239">
        <f t="shared" si="335"/>
        <v>298.45552294031256</v>
      </c>
      <c r="G718" s="4"/>
      <c r="H718" s="4"/>
      <c r="I718" s="3" t="str">
        <f t="shared" si="319"/>
        <v>0</v>
      </c>
      <c r="J718" s="3" t="str">
        <f t="shared" si="320"/>
        <v>0</v>
      </c>
      <c r="K718" s="3" t="str">
        <f t="shared" si="321"/>
        <v>0</v>
      </c>
      <c r="L718" s="3" t="str">
        <f t="shared" si="325"/>
        <v>0</v>
      </c>
      <c r="M718" s="3">
        <f t="shared" si="322"/>
        <v>0</v>
      </c>
      <c r="N718" s="3">
        <f t="shared" si="323"/>
        <v>0</v>
      </c>
      <c r="O718" s="3">
        <f t="shared" si="324"/>
        <v>299.95529943750006</v>
      </c>
      <c r="P718" s="3" t="str">
        <f t="shared" si="326"/>
        <v>0</v>
      </c>
      <c r="Q718" s="3">
        <f t="shared" si="327"/>
        <v>298.45552294031256</v>
      </c>
      <c r="R718" s="3" t="str">
        <f t="shared" si="328"/>
        <v>0</v>
      </c>
      <c r="S718" s="3">
        <f t="shared" si="329"/>
        <v>0</v>
      </c>
      <c r="T718" s="3" t="str">
        <f t="shared" si="330"/>
        <v>0</v>
      </c>
      <c r="U718" s="3"/>
      <c r="V718" s="3"/>
      <c r="W718" s="3"/>
      <c r="X718" s="3"/>
      <c r="Y718" s="3"/>
      <c r="Z718" s="3"/>
    </row>
    <row r="719" spans="1:26" x14ac:dyDescent="0.25">
      <c r="A719" s="2">
        <v>46063</v>
      </c>
      <c r="B719" s="2" t="s">
        <v>169</v>
      </c>
      <c r="C719" s="169" t="s">
        <v>229</v>
      </c>
      <c r="D719" s="4">
        <v>982.86099999999999</v>
      </c>
      <c r="E719" s="239">
        <v>0.88</v>
      </c>
      <c r="F719" s="239">
        <f t="shared" ref="F719:F722" si="336">+D719*E719</f>
        <v>864.91768000000002</v>
      </c>
      <c r="G719" s="4">
        <f t="shared" ref="G719:G722" si="337">+H719/D719</f>
        <v>7.9945180447693014</v>
      </c>
      <c r="H719" s="4">
        <v>7857.5</v>
      </c>
      <c r="I719" s="3">
        <f t="shared" si="319"/>
        <v>982.86099999999999</v>
      </c>
      <c r="J719" s="3" t="str">
        <f t="shared" si="320"/>
        <v>0</v>
      </c>
      <c r="K719" s="3">
        <f t="shared" si="321"/>
        <v>864.91768000000002</v>
      </c>
      <c r="L719" s="3" t="str">
        <f t="shared" si="325"/>
        <v>0</v>
      </c>
      <c r="M719" s="3">
        <f t="shared" si="322"/>
        <v>8250.375</v>
      </c>
      <c r="N719" s="3">
        <f t="shared" si="323"/>
        <v>0</v>
      </c>
      <c r="O719" s="3" t="str">
        <f t="shared" si="324"/>
        <v>0</v>
      </c>
      <c r="P719" s="3" t="str">
        <f t="shared" si="326"/>
        <v>0</v>
      </c>
      <c r="Q719" s="3" t="str">
        <f t="shared" si="327"/>
        <v>0</v>
      </c>
      <c r="R719" s="3" t="str">
        <f t="shared" si="328"/>
        <v>0</v>
      </c>
      <c r="S719" s="3">
        <f t="shared" si="329"/>
        <v>0</v>
      </c>
      <c r="T719" s="3" t="str">
        <f t="shared" si="330"/>
        <v>0</v>
      </c>
      <c r="U719" s="3"/>
      <c r="V719" s="3"/>
      <c r="W719" s="3"/>
      <c r="X719" s="3"/>
      <c r="Y719" s="3"/>
      <c r="Z719" s="3"/>
    </row>
    <row r="720" spans="1:26" x14ac:dyDescent="0.25">
      <c r="A720" s="2">
        <v>46063</v>
      </c>
      <c r="B720" s="2" t="s">
        <v>169</v>
      </c>
      <c r="C720" s="169" t="s">
        <v>247</v>
      </c>
      <c r="D720" s="4">
        <v>237.72539999999998</v>
      </c>
      <c r="E720" s="239">
        <v>0.88</v>
      </c>
      <c r="F720" s="239">
        <f t="shared" si="336"/>
        <v>209.19835199999997</v>
      </c>
      <c r="G720" s="4">
        <f t="shared" si="337"/>
        <v>8.2208295790016557</v>
      </c>
      <c r="H720" s="4">
        <v>1954.3</v>
      </c>
      <c r="I720" s="3">
        <f t="shared" si="319"/>
        <v>237.72539999999998</v>
      </c>
      <c r="J720" s="3" t="str">
        <f t="shared" si="320"/>
        <v>0</v>
      </c>
      <c r="K720" s="3">
        <f t="shared" si="321"/>
        <v>209.19835199999997</v>
      </c>
      <c r="L720" s="3" t="str">
        <f t="shared" si="325"/>
        <v>0</v>
      </c>
      <c r="M720" s="3">
        <f t="shared" si="322"/>
        <v>2052.0149999999999</v>
      </c>
      <c r="N720" s="3">
        <f t="shared" si="323"/>
        <v>0</v>
      </c>
      <c r="O720" s="3" t="str">
        <f t="shared" si="324"/>
        <v>0</v>
      </c>
      <c r="P720" s="3" t="str">
        <f t="shared" si="326"/>
        <v>0</v>
      </c>
      <c r="Q720" s="3" t="str">
        <f t="shared" si="327"/>
        <v>0</v>
      </c>
      <c r="R720" s="3" t="str">
        <f t="shared" si="328"/>
        <v>0</v>
      </c>
      <c r="S720" s="3">
        <f t="shared" si="329"/>
        <v>0</v>
      </c>
      <c r="T720" s="3" t="str">
        <f t="shared" si="330"/>
        <v>0</v>
      </c>
      <c r="U720" s="3"/>
      <c r="V720" s="3"/>
      <c r="W720" s="3"/>
      <c r="X720" s="3"/>
      <c r="Y720" s="3"/>
      <c r="Z720" s="3"/>
    </row>
    <row r="721" spans="1:26" x14ac:dyDescent="0.25">
      <c r="A721" s="2">
        <v>46064</v>
      </c>
      <c r="B721" s="2" t="s">
        <v>169</v>
      </c>
      <c r="C721" s="169" t="s">
        <v>233</v>
      </c>
      <c r="D721" s="4">
        <v>417.63391999999993</v>
      </c>
      <c r="E721" s="239">
        <v>0.88</v>
      </c>
      <c r="F721" s="239">
        <f t="shared" si="336"/>
        <v>367.51784959999992</v>
      </c>
      <c r="G721" s="4">
        <f t="shared" si="337"/>
        <v>6.8775543902181138</v>
      </c>
      <c r="H721" s="4">
        <v>2872.3</v>
      </c>
      <c r="I721" s="3">
        <f t="shared" si="319"/>
        <v>417.63391999999993</v>
      </c>
      <c r="J721" s="3" t="str">
        <f t="shared" si="320"/>
        <v>0</v>
      </c>
      <c r="K721" s="3">
        <f t="shared" si="321"/>
        <v>367.51784959999992</v>
      </c>
      <c r="L721" s="3" t="str">
        <f t="shared" si="325"/>
        <v>0</v>
      </c>
      <c r="M721" s="3">
        <f t="shared" si="322"/>
        <v>3015.915</v>
      </c>
      <c r="N721" s="3">
        <f t="shared" si="323"/>
        <v>0</v>
      </c>
      <c r="O721" s="3" t="str">
        <f t="shared" si="324"/>
        <v>0</v>
      </c>
      <c r="P721" s="3" t="str">
        <f t="shared" si="326"/>
        <v>0</v>
      </c>
      <c r="Q721" s="3" t="str">
        <f t="shared" si="327"/>
        <v>0</v>
      </c>
      <c r="R721" s="3" t="str">
        <f t="shared" si="328"/>
        <v>0</v>
      </c>
      <c r="S721" s="3">
        <f t="shared" si="329"/>
        <v>0</v>
      </c>
      <c r="T721" s="3" t="str">
        <f t="shared" si="330"/>
        <v>0</v>
      </c>
      <c r="U721" s="3"/>
      <c r="V721" s="3"/>
      <c r="W721" s="3"/>
      <c r="X721" s="3"/>
      <c r="Y721" s="3"/>
      <c r="Z721" s="3"/>
    </row>
    <row r="722" spans="1:26" x14ac:dyDescent="0.25">
      <c r="A722" s="2">
        <v>46064</v>
      </c>
      <c r="B722" s="2" t="s">
        <v>169</v>
      </c>
      <c r="C722" s="169" t="s">
        <v>229</v>
      </c>
      <c r="D722" s="4">
        <v>765.10720000000003</v>
      </c>
      <c r="E722" s="239">
        <v>0.88</v>
      </c>
      <c r="F722" s="239">
        <f t="shared" si="336"/>
        <v>673.29433600000004</v>
      </c>
      <c r="G722" s="4">
        <f t="shared" si="337"/>
        <v>12.353301602703516</v>
      </c>
      <c r="H722" s="4">
        <v>9451.6</v>
      </c>
      <c r="I722" s="3">
        <f t="shared" si="319"/>
        <v>765.10720000000003</v>
      </c>
      <c r="J722" s="3" t="str">
        <f t="shared" si="320"/>
        <v>0</v>
      </c>
      <c r="K722" s="3">
        <f t="shared" si="321"/>
        <v>673.29433600000004</v>
      </c>
      <c r="L722" s="3" t="str">
        <f t="shared" si="325"/>
        <v>0</v>
      </c>
      <c r="M722" s="3">
        <f t="shared" si="322"/>
        <v>9924.18</v>
      </c>
      <c r="N722" s="3">
        <f t="shared" si="323"/>
        <v>0</v>
      </c>
      <c r="O722" s="3" t="str">
        <f t="shared" si="324"/>
        <v>0</v>
      </c>
      <c r="P722" s="3" t="str">
        <f t="shared" si="326"/>
        <v>0</v>
      </c>
      <c r="Q722" s="3" t="str">
        <f t="shared" si="327"/>
        <v>0</v>
      </c>
      <c r="R722" s="3" t="str">
        <f t="shared" si="328"/>
        <v>0</v>
      </c>
      <c r="S722" s="3">
        <f t="shared" si="329"/>
        <v>0</v>
      </c>
      <c r="T722" s="3" t="str">
        <f t="shared" si="330"/>
        <v>0</v>
      </c>
      <c r="U722" s="3"/>
      <c r="V722" s="3"/>
      <c r="W722" s="3"/>
      <c r="X722" s="3"/>
      <c r="Y722" s="3"/>
      <c r="Z722" s="3"/>
    </row>
    <row r="723" spans="1:26" x14ac:dyDescent="0.25">
      <c r="A723" s="2">
        <v>46064</v>
      </c>
      <c r="B723" s="2" t="s">
        <v>170</v>
      </c>
      <c r="C723" s="169" t="s">
        <v>229</v>
      </c>
      <c r="D723" s="4">
        <v>779.37156000000004</v>
      </c>
      <c r="E723" s="239">
        <v>0.995</v>
      </c>
      <c r="F723" s="239">
        <f>+D723*E723</f>
        <v>775.47470220000002</v>
      </c>
      <c r="G723" s="4"/>
      <c r="H723" s="4">
        <f t="shared" si="331"/>
        <v>0</v>
      </c>
      <c r="I723" s="3" t="str">
        <f t="shared" si="319"/>
        <v>0</v>
      </c>
      <c r="J723" s="3" t="str">
        <f t="shared" si="320"/>
        <v>0</v>
      </c>
      <c r="K723" s="3" t="str">
        <f t="shared" si="321"/>
        <v>0</v>
      </c>
      <c r="L723" s="3" t="str">
        <f t="shared" si="325"/>
        <v>0</v>
      </c>
      <c r="M723" s="3">
        <f t="shared" si="322"/>
        <v>0</v>
      </c>
      <c r="N723" s="3">
        <f t="shared" si="323"/>
        <v>0</v>
      </c>
      <c r="O723" s="3">
        <f t="shared" si="324"/>
        <v>779.37156000000004</v>
      </c>
      <c r="P723" s="3" t="str">
        <f t="shared" si="326"/>
        <v>0</v>
      </c>
      <c r="Q723" s="3">
        <f t="shared" si="327"/>
        <v>775.47470220000002</v>
      </c>
      <c r="R723" s="3" t="str">
        <f t="shared" si="328"/>
        <v>0</v>
      </c>
      <c r="S723" s="3">
        <f t="shared" si="329"/>
        <v>0</v>
      </c>
      <c r="T723" s="3" t="str">
        <f t="shared" si="330"/>
        <v>0</v>
      </c>
      <c r="U723" s="3"/>
      <c r="V723" s="3"/>
      <c r="W723" s="3"/>
      <c r="X723" s="3"/>
      <c r="Y723" s="3"/>
      <c r="Z723" s="3"/>
    </row>
    <row r="724" spans="1:26" x14ac:dyDescent="0.25">
      <c r="A724" s="2">
        <v>46065</v>
      </c>
      <c r="B724" s="2" t="s">
        <v>169</v>
      </c>
      <c r="C724" s="169" t="s">
        <v>233</v>
      </c>
      <c r="D724" s="4">
        <v>375.57344000000001</v>
      </c>
      <c r="E724" s="239">
        <v>0.88</v>
      </c>
      <c r="F724" s="239">
        <f t="shared" ref="F724" si="338">+D724*E724</f>
        <v>330.50462720000002</v>
      </c>
      <c r="G724" s="4">
        <f t="shared" ref="G724" si="339">+H724/D724</f>
        <v>6.4951344802230961</v>
      </c>
      <c r="H724" s="4">
        <v>2439.4</v>
      </c>
      <c r="I724" s="3">
        <f t="shared" si="319"/>
        <v>375.57344000000001</v>
      </c>
      <c r="J724" s="3" t="str">
        <f t="shared" si="320"/>
        <v>0</v>
      </c>
      <c r="K724" s="3">
        <f t="shared" si="321"/>
        <v>330.50462720000002</v>
      </c>
      <c r="L724" s="3" t="str">
        <f t="shared" si="325"/>
        <v>0</v>
      </c>
      <c r="M724" s="3">
        <f t="shared" si="322"/>
        <v>2561.37</v>
      </c>
      <c r="N724" s="3">
        <f t="shared" si="323"/>
        <v>0</v>
      </c>
      <c r="O724" s="3" t="str">
        <f t="shared" si="324"/>
        <v>0</v>
      </c>
      <c r="P724" s="3" t="str">
        <f t="shared" si="326"/>
        <v>0</v>
      </c>
      <c r="Q724" s="3" t="str">
        <f t="shared" si="327"/>
        <v>0</v>
      </c>
      <c r="R724" s="3" t="str">
        <f t="shared" si="328"/>
        <v>0</v>
      </c>
      <c r="S724" s="3">
        <f t="shared" si="329"/>
        <v>0</v>
      </c>
      <c r="T724" s="3" t="str">
        <f t="shared" si="330"/>
        <v>0</v>
      </c>
      <c r="U724" s="3"/>
      <c r="V724" s="3"/>
      <c r="W724" s="3"/>
      <c r="X724" s="3"/>
      <c r="Y724" s="3"/>
      <c r="Z724" s="3"/>
    </row>
    <row r="725" spans="1:26" x14ac:dyDescent="0.25">
      <c r="A725" s="2">
        <v>46065</v>
      </c>
      <c r="B725" s="2" t="s">
        <v>170</v>
      </c>
      <c r="C725" s="169" t="s">
        <v>233</v>
      </c>
      <c r="D725" s="4">
        <v>880</v>
      </c>
      <c r="E725" s="239">
        <v>1</v>
      </c>
      <c r="F725" s="239">
        <f t="shared" ref="F725:F729" si="340">D725*E725</f>
        <v>880</v>
      </c>
      <c r="G725" s="4"/>
      <c r="H725" s="4"/>
      <c r="I725" s="3" t="str">
        <f t="shared" si="319"/>
        <v>0</v>
      </c>
      <c r="J725" s="3" t="str">
        <f t="shared" si="320"/>
        <v>0</v>
      </c>
      <c r="K725" s="3" t="str">
        <f t="shared" si="321"/>
        <v>0</v>
      </c>
      <c r="L725" s="3" t="str">
        <f t="shared" si="325"/>
        <v>0</v>
      </c>
      <c r="M725" s="3">
        <f t="shared" si="322"/>
        <v>0</v>
      </c>
      <c r="N725" s="3">
        <f t="shared" si="323"/>
        <v>0</v>
      </c>
      <c r="O725" s="3">
        <f t="shared" si="324"/>
        <v>880</v>
      </c>
      <c r="P725" s="3" t="str">
        <f t="shared" si="326"/>
        <v>0</v>
      </c>
      <c r="Q725" s="3">
        <f t="shared" si="327"/>
        <v>880</v>
      </c>
      <c r="R725" s="3" t="str">
        <f t="shared" si="328"/>
        <v>0</v>
      </c>
      <c r="S725" s="3">
        <f t="shared" si="329"/>
        <v>0</v>
      </c>
      <c r="T725" s="3" t="str">
        <f t="shared" si="330"/>
        <v>0</v>
      </c>
      <c r="U725" s="3"/>
      <c r="V725" s="3"/>
      <c r="W725" s="3"/>
      <c r="X725" s="3"/>
      <c r="Y725" s="3"/>
      <c r="Z725" s="3"/>
    </row>
    <row r="726" spans="1:26" x14ac:dyDescent="0.25">
      <c r="A726" s="2">
        <v>46065</v>
      </c>
      <c r="B726" s="2" t="s">
        <v>170</v>
      </c>
      <c r="C726" s="169" t="s">
        <v>228</v>
      </c>
      <c r="D726" s="4">
        <v>441.45214749999997</v>
      </c>
      <c r="E726" s="239">
        <v>0.995</v>
      </c>
      <c r="F726" s="239">
        <f t="shared" si="340"/>
        <v>439.24488676249996</v>
      </c>
      <c r="G726" s="4"/>
      <c r="H726" s="4"/>
      <c r="I726" s="3" t="str">
        <f t="shared" si="319"/>
        <v>0</v>
      </c>
      <c r="J726" s="3" t="str">
        <f t="shared" si="320"/>
        <v>0</v>
      </c>
      <c r="K726" s="3" t="str">
        <f t="shared" si="321"/>
        <v>0</v>
      </c>
      <c r="L726" s="3" t="str">
        <f t="shared" si="325"/>
        <v>0</v>
      </c>
      <c r="M726" s="3">
        <f t="shared" si="322"/>
        <v>0</v>
      </c>
      <c r="N726" s="3">
        <f t="shared" si="323"/>
        <v>0</v>
      </c>
      <c r="O726" s="3">
        <f t="shared" si="324"/>
        <v>441.45214749999997</v>
      </c>
      <c r="P726" s="3" t="str">
        <f t="shared" si="326"/>
        <v>0</v>
      </c>
      <c r="Q726" s="3">
        <f t="shared" si="327"/>
        <v>439.24488676249996</v>
      </c>
      <c r="R726" s="3" t="str">
        <f t="shared" si="328"/>
        <v>0</v>
      </c>
      <c r="S726" s="3">
        <f t="shared" si="329"/>
        <v>0</v>
      </c>
      <c r="T726" s="3" t="str">
        <f t="shared" si="330"/>
        <v>0</v>
      </c>
      <c r="U726" s="3"/>
      <c r="V726" s="3"/>
      <c r="W726" s="3"/>
      <c r="X726" s="3"/>
      <c r="Y726" s="3"/>
      <c r="Z726" s="3"/>
    </row>
    <row r="727" spans="1:26" x14ac:dyDescent="0.25">
      <c r="A727" s="2">
        <v>46065</v>
      </c>
      <c r="B727" s="2" t="s">
        <v>170</v>
      </c>
      <c r="C727" s="169" t="s">
        <v>239</v>
      </c>
      <c r="D727" s="4">
        <v>347.67449199999999</v>
      </c>
      <c r="E727" s="239">
        <v>0.88</v>
      </c>
      <c r="F727" s="239">
        <f t="shared" si="340"/>
        <v>305.95355295999997</v>
      </c>
      <c r="G727" s="4">
        <f>H727/D727</f>
        <v>3.1406963269540062</v>
      </c>
      <c r="H727" s="4">
        <v>1091.94</v>
      </c>
      <c r="I727" s="3" t="str">
        <f t="shared" si="319"/>
        <v>0</v>
      </c>
      <c r="J727" s="3" t="str">
        <f t="shared" si="320"/>
        <v>0</v>
      </c>
      <c r="K727" s="3" t="str">
        <f t="shared" si="321"/>
        <v>0</v>
      </c>
      <c r="L727" s="3" t="str">
        <f t="shared" si="325"/>
        <v>0</v>
      </c>
      <c r="M727" s="3">
        <f t="shared" si="322"/>
        <v>0</v>
      </c>
      <c r="N727" s="3">
        <f t="shared" si="323"/>
        <v>0</v>
      </c>
      <c r="O727" s="3">
        <f t="shared" si="324"/>
        <v>347.67449199999999</v>
      </c>
      <c r="P727" s="3" t="str">
        <f t="shared" si="326"/>
        <v>0</v>
      </c>
      <c r="Q727" s="3">
        <f t="shared" si="327"/>
        <v>305.95355295999997</v>
      </c>
      <c r="R727" s="3" t="str">
        <f t="shared" si="328"/>
        <v>0</v>
      </c>
      <c r="S727" s="3">
        <f t="shared" si="329"/>
        <v>1146.537</v>
      </c>
      <c r="T727" s="3" t="str">
        <f t="shared" si="330"/>
        <v>0</v>
      </c>
      <c r="U727" s="3"/>
      <c r="V727" s="3"/>
      <c r="W727" s="3"/>
      <c r="X727" s="3"/>
      <c r="Y727" s="3"/>
      <c r="Z727" s="3"/>
    </row>
    <row r="728" spans="1:26" x14ac:dyDescent="0.25">
      <c r="A728" s="2">
        <v>46066</v>
      </c>
      <c r="B728" s="2" t="s">
        <v>170</v>
      </c>
      <c r="C728" s="3" t="s">
        <v>235</v>
      </c>
      <c r="D728" s="4">
        <v>428.77982750000001</v>
      </c>
      <c r="E728" s="239">
        <v>0.995</v>
      </c>
      <c r="F728" s="239">
        <f t="shared" si="340"/>
        <v>426.63592836250001</v>
      </c>
      <c r="G728" s="4"/>
      <c r="H728" s="4">
        <f t="shared" si="331"/>
        <v>0</v>
      </c>
      <c r="I728" s="3" t="str">
        <f t="shared" si="319"/>
        <v>0</v>
      </c>
      <c r="J728" s="3" t="str">
        <f t="shared" si="320"/>
        <v>0</v>
      </c>
      <c r="K728" s="3" t="str">
        <f t="shared" si="321"/>
        <v>0</v>
      </c>
      <c r="L728" s="3" t="str">
        <f t="shared" si="325"/>
        <v>0</v>
      </c>
      <c r="M728" s="3">
        <f t="shared" si="322"/>
        <v>0</v>
      </c>
      <c r="N728" s="3">
        <f t="shared" si="323"/>
        <v>0</v>
      </c>
      <c r="O728" s="3">
        <f t="shared" si="324"/>
        <v>428.77982750000001</v>
      </c>
      <c r="P728" s="3" t="str">
        <f t="shared" si="326"/>
        <v>0</v>
      </c>
      <c r="Q728" s="3">
        <f t="shared" si="327"/>
        <v>426.63592836250001</v>
      </c>
      <c r="R728" s="3" t="str">
        <f t="shared" si="328"/>
        <v>0</v>
      </c>
      <c r="S728" s="3">
        <f t="shared" si="329"/>
        <v>0</v>
      </c>
      <c r="T728" s="3" t="str">
        <f t="shared" si="330"/>
        <v>0</v>
      </c>
      <c r="U728" s="3"/>
      <c r="V728" s="3"/>
      <c r="W728" s="3"/>
      <c r="X728" s="3"/>
      <c r="Y728" s="3"/>
      <c r="Z728" s="3"/>
    </row>
    <row r="729" spans="1:26" x14ac:dyDescent="0.25">
      <c r="A729" s="2">
        <v>46066</v>
      </c>
      <c r="B729" s="2" t="s">
        <v>170</v>
      </c>
      <c r="C729" s="169" t="s">
        <v>233</v>
      </c>
      <c r="D729" s="4">
        <v>242.24270000000001</v>
      </c>
      <c r="E729" s="239">
        <v>0.995</v>
      </c>
      <c r="F729" s="239">
        <f t="shared" si="340"/>
        <v>241.0314865</v>
      </c>
      <c r="G729" s="4"/>
      <c r="H729" s="4">
        <f t="shared" si="331"/>
        <v>0</v>
      </c>
      <c r="I729" s="3" t="str">
        <f t="shared" si="319"/>
        <v>0</v>
      </c>
      <c r="J729" s="3" t="str">
        <f t="shared" si="320"/>
        <v>0</v>
      </c>
      <c r="K729" s="3" t="str">
        <f t="shared" si="321"/>
        <v>0</v>
      </c>
      <c r="L729" s="3" t="str">
        <f t="shared" si="325"/>
        <v>0</v>
      </c>
      <c r="M729" s="3">
        <f t="shared" si="322"/>
        <v>0</v>
      </c>
      <c r="N729" s="3">
        <f t="shared" si="323"/>
        <v>0</v>
      </c>
      <c r="O729" s="3">
        <f t="shared" si="324"/>
        <v>242.24270000000001</v>
      </c>
      <c r="P729" s="3" t="str">
        <f t="shared" si="326"/>
        <v>0</v>
      </c>
      <c r="Q729" s="3">
        <f t="shared" si="327"/>
        <v>241.0314865</v>
      </c>
      <c r="R729" s="3" t="str">
        <f t="shared" si="328"/>
        <v>0</v>
      </c>
      <c r="S729" s="3">
        <f t="shared" si="329"/>
        <v>0</v>
      </c>
      <c r="T729" s="3" t="str">
        <f t="shared" si="330"/>
        <v>0</v>
      </c>
      <c r="U729" s="3"/>
      <c r="V729" s="3"/>
      <c r="W729" s="3"/>
      <c r="X729" s="3"/>
      <c r="Y729" s="3"/>
      <c r="Z729" s="3"/>
    </row>
    <row r="730" spans="1:26" x14ac:dyDescent="0.25">
      <c r="A730" s="2">
        <v>46066</v>
      </c>
      <c r="B730" s="2" t="s">
        <v>169</v>
      </c>
      <c r="C730" s="3" t="s">
        <v>231</v>
      </c>
      <c r="D730" s="4">
        <v>23.05415</v>
      </c>
      <c r="E730" s="239">
        <v>0.88</v>
      </c>
      <c r="F730" s="239">
        <f t="shared" ref="F730:F731" si="341">+D730*E730</f>
        <v>20.287652000000001</v>
      </c>
      <c r="G730" s="4">
        <f t="shared" ref="G730:G731" si="342">+H730/D730</f>
        <v>300.73544242576713</v>
      </c>
      <c r="H730" s="4">
        <v>6933.2</v>
      </c>
      <c r="I730" s="3">
        <f t="shared" si="319"/>
        <v>23.05415</v>
      </c>
      <c r="J730" s="3" t="str">
        <f t="shared" si="320"/>
        <v>0</v>
      </c>
      <c r="K730" s="3">
        <f t="shared" si="321"/>
        <v>20.287652000000001</v>
      </c>
      <c r="L730" s="3" t="str">
        <f t="shared" si="325"/>
        <v>0</v>
      </c>
      <c r="M730" s="3">
        <f t="shared" si="322"/>
        <v>7279.86</v>
      </c>
      <c r="N730" s="3">
        <f t="shared" si="323"/>
        <v>0</v>
      </c>
      <c r="O730" s="3" t="str">
        <f t="shared" si="324"/>
        <v>0</v>
      </c>
      <c r="P730" s="3" t="str">
        <f t="shared" si="326"/>
        <v>0</v>
      </c>
      <c r="Q730" s="3" t="str">
        <f t="shared" si="327"/>
        <v>0</v>
      </c>
      <c r="R730" s="3" t="str">
        <f t="shared" si="328"/>
        <v>0</v>
      </c>
      <c r="S730" s="3">
        <f t="shared" si="329"/>
        <v>0</v>
      </c>
      <c r="T730" s="3" t="str">
        <f t="shared" si="330"/>
        <v>0</v>
      </c>
      <c r="U730" s="3"/>
      <c r="V730" s="3"/>
      <c r="W730" s="3"/>
      <c r="X730" s="3"/>
      <c r="Y730" s="3"/>
      <c r="Z730" s="3"/>
    </row>
    <row r="731" spans="1:26" x14ac:dyDescent="0.25">
      <c r="A731" s="2">
        <v>46067</v>
      </c>
      <c r="B731" s="2" t="s">
        <v>169</v>
      </c>
      <c r="C731" s="169" t="s">
        <v>229</v>
      </c>
      <c r="D731" s="4">
        <v>424.23039999999997</v>
      </c>
      <c r="E731" s="239">
        <v>0.88</v>
      </c>
      <c r="F731" s="239">
        <f t="shared" si="341"/>
        <v>373.32275199999998</v>
      </c>
      <c r="G731" s="4">
        <f t="shared" si="342"/>
        <v>16.241410327972726</v>
      </c>
      <c r="H731" s="4">
        <v>6890.1</v>
      </c>
      <c r="I731" s="3">
        <f t="shared" si="319"/>
        <v>424.23039999999997</v>
      </c>
      <c r="J731" s="3" t="str">
        <f t="shared" si="320"/>
        <v>0</v>
      </c>
      <c r="K731" s="3">
        <f t="shared" si="321"/>
        <v>373.32275199999998</v>
      </c>
      <c r="L731" s="3" t="str">
        <f t="shared" si="325"/>
        <v>0</v>
      </c>
      <c r="M731" s="3">
        <f t="shared" si="322"/>
        <v>7234.6050000000005</v>
      </c>
      <c r="N731" s="3">
        <f t="shared" si="323"/>
        <v>0</v>
      </c>
      <c r="O731" s="3" t="str">
        <f t="shared" si="324"/>
        <v>0</v>
      </c>
      <c r="P731" s="3" t="str">
        <f t="shared" si="326"/>
        <v>0</v>
      </c>
      <c r="Q731" s="3" t="str">
        <f t="shared" si="327"/>
        <v>0</v>
      </c>
      <c r="R731" s="3" t="str">
        <f t="shared" si="328"/>
        <v>0</v>
      </c>
      <c r="S731" s="3">
        <f t="shared" si="329"/>
        <v>0</v>
      </c>
      <c r="T731" s="3" t="str">
        <f t="shared" si="330"/>
        <v>0</v>
      </c>
      <c r="U731" s="3"/>
      <c r="V731" s="3"/>
      <c r="W731" s="3"/>
      <c r="X731" s="3"/>
      <c r="Y731" s="3"/>
      <c r="Z731" s="3"/>
    </row>
    <row r="732" spans="1:26" x14ac:dyDescent="0.25">
      <c r="A732" s="2">
        <v>46067</v>
      </c>
      <c r="B732" s="2" t="s">
        <v>170</v>
      </c>
      <c r="C732" s="169" t="s">
        <v>229</v>
      </c>
      <c r="D732" s="4">
        <v>1330.1200000000001</v>
      </c>
      <c r="E732" s="239">
        <v>0.995</v>
      </c>
      <c r="F732" s="239">
        <f t="shared" ref="F732:F733" si="343">D732*E732</f>
        <v>1323.4694000000002</v>
      </c>
      <c r="G732" s="3"/>
      <c r="H732" s="3">
        <f t="shared" si="331"/>
        <v>0</v>
      </c>
      <c r="I732" s="3" t="str">
        <f t="shared" si="319"/>
        <v>0</v>
      </c>
      <c r="J732" s="3" t="str">
        <f t="shared" si="320"/>
        <v>0</v>
      </c>
      <c r="K732" s="3" t="str">
        <f t="shared" si="321"/>
        <v>0</v>
      </c>
      <c r="L732" s="3" t="str">
        <f t="shared" si="325"/>
        <v>0</v>
      </c>
      <c r="M732" s="3">
        <f t="shared" si="322"/>
        <v>0</v>
      </c>
      <c r="N732" s="3">
        <f t="shared" si="323"/>
        <v>0</v>
      </c>
      <c r="O732" s="3">
        <f t="shared" si="324"/>
        <v>1330.1200000000001</v>
      </c>
      <c r="P732" s="3" t="str">
        <f t="shared" si="326"/>
        <v>0</v>
      </c>
      <c r="Q732" s="3">
        <f t="shared" si="327"/>
        <v>1323.4694000000002</v>
      </c>
      <c r="R732" s="3" t="str">
        <f t="shared" si="328"/>
        <v>0</v>
      </c>
      <c r="S732" s="3">
        <f t="shared" si="329"/>
        <v>0</v>
      </c>
      <c r="T732" s="3" t="str">
        <f t="shared" si="330"/>
        <v>0</v>
      </c>
      <c r="U732" s="3"/>
      <c r="V732" s="3"/>
      <c r="W732" s="3"/>
      <c r="X732" s="3"/>
      <c r="Y732" s="3"/>
      <c r="Z732" s="3"/>
    </row>
    <row r="733" spans="1:26" x14ac:dyDescent="0.25">
      <c r="A733" s="2">
        <v>46067</v>
      </c>
      <c r="B733" s="2" t="s">
        <v>170</v>
      </c>
      <c r="C733" s="3" t="s">
        <v>249</v>
      </c>
      <c r="D733" s="4">
        <v>386.49779999999998</v>
      </c>
      <c r="E733" s="239">
        <v>0.995</v>
      </c>
      <c r="F733" s="239">
        <f t="shared" si="343"/>
        <v>384.56531100000001</v>
      </c>
      <c r="G733" s="3"/>
      <c r="H733" s="3">
        <f t="shared" si="331"/>
        <v>0</v>
      </c>
      <c r="I733" s="3" t="str">
        <f t="shared" si="319"/>
        <v>0</v>
      </c>
      <c r="J733" s="3" t="str">
        <f t="shared" si="320"/>
        <v>0</v>
      </c>
      <c r="K733" s="3" t="str">
        <f t="shared" si="321"/>
        <v>0</v>
      </c>
      <c r="L733" s="3" t="str">
        <f t="shared" si="325"/>
        <v>0</v>
      </c>
      <c r="M733" s="3">
        <f t="shared" si="322"/>
        <v>0</v>
      </c>
      <c r="N733" s="3">
        <f t="shared" si="323"/>
        <v>0</v>
      </c>
      <c r="O733" s="3">
        <f t="shared" si="324"/>
        <v>386.49779999999998</v>
      </c>
      <c r="P733" s="3" t="str">
        <f t="shared" si="326"/>
        <v>0</v>
      </c>
      <c r="Q733" s="3">
        <f t="shared" si="327"/>
        <v>384.56531100000001</v>
      </c>
      <c r="R733" s="3" t="str">
        <f t="shared" si="328"/>
        <v>0</v>
      </c>
      <c r="S733" s="3">
        <f t="shared" si="329"/>
        <v>0</v>
      </c>
      <c r="T733" s="3" t="str">
        <f t="shared" si="330"/>
        <v>0</v>
      </c>
      <c r="U733" s="3"/>
      <c r="V733" s="3"/>
      <c r="W733" s="3"/>
      <c r="X733" s="3"/>
      <c r="Y733" s="3"/>
      <c r="Z733" s="3"/>
    </row>
    <row r="734" spans="1:26" x14ac:dyDescent="0.25">
      <c r="A734" s="2">
        <v>46069</v>
      </c>
      <c r="B734" s="2" t="s">
        <v>169</v>
      </c>
      <c r="C734" s="169" t="s">
        <v>233</v>
      </c>
      <c r="D734" s="4">
        <v>390.04</v>
      </c>
      <c r="E734" s="239">
        <v>0.88</v>
      </c>
      <c r="F734" s="239">
        <f t="shared" ref="F734:F738" si="344">+D734*E734</f>
        <v>343.23520000000002</v>
      </c>
      <c r="G734" s="4">
        <f t="shared" ref="G734:G738" si="345">+H734/D734</f>
        <v>9.1240641985437385</v>
      </c>
      <c r="H734" s="3">
        <v>3558.75</v>
      </c>
      <c r="I734" s="3">
        <f t="shared" si="319"/>
        <v>390.04</v>
      </c>
      <c r="J734" s="3" t="str">
        <f t="shared" si="320"/>
        <v>0</v>
      </c>
      <c r="K734" s="3">
        <f t="shared" si="321"/>
        <v>343.23520000000002</v>
      </c>
      <c r="L734" s="3" t="str">
        <f t="shared" si="325"/>
        <v>0</v>
      </c>
      <c r="M734" s="3">
        <f t="shared" si="322"/>
        <v>3736.6875</v>
      </c>
      <c r="N734" s="3">
        <f t="shared" si="323"/>
        <v>0</v>
      </c>
      <c r="O734" s="3" t="str">
        <f t="shared" si="324"/>
        <v>0</v>
      </c>
      <c r="P734" s="3" t="str">
        <f t="shared" si="326"/>
        <v>0</v>
      </c>
      <c r="Q734" s="3" t="str">
        <f t="shared" si="327"/>
        <v>0</v>
      </c>
      <c r="R734" s="3" t="str">
        <f t="shared" si="328"/>
        <v>0</v>
      </c>
      <c r="S734" s="3">
        <f t="shared" si="329"/>
        <v>0</v>
      </c>
      <c r="T734" s="3" t="str">
        <f t="shared" si="330"/>
        <v>0</v>
      </c>
      <c r="U734" s="3"/>
      <c r="V734" s="3"/>
      <c r="W734" s="3"/>
      <c r="X734" s="3"/>
      <c r="Y734" s="3"/>
      <c r="Z734" s="3"/>
    </row>
    <row r="735" spans="1:26" x14ac:dyDescent="0.25">
      <c r="A735" s="2">
        <v>46069</v>
      </c>
      <c r="B735" s="2" t="s">
        <v>169</v>
      </c>
      <c r="C735" s="169" t="s">
        <v>247</v>
      </c>
      <c r="D735" s="4">
        <v>1381.856</v>
      </c>
      <c r="E735" s="239">
        <v>0.88</v>
      </c>
      <c r="F735" s="239">
        <f t="shared" si="344"/>
        <v>1216.0332800000001</v>
      </c>
      <c r="G735" s="4">
        <f t="shared" si="345"/>
        <v>1.4480162911330847</v>
      </c>
      <c r="H735" s="3">
        <v>2000.95</v>
      </c>
      <c r="I735" s="3">
        <f t="shared" si="319"/>
        <v>1381.856</v>
      </c>
      <c r="J735" s="3" t="str">
        <f t="shared" si="320"/>
        <v>0</v>
      </c>
      <c r="K735" s="3">
        <f t="shared" si="321"/>
        <v>1216.0332800000001</v>
      </c>
      <c r="L735" s="3" t="str">
        <f t="shared" si="325"/>
        <v>0</v>
      </c>
      <c r="M735" s="3">
        <f t="shared" si="322"/>
        <v>2100.9974999999999</v>
      </c>
      <c r="N735" s="3">
        <f t="shared" si="323"/>
        <v>0</v>
      </c>
      <c r="O735" s="3" t="str">
        <f t="shared" si="324"/>
        <v>0</v>
      </c>
      <c r="P735" s="3" t="str">
        <f t="shared" si="326"/>
        <v>0</v>
      </c>
      <c r="Q735" s="3" t="str">
        <f t="shared" si="327"/>
        <v>0</v>
      </c>
      <c r="R735" s="3" t="str">
        <f t="shared" si="328"/>
        <v>0</v>
      </c>
      <c r="S735" s="3">
        <f t="shared" si="329"/>
        <v>0</v>
      </c>
      <c r="T735" s="3" t="str">
        <f t="shared" si="330"/>
        <v>0</v>
      </c>
      <c r="U735" s="3"/>
      <c r="V735" s="3"/>
      <c r="W735" s="3"/>
      <c r="X735" s="3"/>
      <c r="Y735" s="3"/>
      <c r="Z735" s="3"/>
    </row>
    <row r="736" spans="1:26" x14ac:dyDescent="0.25">
      <c r="A736" s="2">
        <v>46069</v>
      </c>
      <c r="B736" s="2" t="s">
        <v>169</v>
      </c>
      <c r="C736" s="169" t="s">
        <v>229</v>
      </c>
      <c r="D736" s="4">
        <v>492.09715</v>
      </c>
      <c r="E736" s="239">
        <v>0.88</v>
      </c>
      <c r="F736" s="239">
        <f t="shared" si="344"/>
        <v>433.04549200000002</v>
      </c>
      <c r="G736" s="4">
        <f t="shared" si="345"/>
        <v>14.10595448480041</v>
      </c>
      <c r="H736" s="3">
        <v>6941.5</v>
      </c>
      <c r="I736" s="3">
        <f t="shared" si="319"/>
        <v>492.09715</v>
      </c>
      <c r="J736" s="3" t="str">
        <f t="shared" si="320"/>
        <v>0</v>
      </c>
      <c r="K736" s="3">
        <f t="shared" si="321"/>
        <v>433.04549200000002</v>
      </c>
      <c r="L736" s="3" t="str">
        <f t="shared" si="325"/>
        <v>0</v>
      </c>
      <c r="M736" s="3">
        <f t="shared" si="322"/>
        <v>7288.5749999999998</v>
      </c>
      <c r="N736" s="3">
        <f t="shared" si="323"/>
        <v>0</v>
      </c>
      <c r="O736" s="3" t="str">
        <f t="shared" si="324"/>
        <v>0</v>
      </c>
      <c r="P736" s="3" t="str">
        <f t="shared" si="326"/>
        <v>0</v>
      </c>
      <c r="Q736" s="3" t="str">
        <f t="shared" si="327"/>
        <v>0</v>
      </c>
      <c r="R736" s="3" t="str">
        <f t="shared" si="328"/>
        <v>0</v>
      </c>
      <c r="S736" s="3">
        <f t="shared" si="329"/>
        <v>0</v>
      </c>
      <c r="T736" s="3" t="str">
        <f t="shared" si="330"/>
        <v>0</v>
      </c>
      <c r="U736" s="3"/>
      <c r="V736" s="3"/>
      <c r="W736" s="3"/>
      <c r="X736" s="3"/>
      <c r="Y736" s="3"/>
      <c r="Z736" s="3"/>
    </row>
    <row r="737" spans="1:26" x14ac:dyDescent="0.25">
      <c r="A737" s="2">
        <v>46069</v>
      </c>
      <c r="B737" s="2" t="s">
        <v>169</v>
      </c>
      <c r="C737" s="169" t="s">
        <v>236</v>
      </c>
      <c r="D737" s="4">
        <v>2033.0988</v>
      </c>
      <c r="E737" s="239">
        <v>0.92</v>
      </c>
      <c r="F737" s="239">
        <f t="shared" si="344"/>
        <v>1870.4508960000001</v>
      </c>
      <c r="G737" s="4">
        <f t="shared" si="345"/>
        <v>2.2771101925789341</v>
      </c>
      <c r="H737" s="3">
        <v>4629.59</v>
      </c>
      <c r="I737" s="3">
        <f t="shared" si="319"/>
        <v>2033.0988</v>
      </c>
      <c r="J737" s="3" t="str">
        <f t="shared" si="320"/>
        <v>0</v>
      </c>
      <c r="K737" s="3">
        <f t="shared" si="321"/>
        <v>1870.4508960000001</v>
      </c>
      <c r="L737" s="3" t="str">
        <f t="shared" si="325"/>
        <v>0</v>
      </c>
      <c r="M737" s="3">
        <f t="shared" si="322"/>
        <v>4861.0695000000005</v>
      </c>
      <c r="N737" s="3">
        <f t="shared" si="323"/>
        <v>0</v>
      </c>
      <c r="O737" s="3" t="str">
        <f t="shared" si="324"/>
        <v>0</v>
      </c>
      <c r="P737" s="3" t="str">
        <f t="shared" si="326"/>
        <v>0</v>
      </c>
      <c r="Q737" s="3" t="str">
        <f t="shared" si="327"/>
        <v>0</v>
      </c>
      <c r="R737" s="3" t="str">
        <f t="shared" si="328"/>
        <v>0</v>
      </c>
      <c r="S737" s="3">
        <f t="shared" si="329"/>
        <v>0</v>
      </c>
      <c r="T737" s="3" t="str">
        <f t="shared" si="330"/>
        <v>0</v>
      </c>
      <c r="U737" s="3"/>
      <c r="V737" s="3"/>
      <c r="W737" s="3"/>
      <c r="X737" s="3"/>
      <c r="Y737" s="3"/>
      <c r="Z737" s="3"/>
    </row>
    <row r="738" spans="1:26" x14ac:dyDescent="0.25">
      <c r="A738" s="2">
        <v>46069</v>
      </c>
      <c r="B738" s="2" t="s">
        <v>169</v>
      </c>
      <c r="C738" s="3" t="s">
        <v>230</v>
      </c>
      <c r="D738" s="4">
        <v>2033.0934499999998</v>
      </c>
      <c r="E738" s="239">
        <v>0.88</v>
      </c>
      <c r="F738" s="239">
        <f t="shared" si="344"/>
        <v>1789.1222359999999</v>
      </c>
      <c r="G738" s="4">
        <f t="shared" si="345"/>
        <v>2.0650305080664149</v>
      </c>
      <c r="H738" s="3">
        <v>4198.3999999999996</v>
      </c>
      <c r="I738" s="3">
        <f t="shared" si="319"/>
        <v>2033.0934499999998</v>
      </c>
      <c r="J738" s="3" t="str">
        <f t="shared" si="320"/>
        <v>0</v>
      </c>
      <c r="K738" s="3">
        <f t="shared" si="321"/>
        <v>1789.1222359999999</v>
      </c>
      <c r="L738" s="3" t="str">
        <f t="shared" si="325"/>
        <v>0</v>
      </c>
      <c r="M738" s="3">
        <f t="shared" si="322"/>
        <v>4408.32</v>
      </c>
      <c r="N738" s="3">
        <f t="shared" si="323"/>
        <v>0</v>
      </c>
      <c r="O738" s="3" t="str">
        <f t="shared" si="324"/>
        <v>0</v>
      </c>
      <c r="P738" s="3" t="str">
        <f t="shared" si="326"/>
        <v>0</v>
      </c>
      <c r="Q738" s="3" t="str">
        <f t="shared" si="327"/>
        <v>0</v>
      </c>
      <c r="R738" s="3" t="str">
        <f t="shared" si="328"/>
        <v>0</v>
      </c>
      <c r="S738" s="3">
        <f t="shared" si="329"/>
        <v>0</v>
      </c>
      <c r="T738" s="3" t="str">
        <f t="shared" si="330"/>
        <v>0</v>
      </c>
      <c r="U738" s="3"/>
      <c r="V738" s="3"/>
      <c r="W738" s="3"/>
      <c r="X738" s="3"/>
      <c r="Y738" s="3"/>
      <c r="Z738" s="3"/>
    </row>
    <row r="739" spans="1:26" x14ac:dyDescent="0.25">
      <c r="A739" s="2">
        <v>46069</v>
      </c>
      <c r="B739" s="2" t="s">
        <v>170</v>
      </c>
      <c r="C739" s="169" t="s">
        <v>229</v>
      </c>
      <c r="D739" s="4">
        <v>407.18385000000001</v>
      </c>
      <c r="E739" s="239">
        <v>0.995</v>
      </c>
      <c r="F739" s="239">
        <f t="shared" ref="F739:F741" si="346">D739*E739</f>
        <v>405.14793075</v>
      </c>
      <c r="G739" s="3"/>
      <c r="H739" s="3">
        <f t="shared" si="331"/>
        <v>0</v>
      </c>
      <c r="I739" s="3" t="str">
        <f t="shared" si="319"/>
        <v>0</v>
      </c>
      <c r="J739" s="3" t="str">
        <f t="shared" si="320"/>
        <v>0</v>
      </c>
      <c r="K739" s="3" t="str">
        <f t="shared" si="321"/>
        <v>0</v>
      </c>
      <c r="L739" s="3" t="str">
        <f t="shared" si="325"/>
        <v>0</v>
      </c>
      <c r="M739" s="3">
        <f t="shared" si="322"/>
        <v>0</v>
      </c>
      <c r="N739" s="3">
        <f t="shared" si="323"/>
        <v>0</v>
      </c>
      <c r="O739" s="3">
        <f t="shared" si="324"/>
        <v>407.18385000000001</v>
      </c>
      <c r="P739" s="3" t="str">
        <f t="shared" si="326"/>
        <v>0</v>
      </c>
      <c r="Q739" s="3">
        <f t="shared" si="327"/>
        <v>405.14793075</v>
      </c>
      <c r="R739" s="3" t="str">
        <f t="shared" si="328"/>
        <v>0</v>
      </c>
      <c r="S739" s="3">
        <f t="shared" si="329"/>
        <v>0</v>
      </c>
      <c r="T739" s="3" t="str">
        <f t="shared" si="330"/>
        <v>0</v>
      </c>
      <c r="U739" s="3"/>
      <c r="V739" s="3"/>
      <c r="W739" s="3"/>
      <c r="X739" s="3"/>
      <c r="Y739" s="3"/>
      <c r="Z739" s="3"/>
    </row>
    <row r="740" spans="1:26" x14ac:dyDescent="0.25">
      <c r="A740" s="2">
        <v>46069</v>
      </c>
      <c r="B740" s="2" t="s">
        <v>170</v>
      </c>
      <c r="C740" s="3" t="s">
        <v>235</v>
      </c>
      <c r="D740" s="4">
        <v>301.46261250000003</v>
      </c>
      <c r="E740" s="239">
        <v>0.995</v>
      </c>
      <c r="F740" s="239">
        <f t="shared" si="346"/>
        <v>299.95529943750006</v>
      </c>
      <c r="G740" s="3"/>
      <c r="H740" s="3">
        <f t="shared" si="331"/>
        <v>0</v>
      </c>
      <c r="I740" s="3" t="str">
        <f t="shared" si="319"/>
        <v>0</v>
      </c>
      <c r="J740" s="3" t="str">
        <f t="shared" si="320"/>
        <v>0</v>
      </c>
      <c r="K740" s="3" t="str">
        <f t="shared" si="321"/>
        <v>0</v>
      </c>
      <c r="L740" s="3" t="str">
        <f t="shared" si="325"/>
        <v>0</v>
      </c>
      <c r="M740" s="3">
        <f t="shared" si="322"/>
        <v>0</v>
      </c>
      <c r="N740" s="3">
        <f t="shared" si="323"/>
        <v>0</v>
      </c>
      <c r="O740" s="3">
        <f t="shared" si="324"/>
        <v>301.46261250000003</v>
      </c>
      <c r="P740" s="3" t="str">
        <f t="shared" si="326"/>
        <v>0</v>
      </c>
      <c r="Q740" s="3">
        <f t="shared" si="327"/>
        <v>299.95529943750006</v>
      </c>
      <c r="R740" s="3" t="str">
        <f t="shared" si="328"/>
        <v>0</v>
      </c>
      <c r="S740" s="3">
        <f t="shared" si="329"/>
        <v>0</v>
      </c>
      <c r="T740" s="3" t="str">
        <f t="shared" si="330"/>
        <v>0</v>
      </c>
      <c r="U740" s="3"/>
      <c r="V740" s="3"/>
      <c r="W740" s="3"/>
      <c r="X740" s="3"/>
      <c r="Y740" s="3"/>
      <c r="Z740" s="3"/>
    </row>
    <row r="741" spans="1:26" x14ac:dyDescent="0.25">
      <c r="A741" s="2">
        <v>46069</v>
      </c>
      <c r="B741" s="2" t="s">
        <v>170</v>
      </c>
      <c r="C741" s="169" t="s">
        <v>236</v>
      </c>
      <c r="D741" s="4">
        <v>987.8</v>
      </c>
      <c r="E741" s="239">
        <v>0.995</v>
      </c>
      <c r="F741" s="239">
        <f t="shared" si="346"/>
        <v>982.86099999999999</v>
      </c>
      <c r="G741" s="3"/>
      <c r="H741" s="3">
        <f t="shared" si="331"/>
        <v>0</v>
      </c>
      <c r="I741" s="3" t="str">
        <f t="shared" si="319"/>
        <v>0</v>
      </c>
      <c r="J741" s="3" t="str">
        <f t="shared" si="320"/>
        <v>0</v>
      </c>
      <c r="K741" s="3" t="str">
        <f t="shared" si="321"/>
        <v>0</v>
      </c>
      <c r="L741" s="3" t="str">
        <f t="shared" si="325"/>
        <v>0</v>
      </c>
      <c r="M741" s="3">
        <f t="shared" si="322"/>
        <v>0</v>
      </c>
      <c r="N741" s="3">
        <f t="shared" si="323"/>
        <v>0</v>
      </c>
      <c r="O741" s="3">
        <f t="shared" si="324"/>
        <v>987.8</v>
      </c>
      <c r="P741" s="3" t="str">
        <f t="shared" si="326"/>
        <v>0</v>
      </c>
      <c r="Q741" s="3">
        <f t="shared" si="327"/>
        <v>982.86099999999999</v>
      </c>
      <c r="R741" s="3" t="str">
        <f t="shared" si="328"/>
        <v>0</v>
      </c>
      <c r="S741" s="3">
        <f t="shared" si="329"/>
        <v>0</v>
      </c>
      <c r="T741" s="3" t="str">
        <f t="shared" si="330"/>
        <v>0</v>
      </c>
      <c r="U741" s="3"/>
      <c r="V741" s="3"/>
      <c r="W741" s="3"/>
      <c r="X741" s="3"/>
      <c r="Y741" s="3"/>
      <c r="Z741" s="3"/>
    </row>
    <row r="742" spans="1:26" x14ac:dyDescent="0.25">
      <c r="A742" s="2">
        <v>46069</v>
      </c>
      <c r="B742" s="2" t="s">
        <v>209</v>
      </c>
      <c r="C742" s="169" t="s">
        <v>239</v>
      </c>
      <c r="D742" s="4">
        <v>238.92</v>
      </c>
      <c r="E742" s="239">
        <v>0.995</v>
      </c>
      <c r="F742" s="239">
        <f>D742*E742</f>
        <v>237.72539999999998</v>
      </c>
      <c r="G742" s="3"/>
      <c r="H742" s="3">
        <f t="shared" si="331"/>
        <v>0</v>
      </c>
      <c r="I742" s="3" t="str">
        <f t="shared" si="319"/>
        <v>0</v>
      </c>
      <c r="J742" s="3" t="str">
        <f t="shared" si="320"/>
        <v>0</v>
      </c>
      <c r="K742" s="3" t="str">
        <f t="shared" si="321"/>
        <v>0</v>
      </c>
      <c r="L742" s="3" t="str">
        <f t="shared" si="325"/>
        <v>0</v>
      </c>
      <c r="M742" s="3">
        <f t="shared" si="322"/>
        <v>0</v>
      </c>
      <c r="N742" s="3">
        <f t="shared" si="323"/>
        <v>0</v>
      </c>
      <c r="O742" s="3" t="str">
        <f t="shared" si="324"/>
        <v>0</v>
      </c>
      <c r="P742" s="3">
        <f t="shared" si="326"/>
        <v>238.92</v>
      </c>
      <c r="Q742" s="3" t="str">
        <f t="shared" si="327"/>
        <v>0</v>
      </c>
      <c r="R742" s="3">
        <f t="shared" si="328"/>
        <v>237.72539999999998</v>
      </c>
      <c r="S742" s="3">
        <f t="shared" si="329"/>
        <v>0</v>
      </c>
      <c r="T742" s="3">
        <f t="shared" si="330"/>
        <v>0</v>
      </c>
      <c r="U742" s="3"/>
      <c r="V742" s="3"/>
      <c r="W742" s="3"/>
      <c r="X742" s="3"/>
      <c r="Y742" s="3"/>
      <c r="Z742" s="3"/>
    </row>
    <row r="743" spans="1:26" x14ac:dyDescent="0.25">
      <c r="A743" s="2">
        <v>46070</v>
      </c>
      <c r="B743" s="2" t="s">
        <v>169</v>
      </c>
      <c r="C743" s="3" t="s">
        <v>230</v>
      </c>
      <c r="D743" s="4">
        <v>474.58399999999995</v>
      </c>
      <c r="E743" s="239">
        <v>0.88</v>
      </c>
      <c r="F743" s="239">
        <f t="shared" ref="F743:F747" si="347">+D743*E743</f>
        <v>417.63391999999993</v>
      </c>
      <c r="G743" s="4">
        <f t="shared" ref="G743:G747" si="348">+H743/D743</f>
        <v>12.140316571987258</v>
      </c>
      <c r="H743" s="3">
        <v>5761.6</v>
      </c>
      <c r="I743" s="3">
        <f t="shared" si="319"/>
        <v>474.58399999999995</v>
      </c>
      <c r="J743" s="3" t="str">
        <f t="shared" si="320"/>
        <v>0</v>
      </c>
      <c r="K743" s="3">
        <f t="shared" si="321"/>
        <v>417.63391999999993</v>
      </c>
      <c r="L743" s="3" t="str">
        <f t="shared" si="325"/>
        <v>0</v>
      </c>
      <c r="M743" s="3">
        <f t="shared" si="322"/>
        <v>6049.68</v>
      </c>
      <c r="N743" s="3">
        <f t="shared" si="323"/>
        <v>0</v>
      </c>
      <c r="O743" s="3" t="str">
        <f t="shared" si="324"/>
        <v>0</v>
      </c>
      <c r="P743" s="3" t="str">
        <f t="shared" si="326"/>
        <v>0</v>
      </c>
      <c r="Q743" s="3" t="str">
        <f t="shared" si="327"/>
        <v>0</v>
      </c>
      <c r="R743" s="3" t="str">
        <f t="shared" si="328"/>
        <v>0</v>
      </c>
      <c r="S743" s="3">
        <f t="shared" si="329"/>
        <v>0</v>
      </c>
      <c r="T743" s="3" t="str">
        <f t="shared" si="330"/>
        <v>0</v>
      </c>
      <c r="U743" s="3"/>
      <c r="V743" s="3"/>
      <c r="W743" s="3"/>
      <c r="X743" s="3"/>
      <c r="Y743" s="3"/>
      <c r="Z743" s="3"/>
    </row>
    <row r="744" spans="1:26" x14ac:dyDescent="0.25">
      <c r="A744" s="2">
        <v>46070</v>
      </c>
      <c r="B744" s="2" t="s">
        <v>169</v>
      </c>
      <c r="C744" s="169" t="s">
        <v>233</v>
      </c>
      <c r="D744" s="4">
        <v>869.44</v>
      </c>
      <c r="E744" s="239">
        <v>0.88</v>
      </c>
      <c r="F744" s="239">
        <f t="shared" si="347"/>
        <v>765.10720000000003</v>
      </c>
      <c r="G744" s="4">
        <f t="shared" si="348"/>
        <v>1.9795500552079497</v>
      </c>
      <c r="H744" s="3">
        <v>1721.1</v>
      </c>
      <c r="I744" s="3">
        <f t="shared" si="319"/>
        <v>869.44</v>
      </c>
      <c r="J744" s="3" t="str">
        <f t="shared" si="320"/>
        <v>0</v>
      </c>
      <c r="K744" s="3">
        <f t="shared" si="321"/>
        <v>765.10720000000003</v>
      </c>
      <c r="L744" s="3" t="str">
        <f t="shared" si="325"/>
        <v>0</v>
      </c>
      <c r="M744" s="3">
        <f t="shared" si="322"/>
        <v>1807.155</v>
      </c>
      <c r="N744" s="3">
        <f t="shared" si="323"/>
        <v>0</v>
      </c>
      <c r="O744" s="3" t="str">
        <f t="shared" si="324"/>
        <v>0</v>
      </c>
      <c r="P744" s="3" t="str">
        <f t="shared" si="326"/>
        <v>0</v>
      </c>
      <c r="Q744" s="3" t="str">
        <f t="shared" si="327"/>
        <v>0</v>
      </c>
      <c r="R744" s="3" t="str">
        <f t="shared" si="328"/>
        <v>0</v>
      </c>
      <c r="S744" s="3">
        <f t="shared" si="329"/>
        <v>0</v>
      </c>
      <c r="T744" s="3" t="str">
        <f t="shared" si="330"/>
        <v>0</v>
      </c>
      <c r="U744" s="3"/>
      <c r="V744" s="3"/>
      <c r="W744" s="3"/>
      <c r="X744" s="3"/>
      <c r="Y744" s="3"/>
      <c r="Z744" s="3"/>
    </row>
    <row r="745" spans="1:26" x14ac:dyDescent="0.25">
      <c r="A745" s="2">
        <v>46071</v>
      </c>
      <c r="B745" s="2" t="s">
        <v>169</v>
      </c>
      <c r="C745" s="169" t="s">
        <v>234</v>
      </c>
      <c r="D745" s="4">
        <v>885.64949999999999</v>
      </c>
      <c r="E745" s="239">
        <v>0.88</v>
      </c>
      <c r="F745" s="239">
        <f t="shared" si="347"/>
        <v>779.37156000000004</v>
      </c>
      <c r="G745" s="4">
        <f t="shared" si="348"/>
        <v>9.6697395527237351</v>
      </c>
      <c r="H745" s="3">
        <v>8564</v>
      </c>
      <c r="I745" s="3">
        <f t="shared" si="319"/>
        <v>885.64949999999999</v>
      </c>
      <c r="J745" s="3" t="str">
        <f t="shared" si="320"/>
        <v>0</v>
      </c>
      <c r="K745" s="3">
        <f t="shared" si="321"/>
        <v>779.37156000000004</v>
      </c>
      <c r="L745" s="3" t="str">
        <f t="shared" si="325"/>
        <v>0</v>
      </c>
      <c r="M745" s="3">
        <f t="shared" si="322"/>
        <v>8992.2000000000007</v>
      </c>
      <c r="N745" s="3">
        <f t="shared" si="323"/>
        <v>0</v>
      </c>
      <c r="O745" s="3" t="str">
        <f t="shared" si="324"/>
        <v>0</v>
      </c>
      <c r="P745" s="3" t="str">
        <f t="shared" si="326"/>
        <v>0</v>
      </c>
      <c r="Q745" s="3" t="str">
        <f t="shared" si="327"/>
        <v>0</v>
      </c>
      <c r="R745" s="3" t="str">
        <f t="shared" si="328"/>
        <v>0</v>
      </c>
      <c r="S745" s="3">
        <f t="shared" si="329"/>
        <v>0</v>
      </c>
      <c r="T745" s="3" t="str">
        <f t="shared" si="330"/>
        <v>0</v>
      </c>
      <c r="U745" s="3"/>
      <c r="V745" s="3"/>
      <c r="W745" s="3"/>
      <c r="X745" s="3"/>
      <c r="Y745" s="3"/>
      <c r="Z745" s="3"/>
    </row>
    <row r="746" spans="1:26" x14ac:dyDescent="0.25">
      <c r="A746" s="2">
        <v>46071</v>
      </c>
      <c r="B746" s="2" t="s">
        <v>169</v>
      </c>
      <c r="C746" s="169" t="s">
        <v>236</v>
      </c>
      <c r="D746" s="4">
        <v>408.23199999999997</v>
      </c>
      <c r="E746" s="239">
        <v>0.92</v>
      </c>
      <c r="F746" s="239">
        <f t="shared" si="347"/>
        <v>375.57344000000001</v>
      </c>
      <c r="G746" s="4">
        <f t="shared" si="348"/>
        <v>8.8528091869329213</v>
      </c>
      <c r="H746" s="3">
        <v>3614</v>
      </c>
      <c r="I746" s="3">
        <f t="shared" si="319"/>
        <v>408.23199999999997</v>
      </c>
      <c r="J746" s="3" t="str">
        <f t="shared" si="320"/>
        <v>0</v>
      </c>
      <c r="K746" s="3">
        <f t="shared" si="321"/>
        <v>375.57344000000001</v>
      </c>
      <c r="L746" s="3" t="str">
        <f t="shared" si="325"/>
        <v>0</v>
      </c>
      <c r="M746" s="3">
        <f t="shared" si="322"/>
        <v>3794.7</v>
      </c>
      <c r="N746" s="3">
        <f t="shared" si="323"/>
        <v>0</v>
      </c>
      <c r="O746" s="3" t="str">
        <f t="shared" si="324"/>
        <v>0</v>
      </c>
      <c r="P746" s="3" t="str">
        <f t="shared" si="326"/>
        <v>0</v>
      </c>
      <c r="Q746" s="3" t="str">
        <f t="shared" si="327"/>
        <v>0</v>
      </c>
      <c r="R746" s="3" t="str">
        <f t="shared" si="328"/>
        <v>0</v>
      </c>
      <c r="S746" s="3">
        <f t="shared" si="329"/>
        <v>0</v>
      </c>
      <c r="T746" s="3" t="str">
        <f t="shared" si="330"/>
        <v>0</v>
      </c>
      <c r="U746" s="3"/>
      <c r="V746" s="3"/>
      <c r="W746" s="3"/>
      <c r="X746" s="3"/>
      <c r="Y746" s="3"/>
      <c r="Z746" s="3"/>
    </row>
    <row r="747" spans="1:26" x14ac:dyDescent="0.25">
      <c r="A747" s="2">
        <v>46071</v>
      </c>
      <c r="B747" s="2" t="s">
        <v>169</v>
      </c>
      <c r="C747" s="169" t="s">
        <v>238</v>
      </c>
      <c r="D747" s="4">
        <v>386.49779999999998</v>
      </c>
      <c r="E747" s="239">
        <v>0.88</v>
      </c>
      <c r="F747" s="239">
        <f t="shared" si="347"/>
        <v>340.118064</v>
      </c>
      <c r="G747" s="4">
        <f t="shared" si="348"/>
        <v>1.391495630764263</v>
      </c>
      <c r="H747" s="3">
        <v>537.80999999999995</v>
      </c>
      <c r="I747" s="3">
        <f t="shared" si="319"/>
        <v>386.49779999999998</v>
      </c>
      <c r="J747" s="3" t="str">
        <f t="shared" si="320"/>
        <v>0</v>
      </c>
      <c r="K747" s="3">
        <f t="shared" si="321"/>
        <v>340.118064</v>
      </c>
      <c r="L747" s="3" t="str">
        <f t="shared" si="325"/>
        <v>0</v>
      </c>
      <c r="M747" s="3">
        <f t="shared" si="322"/>
        <v>564.70049999999992</v>
      </c>
      <c r="N747" s="3">
        <f t="shared" si="323"/>
        <v>0</v>
      </c>
      <c r="O747" s="3" t="str">
        <f t="shared" si="324"/>
        <v>0</v>
      </c>
      <c r="P747" s="3" t="str">
        <f t="shared" si="326"/>
        <v>0</v>
      </c>
      <c r="Q747" s="3" t="str">
        <f t="shared" si="327"/>
        <v>0</v>
      </c>
      <c r="R747" s="3" t="str">
        <f t="shared" si="328"/>
        <v>0</v>
      </c>
      <c r="S747" s="3">
        <f t="shared" si="329"/>
        <v>0</v>
      </c>
      <c r="T747" s="3" t="str">
        <f t="shared" si="330"/>
        <v>0</v>
      </c>
      <c r="U747" s="3"/>
      <c r="V747" s="3"/>
      <c r="W747" s="3"/>
      <c r="X747" s="3"/>
      <c r="Y747" s="3"/>
      <c r="Z747" s="3"/>
    </row>
    <row r="748" spans="1:26" x14ac:dyDescent="0.25">
      <c r="A748" s="2">
        <v>46071</v>
      </c>
      <c r="B748" s="2" t="s">
        <v>170</v>
      </c>
      <c r="C748" s="169" t="s">
        <v>228</v>
      </c>
      <c r="D748" s="4">
        <v>390.04</v>
      </c>
      <c r="E748" s="239">
        <v>0.995</v>
      </c>
      <c r="F748" s="239">
        <f t="shared" ref="F748:F752" si="349">D748*E748</f>
        <v>388.08980000000003</v>
      </c>
      <c r="G748" s="3"/>
      <c r="H748" s="3">
        <f t="shared" si="331"/>
        <v>0</v>
      </c>
      <c r="I748" s="3" t="str">
        <f t="shared" si="319"/>
        <v>0</v>
      </c>
      <c r="J748" s="3" t="str">
        <f t="shared" si="320"/>
        <v>0</v>
      </c>
      <c r="K748" s="3" t="str">
        <f t="shared" si="321"/>
        <v>0</v>
      </c>
      <c r="L748" s="3" t="str">
        <f t="shared" si="325"/>
        <v>0</v>
      </c>
      <c r="M748" s="3">
        <f t="shared" si="322"/>
        <v>0</v>
      </c>
      <c r="N748" s="3">
        <f t="shared" si="323"/>
        <v>0</v>
      </c>
      <c r="O748" s="3">
        <f t="shared" si="324"/>
        <v>390.04</v>
      </c>
      <c r="P748" s="3" t="str">
        <f t="shared" si="326"/>
        <v>0</v>
      </c>
      <c r="Q748" s="3">
        <f t="shared" si="327"/>
        <v>388.08980000000003</v>
      </c>
      <c r="R748" s="3" t="str">
        <f t="shared" si="328"/>
        <v>0</v>
      </c>
      <c r="S748" s="3">
        <f t="shared" si="329"/>
        <v>0</v>
      </c>
      <c r="T748" s="3" t="str">
        <f t="shared" si="330"/>
        <v>0</v>
      </c>
      <c r="U748" s="3"/>
      <c r="V748" s="3"/>
      <c r="W748" s="3"/>
      <c r="X748" s="3"/>
      <c r="Y748" s="3"/>
      <c r="Z748" s="3"/>
    </row>
    <row r="749" spans="1:26" x14ac:dyDescent="0.25">
      <c r="A749" s="2">
        <v>46071</v>
      </c>
      <c r="B749" s="2" t="s">
        <v>170</v>
      </c>
      <c r="C749" s="169" t="s">
        <v>234</v>
      </c>
      <c r="D749" s="4">
        <v>1381.856</v>
      </c>
      <c r="E749" s="239">
        <v>0.995</v>
      </c>
      <c r="F749" s="239">
        <f t="shared" si="349"/>
        <v>1374.9467199999999</v>
      </c>
      <c r="G749" s="3"/>
      <c r="H749" s="3">
        <f t="shared" si="331"/>
        <v>0</v>
      </c>
      <c r="I749" s="3" t="str">
        <f t="shared" si="319"/>
        <v>0</v>
      </c>
      <c r="J749" s="3" t="str">
        <f t="shared" si="320"/>
        <v>0</v>
      </c>
      <c r="K749" s="3" t="str">
        <f t="shared" si="321"/>
        <v>0</v>
      </c>
      <c r="L749" s="3" t="str">
        <f t="shared" si="325"/>
        <v>0</v>
      </c>
      <c r="M749" s="3">
        <f t="shared" si="322"/>
        <v>0</v>
      </c>
      <c r="N749" s="3">
        <f t="shared" si="323"/>
        <v>0</v>
      </c>
      <c r="O749" s="3">
        <f t="shared" si="324"/>
        <v>1381.856</v>
      </c>
      <c r="P749" s="3" t="str">
        <f t="shared" si="326"/>
        <v>0</v>
      </c>
      <c r="Q749" s="3">
        <f t="shared" si="327"/>
        <v>1374.9467199999999</v>
      </c>
      <c r="R749" s="3" t="str">
        <f t="shared" si="328"/>
        <v>0</v>
      </c>
      <c r="S749" s="3">
        <f t="shared" si="329"/>
        <v>0</v>
      </c>
      <c r="T749" s="3" t="str">
        <f t="shared" si="330"/>
        <v>0</v>
      </c>
      <c r="U749" s="3"/>
      <c r="V749" s="3"/>
      <c r="W749" s="3"/>
      <c r="X749" s="3"/>
      <c r="Y749" s="3"/>
      <c r="Z749" s="3"/>
    </row>
    <row r="750" spans="1:26" x14ac:dyDescent="0.25">
      <c r="A750" s="2">
        <v>46071</v>
      </c>
      <c r="B750" s="2" t="s">
        <v>170</v>
      </c>
      <c r="C750" s="169" t="s">
        <v>233</v>
      </c>
      <c r="D750" s="4">
        <v>492.09715</v>
      </c>
      <c r="E750" s="239">
        <v>0.995</v>
      </c>
      <c r="F750" s="239">
        <f t="shared" si="349"/>
        <v>489.63666425000002</v>
      </c>
      <c r="G750" s="3"/>
      <c r="H750" s="3">
        <f t="shared" si="331"/>
        <v>0</v>
      </c>
      <c r="I750" s="3" t="str">
        <f t="shared" si="319"/>
        <v>0</v>
      </c>
      <c r="J750" s="3" t="str">
        <f t="shared" si="320"/>
        <v>0</v>
      </c>
      <c r="K750" s="3" t="str">
        <f t="shared" si="321"/>
        <v>0</v>
      </c>
      <c r="L750" s="3" t="str">
        <f t="shared" si="325"/>
        <v>0</v>
      </c>
      <c r="M750" s="3">
        <f t="shared" si="322"/>
        <v>0</v>
      </c>
      <c r="N750" s="3">
        <f t="shared" si="323"/>
        <v>0</v>
      </c>
      <c r="O750" s="3">
        <f t="shared" si="324"/>
        <v>492.09715</v>
      </c>
      <c r="P750" s="3" t="str">
        <f t="shared" si="326"/>
        <v>0</v>
      </c>
      <c r="Q750" s="3">
        <f t="shared" si="327"/>
        <v>489.63666425000002</v>
      </c>
      <c r="R750" s="3" t="str">
        <f t="shared" si="328"/>
        <v>0</v>
      </c>
      <c r="S750" s="3">
        <f t="shared" si="329"/>
        <v>0</v>
      </c>
      <c r="T750" s="3" t="str">
        <f t="shared" si="330"/>
        <v>0</v>
      </c>
      <c r="U750" s="3"/>
      <c r="V750" s="3"/>
      <c r="W750" s="3"/>
      <c r="X750" s="3"/>
      <c r="Y750" s="3"/>
      <c r="Z750" s="3"/>
    </row>
    <row r="751" spans="1:26" x14ac:dyDescent="0.25">
      <c r="A751" s="2">
        <v>46071</v>
      </c>
      <c r="B751" s="2" t="s">
        <v>170</v>
      </c>
      <c r="C751" s="169" t="s">
        <v>236</v>
      </c>
      <c r="D751" s="4">
        <v>467.53519999999997</v>
      </c>
      <c r="E751" s="239">
        <v>1</v>
      </c>
      <c r="F751" s="239">
        <f t="shared" si="349"/>
        <v>467.53519999999997</v>
      </c>
      <c r="G751" s="3"/>
      <c r="H751" s="3">
        <f t="shared" si="331"/>
        <v>0</v>
      </c>
      <c r="I751" s="3" t="str">
        <f t="shared" si="319"/>
        <v>0</v>
      </c>
      <c r="J751" s="3" t="str">
        <f t="shared" si="320"/>
        <v>0</v>
      </c>
      <c r="K751" s="3" t="str">
        <f t="shared" si="321"/>
        <v>0</v>
      </c>
      <c r="L751" s="3" t="str">
        <f t="shared" si="325"/>
        <v>0</v>
      </c>
      <c r="M751" s="3">
        <f t="shared" si="322"/>
        <v>0</v>
      </c>
      <c r="N751" s="3">
        <f t="shared" si="323"/>
        <v>0</v>
      </c>
      <c r="O751" s="3">
        <f t="shared" si="324"/>
        <v>467.53519999999997</v>
      </c>
      <c r="P751" s="3" t="str">
        <f t="shared" si="326"/>
        <v>0</v>
      </c>
      <c r="Q751" s="3">
        <f t="shared" si="327"/>
        <v>467.53519999999997</v>
      </c>
      <c r="R751" s="3" t="str">
        <f t="shared" si="328"/>
        <v>0</v>
      </c>
      <c r="S751" s="3">
        <f t="shared" si="329"/>
        <v>0</v>
      </c>
      <c r="T751" s="3" t="str">
        <f t="shared" si="330"/>
        <v>0</v>
      </c>
      <c r="U751" s="3"/>
      <c r="V751" s="3"/>
      <c r="W751" s="3"/>
      <c r="X751" s="3"/>
      <c r="Y751" s="3"/>
      <c r="Z751" s="3"/>
    </row>
    <row r="752" spans="1:26" x14ac:dyDescent="0.25">
      <c r="A752" s="2">
        <v>46071</v>
      </c>
      <c r="B752" s="2" t="s">
        <v>170</v>
      </c>
      <c r="C752" s="169" t="s">
        <v>236</v>
      </c>
      <c r="D752" s="4">
        <v>386.49779999999998</v>
      </c>
      <c r="E752" s="239">
        <v>0.995</v>
      </c>
      <c r="F752" s="239">
        <f t="shared" si="349"/>
        <v>384.56531100000001</v>
      </c>
      <c r="G752" s="3"/>
      <c r="H752" s="3">
        <f t="shared" si="331"/>
        <v>0</v>
      </c>
      <c r="I752" s="3" t="str">
        <f t="shared" si="319"/>
        <v>0</v>
      </c>
      <c r="J752" s="3" t="str">
        <f t="shared" si="320"/>
        <v>0</v>
      </c>
      <c r="K752" s="3" t="str">
        <f t="shared" si="321"/>
        <v>0</v>
      </c>
      <c r="L752" s="3" t="str">
        <f t="shared" si="325"/>
        <v>0</v>
      </c>
      <c r="M752" s="3">
        <f t="shared" si="322"/>
        <v>0</v>
      </c>
      <c r="N752" s="3">
        <f t="shared" si="323"/>
        <v>0</v>
      </c>
      <c r="O752" s="3">
        <f t="shared" si="324"/>
        <v>386.49779999999998</v>
      </c>
      <c r="P752" s="3" t="str">
        <f t="shared" si="326"/>
        <v>0</v>
      </c>
      <c r="Q752" s="3">
        <f t="shared" si="327"/>
        <v>384.56531100000001</v>
      </c>
      <c r="R752" s="3" t="str">
        <f t="shared" si="328"/>
        <v>0</v>
      </c>
      <c r="S752" s="3">
        <f t="shared" si="329"/>
        <v>0</v>
      </c>
      <c r="T752" s="3" t="str">
        <f t="shared" si="330"/>
        <v>0</v>
      </c>
      <c r="U752" s="3"/>
      <c r="V752" s="3"/>
      <c r="W752" s="3"/>
      <c r="X752" s="3"/>
      <c r="Y752" s="3"/>
      <c r="Z752" s="3"/>
    </row>
    <row r="753" spans="1:26" x14ac:dyDescent="0.25">
      <c r="A753" s="2">
        <v>46072</v>
      </c>
      <c r="B753" s="2" t="s">
        <v>169</v>
      </c>
      <c r="C753" s="169" t="s">
        <v>238</v>
      </c>
      <c r="D753" s="4">
        <v>262.15199999999999</v>
      </c>
      <c r="E753" s="239">
        <v>0.88</v>
      </c>
      <c r="F753" s="239">
        <f t="shared" ref="F753:F754" si="350">+D753*E753</f>
        <v>230.69376</v>
      </c>
      <c r="G753" s="4">
        <f t="shared" ref="G753:G754" si="351">+H753/D753</f>
        <v>14.520736061521561</v>
      </c>
      <c r="H753" s="3">
        <v>3806.64</v>
      </c>
      <c r="I753" s="3">
        <f t="shared" si="319"/>
        <v>262.15199999999999</v>
      </c>
      <c r="J753" s="3" t="str">
        <f t="shared" si="320"/>
        <v>0</v>
      </c>
      <c r="K753" s="3">
        <f t="shared" si="321"/>
        <v>230.69376</v>
      </c>
      <c r="L753" s="3" t="str">
        <f t="shared" si="325"/>
        <v>0</v>
      </c>
      <c r="M753" s="3">
        <f t="shared" si="322"/>
        <v>3996.9719999999998</v>
      </c>
      <c r="N753" s="3">
        <f t="shared" si="323"/>
        <v>0</v>
      </c>
      <c r="O753" s="3" t="str">
        <f t="shared" si="324"/>
        <v>0</v>
      </c>
      <c r="P753" s="3" t="str">
        <f t="shared" si="326"/>
        <v>0</v>
      </c>
      <c r="Q753" s="3" t="str">
        <f t="shared" si="327"/>
        <v>0</v>
      </c>
      <c r="R753" s="3" t="str">
        <f t="shared" si="328"/>
        <v>0</v>
      </c>
      <c r="S753" s="3">
        <f t="shared" si="329"/>
        <v>0</v>
      </c>
      <c r="T753" s="3" t="str">
        <f t="shared" si="330"/>
        <v>0</v>
      </c>
      <c r="U753" s="3"/>
      <c r="V753" s="3"/>
      <c r="W753" s="3"/>
      <c r="X753" s="3"/>
      <c r="Y753" s="3"/>
      <c r="Z753" s="3"/>
    </row>
    <row r="754" spans="1:26" x14ac:dyDescent="0.25">
      <c r="A754" s="2">
        <v>46072</v>
      </c>
      <c r="B754" s="2" t="s">
        <v>169</v>
      </c>
      <c r="C754" s="169" t="s">
        <v>229</v>
      </c>
      <c r="D754" s="4">
        <v>319.59399999999999</v>
      </c>
      <c r="E754" s="239">
        <v>0.88</v>
      </c>
      <c r="F754" s="239">
        <f t="shared" si="350"/>
        <v>281.24272000000002</v>
      </c>
      <c r="G754" s="4">
        <f t="shared" si="351"/>
        <v>33.106065821010411</v>
      </c>
      <c r="H754" s="3">
        <v>10580.5</v>
      </c>
      <c r="I754" s="3">
        <f t="shared" si="319"/>
        <v>319.59399999999999</v>
      </c>
      <c r="J754" s="3" t="str">
        <f t="shared" si="320"/>
        <v>0</v>
      </c>
      <c r="K754" s="3">
        <f t="shared" si="321"/>
        <v>281.24272000000002</v>
      </c>
      <c r="L754" s="3" t="str">
        <f t="shared" si="325"/>
        <v>0</v>
      </c>
      <c r="M754" s="3">
        <f t="shared" si="322"/>
        <v>11109.525</v>
      </c>
      <c r="N754" s="3">
        <f t="shared" si="323"/>
        <v>0</v>
      </c>
      <c r="O754" s="3" t="str">
        <f t="shared" si="324"/>
        <v>0</v>
      </c>
      <c r="P754" s="3" t="str">
        <f t="shared" si="326"/>
        <v>0</v>
      </c>
      <c r="Q754" s="3" t="str">
        <f t="shared" si="327"/>
        <v>0</v>
      </c>
      <c r="R754" s="3" t="str">
        <f t="shared" si="328"/>
        <v>0</v>
      </c>
      <c r="S754" s="3">
        <f t="shared" si="329"/>
        <v>0</v>
      </c>
      <c r="T754" s="3" t="str">
        <f t="shared" si="330"/>
        <v>0</v>
      </c>
      <c r="U754" s="3"/>
      <c r="V754" s="3"/>
      <c r="W754" s="3"/>
      <c r="X754" s="3"/>
      <c r="Y754" s="3"/>
      <c r="Z754" s="3"/>
    </row>
    <row r="755" spans="1:26" x14ac:dyDescent="0.25">
      <c r="A755" s="2">
        <v>46072</v>
      </c>
      <c r="B755" s="2" t="s">
        <v>170</v>
      </c>
      <c r="C755" s="3" t="s">
        <v>235</v>
      </c>
      <c r="D755" s="4">
        <v>200.464</v>
      </c>
      <c r="E755" s="239">
        <v>0.995</v>
      </c>
      <c r="F755" s="239">
        <f t="shared" ref="F755:F760" si="352">D755*E755</f>
        <v>199.46168</v>
      </c>
      <c r="G755" s="4"/>
      <c r="H755" s="3">
        <f t="shared" si="331"/>
        <v>0</v>
      </c>
      <c r="I755" s="3" t="str">
        <f t="shared" si="319"/>
        <v>0</v>
      </c>
      <c r="J755" s="3" t="str">
        <f t="shared" si="320"/>
        <v>0</v>
      </c>
      <c r="K755" s="3" t="str">
        <f t="shared" si="321"/>
        <v>0</v>
      </c>
      <c r="L755" s="3" t="str">
        <f t="shared" si="325"/>
        <v>0</v>
      </c>
      <c r="M755" s="3">
        <f t="shared" si="322"/>
        <v>0</v>
      </c>
      <c r="N755" s="3">
        <f t="shared" si="323"/>
        <v>0</v>
      </c>
      <c r="O755" s="3">
        <f t="shared" si="324"/>
        <v>200.464</v>
      </c>
      <c r="P755" s="3" t="str">
        <f t="shared" si="326"/>
        <v>0</v>
      </c>
      <c r="Q755" s="3">
        <f t="shared" si="327"/>
        <v>199.46168</v>
      </c>
      <c r="R755" s="3" t="str">
        <f t="shared" si="328"/>
        <v>0</v>
      </c>
      <c r="S755" s="3">
        <f t="shared" si="329"/>
        <v>0</v>
      </c>
      <c r="T755" s="3" t="str">
        <f t="shared" si="330"/>
        <v>0</v>
      </c>
      <c r="U755" s="3"/>
      <c r="V755" s="3"/>
      <c r="W755" s="3"/>
      <c r="X755" s="3"/>
      <c r="Y755" s="3"/>
      <c r="Z755" s="3"/>
    </row>
    <row r="756" spans="1:26" x14ac:dyDescent="0.25">
      <c r="A756" s="2">
        <v>46072</v>
      </c>
      <c r="B756" s="2" t="s">
        <v>170</v>
      </c>
      <c r="C756" s="3" t="s">
        <v>230</v>
      </c>
      <c r="D756" s="4">
        <v>489.63666425000002</v>
      </c>
      <c r="E756" s="239">
        <v>0.995</v>
      </c>
      <c r="F756" s="239">
        <f t="shared" si="352"/>
        <v>487.18848092875004</v>
      </c>
      <c r="G756" s="4"/>
      <c r="H756" s="3">
        <f t="shared" si="331"/>
        <v>0</v>
      </c>
      <c r="I756" s="3" t="str">
        <f t="shared" si="319"/>
        <v>0</v>
      </c>
      <c r="J756" s="3" t="str">
        <f t="shared" si="320"/>
        <v>0</v>
      </c>
      <c r="K756" s="3" t="str">
        <f t="shared" si="321"/>
        <v>0</v>
      </c>
      <c r="L756" s="3" t="str">
        <f t="shared" si="325"/>
        <v>0</v>
      </c>
      <c r="M756" s="3">
        <f t="shared" si="322"/>
        <v>0</v>
      </c>
      <c r="N756" s="3">
        <f t="shared" si="323"/>
        <v>0</v>
      </c>
      <c r="O756" s="3">
        <f t="shared" si="324"/>
        <v>489.63666425000002</v>
      </c>
      <c r="P756" s="3" t="str">
        <f t="shared" si="326"/>
        <v>0</v>
      </c>
      <c r="Q756" s="3">
        <f t="shared" si="327"/>
        <v>487.18848092875004</v>
      </c>
      <c r="R756" s="3" t="str">
        <f t="shared" si="328"/>
        <v>0</v>
      </c>
      <c r="S756" s="3">
        <f t="shared" si="329"/>
        <v>0</v>
      </c>
      <c r="T756" s="3" t="str">
        <f t="shared" si="330"/>
        <v>0</v>
      </c>
      <c r="U756" s="3"/>
      <c r="V756" s="3"/>
      <c r="W756" s="3"/>
      <c r="X756" s="3"/>
      <c r="Y756" s="3"/>
      <c r="Z756" s="3"/>
    </row>
    <row r="757" spans="1:26" x14ac:dyDescent="0.25">
      <c r="A757" s="2">
        <v>46072</v>
      </c>
      <c r="B757" s="2" t="s">
        <v>170</v>
      </c>
      <c r="C757" s="169" t="s">
        <v>229</v>
      </c>
      <c r="D757" s="4">
        <v>467.53519999999997</v>
      </c>
      <c r="E757" s="239">
        <v>0.995</v>
      </c>
      <c r="F757" s="239">
        <f t="shared" si="352"/>
        <v>465.19752399999999</v>
      </c>
      <c r="G757" s="4"/>
      <c r="H757" s="3">
        <f t="shared" si="331"/>
        <v>0</v>
      </c>
      <c r="I757" s="3" t="str">
        <f t="shared" si="319"/>
        <v>0</v>
      </c>
      <c r="J757" s="3" t="str">
        <f t="shared" si="320"/>
        <v>0</v>
      </c>
      <c r="K757" s="3" t="str">
        <f t="shared" si="321"/>
        <v>0</v>
      </c>
      <c r="L757" s="3" t="str">
        <f t="shared" si="325"/>
        <v>0</v>
      </c>
      <c r="M757" s="3">
        <f t="shared" si="322"/>
        <v>0</v>
      </c>
      <c r="N757" s="3">
        <f t="shared" si="323"/>
        <v>0</v>
      </c>
      <c r="O757" s="3">
        <f t="shared" si="324"/>
        <v>467.53519999999997</v>
      </c>
      <c r="P757" s="3" t="str">
        <f t="shared" si="326"/>
        <v>0</v>
      </c>
      <c r="Q757" s="3">
        <f t="shared" si="327"/>
        <v>465.19752399999999</v>
      </c>
      <c r="R757" s="3" t="str">
        <f t="shared" si="328"/>
        <v>0</v>
      </c>
      <c r="S757" s="3">
        <f t="shared" si="329"/>
        <v>0</v>
      </c>
      <c r="T757" s="3" t="str">
        <f t="shared" si="330"/>
        <v>0</v>
      </c>
      <c r="U757" s="3"/>
      <c r="V757" s="3"/>
      <c r="W757" s="3"/>
      <c r="X757" s="3"/>
      <c r="Y757" s="3"/>
      <c r="Z757" s="3"/>
    </row>
    <row r="758" spans="1:26" x14ac:dyDescent="0.25">
      <c r="A758" s="2">
        <v>46072</v>
      </c>
      <c r="B758" s="2" t="s">
        <v>170</v>
      </c>
      <c r="C758" s="169" t="s">
        <v>238</v>
      </c>
      <c r="D758" s="4">
        <v>384.56531100000001</v>
      </c>
      <c r="E758" s="239">
        <v>0.995</v>
      </c>
      <c r="F758" s="239">
        <f t="shared" si="352"/>
        <v>382.64248444499998</v>
      </c>
      <c r="G758" s="4"/>
      <c r="H758" s="3"/>
      <c r="I758" s="3" t="str">
        <f t="shared" si="319"/>
        <v>0</v>
      </c>
      <c r="J758" s="3" t="str">
        <f t="shared" si="320"/>
        <v>0</v>
      </c>
      <c r="K758" s="3" t="str">
        <f t="shared" si="321"/>
        <v>0</v>
      </c>
      <c r="L758" s="3" t="str">
        <f t="shared" si="325"/>
        <v>0</v>
      </c>
      <c r="M758" s="3">
        <f t="shared" si="322"/>
        <v>0</v>
      </c>
      <c r="N758" s="3">
        <f t="shared" si="323"/>
        <v>0</v>
      </c>
      <c r="O758" s="3">
        <f t="shared" si="324"/>
        <v>384.56531100000001</v>
      </c>
      <c r="P758" s="3" t="str">
        <f t="shared" si="326"/>
        <v>0</v>
      </c>
      <c r="Q758" s="3">
        <f t="shared" si="327"/>
        <v>382.64248444499998</v>
      </c>
      <c r="R758" s="3" t="str">
        <f t="shared" si="328"/>
        <v>0</v>
      </c>
      <c r="S758" s="3">
        <f t="shared" si="329"/>
        <v>0</v>
      </c>
      <c r="T758" s="3" t="str">
        <f t="shared" si="330"/>
        <v>0</v>
      </c>
      <c r="U758" s="3"/>
      <c r="V758" s="3"/>
      <c r="W758" s="3"/>
      <c r="X758" s="3"/>
      <c r="Y758" s="3"/>
      <c r="Z758" s="3"/>
    </row>
    <row r="759" spans="1:26" x14ac:dyDescent="0.25">
      <c r="A759" s="2">
        <v>46072</v>
      </c>
      <c r="B759" s="2" t="s">
        <v>170</v>
      </c>
      <c r="C759" s="169" t="s">
        <v>239</v>
      </c>
      <c r="D759" s="4">
        <v>230.69376</v>
      </c>
      <c r="E759" s="239">
        <v>0.88</v>
      </c>
      <c r="F759" s="239">
        <f t="shared" si="352"/>
        <v>203.0105088</v>
      </c>
      <c r="G759" s="4">
        <f>H759/D759</f>
        <v>6.3332879051431643</v>
      </c>
      <c r="H759" s="3">
        <v>1461.05</v>
      </c>
      <c r="I759" s="3" t="str">
        <f t="shared" si="319"/>
        <v>0</v>
      </c>
      <c r="J759" s="3" t="str">
        <f t="shared" si="320"/>
        <v>0</v>
      </c>
      <c r="K759" s="3" t="str">
        <f t="shared" si="321"/>
        <v>0</v>
      </c>
      <c r="L759" s="3" t="str">
        <f t="shared" si="325"/>
        <v>0</v>
      </c>
      <c r="M759" s="3">
        <f t="shared" si="322"/>
        <v>0</v>
      </c>
      <c r="N759" s="3">
        <f t="shared" si="323"/>
        <v>0</v>
      </c>
      <c r="O759" s="3">
        <f t="shared" si="324"/>
        <v>230.69376</v>
      </c>
      <c r="P759" s="3" t="str">
        <f t="shared" si="326"/>
        <v>0</v>
      </c>
      <c r="Q759" s="3">
        <f t="shared" si="327"/>
        <v>203.0105088</v>
      </c>
      <c r="R759" s="3" t="str">
        <f t="shared" si="328"/>
        <v>0</v>
      </c>
      <c r="S759" s="3">
        <f t="shared" si="329"/>
        <v>1534.1025</v>
      </c>
      <c r="T759" s="3" t="str">
        <f t="shared" si="330"/>
        <v>0</v>
      </c>
      <c r="U759" s="3"/>
      <c r="V759" s="3"/>
      <c r="W759" s="3"/>
      <c r="X759" s="3"/>
      <c r="Y759" s="3"/>
      <c r="Z759" s="3"/>
    </row>
    <row r="760" spans="1:26" x14ac:dyDescent="0.25">
      <c r="A760" s="2">
        <v>46072</v>
      </c>
      <c r="B760" s="2" t="s">
        <v>209</v>
      </c>
      <c r="C760" s="169" t="s">
        <v>239</v>
      </c>
      <c r="D760" s="4">
        <v>281.24272000000002</v>
      </c>
      <c r="E760" s="239">
        <v>0.995</v>
      </c>
      <c r="F760" s="239">
        <f t="shared" si="352"/>
        <v>279.83650640000002</v>
      </c>
      <c r="G760" s="3"/>
      <c r="H760" s="3">
        <f t="shared" si="331"/>
        <v>0</v>
      </c>
      <c r="I760" s="3" t="str">
        <f t="shared" si="319"/>
        <v>0</v>
      </c>
      <c r="J760" s="3" t="str">
        <f t="shared" si="320"/>
        <v>0</v>
      </c>
      <c r="K760" s="3" t="str">
        <f t="shared" si="321"/>
        <v>0</v>
      </c>
      <c r="L760" s="3" t="str">
        <f t="shared" si="325"/>
        <v>0</v>
      </c>
      <c r="M760" s="3">
        <f t="shared" si="322"/>
        <v>0</v>
      </c>
      <c r="N760" s="3">
        <f t="shared" si="323"/>
        <v>0</v>
      </c>
      <c r="O760" s="3" t="str">
        <f t="shared" si="324"/>
        <v>0</v>
      </c>
      <c r="P760" s="3">
        <f t="shared" si="326"/>
        <v>281.24272000000002</v>
      </c>
      <c r="Q760" s="3" t="str">
        <f t="shared" si="327"/>
        <v>0</v>
      </c>
      <c r="R760" s="3">
        <f t="shared" si="328"/>
        <v>279.83650640000002</v>
      </c>
      <c r="S760" s="3">
        <f t="shared" si="329"/>
        <v>0</v>
      </c>
      <c r="T760" s="3">
        <f t="shared" si="330"/>
        <v>0</v>
      </c>
      <c r="U760" s="3"/>
      <c r="V760" s="3"/>
      <c r="W760" s="3"/>
      <c r="X760" s="3"/>
      <c r="Y760" s="3"/>
      <c r="Z760" s="3"/>
    </row>
    <row r="761" spans="1:26" x14ac:dyDescent="0.25">
      <c r="A761" s="2">
        <v>46074</v>
      </c>
      <c r="B761" s="2" t="s">
        <v>169</v>
      </c>
      <c r="C761" s="169" t="s">
        <v>229</v>
      </c>
      <c r="D761" s="4">
        <v>199.46168</v>
      </c>
      <c r="E761" s="239">
        <v>0.88</v>
      </c>
      <c r="F761" s="239">
        <f>D761*E761</f>
        <v>175.5262784</v>
      </c>
      <c r="G761" s="4">
        <f t="shared" ref="G761" si="353">+H761/D761</f>
        <v>11.201399687398602</v>
      </c>
      <c r="H761" s="3">
        <v>2234.25</v>
      </c>
      <c r="I761" s="3">
        <f t="shared" ref="I761:I791" si="354">IF(B761="SALES",D761,"0")</f>
        <v>199.46168</v>
      </c>
      <c r="J761" s="3" t="str">
        <f t="shared" ref="J761:J791" si="355">IF(B761="SALES RETURN",D761,"0")</f>
        <v>0</v>
      </c>
      <c r="K761" s="3">
        <f t="shared" ref="K761:K791" si="356">IF(B761="SALES",F761,"0")</f>
        <v>175.5262784</v>
      </c>
      <c r="L761" s="3" t="str">
        <f t="shared" si="325"/>
        <v>0</v>
      </c>
      <c r="M761" s="3">
        <f t="shared" ref="M761:M791" si="357">IF(B761="SALES",H761,"0")+IF(B761="SALES",H761,"0")*5%</f>
        <v>2345.9625000000001</v>
      </c>
      <c r="N761" s="3">
        <f t="shared" ref="N761:N791" si="358">IF(B761="SALES RETURN",H761,"0")+IF(B761="SALES RETURN",H761,"0")*5%</f>
        <v>0</v>
      </c>
      <c r="O761" s="3" t="str">
        <f t="shared" ref="O761:O791" si="359">IF(B761="PURCHASE",D761,"0")</f>
        <v>0</v>
      </c>
      <c r="P761" s="3" t="str">
        <f t="shared" si="326"/>
        <v>0</v>
      </c>
      <c r="Q761" s="3" t="str">
        <f t="shared" si="327"/>
        <v>0</v>
      </c>
      <c r="R761" s="3" t="str">
        <f t="shared" si="328"/>
        <v>0</v>
      </c>
      <c r="S761" s="3">
        <f t="shared" si="329"/>
        <v>0</v>
      </c>
      <c r="T761" s="3" t="str">
        <f t="shared" si="330"/>
        <v>0</v>
      </c>
      <c r="U761" s="3"/>
      <c r="V761" s="3"/>
      <c r="W761" s="3"/>
      <c r="X761" s="3"/>
      <c r="Y761" s="3"/>
      <c r="Z761" s="3"/>
    </row>
    <row r="762" spans="1:26" x14ac:dyDescent="0.25">
      <c r="A762" s="2">
        <v>46074</v>
      </c>
      <c r="B762" s="2" t="s">
        <v>170</v>
      </c>
      <c r="C762" s="169" t="s">
        <v>233</v>
      </c>
      <c r="D762" s="4">
        <v>355.58116000000001</v>
      </c>
      <c r="E762" s="239">
        <v>0.995</v>
      </c>
      <c r="F762" s="239">
        <f t="shared" ref="F762" si="360">D762*E762</f>
        <v>353.80325420000003</v>
      </c>
      <c r="G762" s="4"/>
      <c r="H762" s="3">
        <f t="shared" si="331"/>
        <v>0</v>
      </c>
      <c r="I762" s="3" t="str">
        <f t="shared" si="354"/>
        <v>0</v>
      </c>
      <c r="J762" s="3" t="str">
        <f t="shared" si="355"/>
        <v>0</v>
      </c>
      <c r="K762" s="3" t="str">
        <f t="shared" si="356"/>
        <v>0</v>
      </c>
      <c r="L762" s="3" t="str">
        <f t="shared" si="325"/>
        <v>0</v>
      </c>
      <c r="M762" s="3">
        <f t="shared" si="357"/>
        <v>0</v>
      </c>
      <c r="N762" s="3">
        <f t="shared" si="358"/>
        <v>0</v>
      </c>
      <c r="O762" s="3">
        <f t="shared" si="359"/>
        <v>355.58116000000001</v>
      </c>
      <c r="P762" s="3" t="str">
        <f t="shared" si="326"/>
        <v>0</v>
      </c>
      <c r="Q762" s="3">
        <f t="shared" si="327"/>
        <v>353.80325420000003</v>
      </c>
      <c r="R762" s="3" t="str">
        <f t="shared" si="328"/>
        <v>0</v>
      </c>
      <c r="S762" s="3">
        <f t="shared" si="329"/>
        <v>0</v>
      </c>
      <c r="T762" s="3" t="str">
        <f t="shared" si="330"/>
        <v>0</v>
      </c>
      <c r="U762" s="3"/>
      <c r="V762" s="3"/>
      <c r="W762" s="3"/>
      <c r="X762" s="3"/>
      <c r="Y762" s="3"/>
      <c r="Z762" s="3"/>
    </row>
    <row r="763" spans="1:26" x14ac:dyDescent="0.25">
      <c r="A763" s="2">
        <v>46074</v>
      </c>
      <c r="B763" s="2" t="s">
        <v>212</v>
      </c>
      <c r="C763" s="169" t="s">
        <v>228</v>
      </c>
      <c r="D763" s="4">
        <v>677.18903999999998</v>
      </c>
      <c r="E763" s="239">
        <v>0.88</v>
      </c>
      <c r="F763" s="239">
        <f>D763*E763</f>
        <v>595.92635519999999</v>
      </c>
      <c r="G763" s="4">
        <f>+H763/D763</f>
        <v>4.0460637106589914</v>
      </c>
      <c r="H763" s="3">
        <v>2739.95</v>
      </c>
      <c r="I763" s="3" t="str">
        <f t="shared" si="354"/>
        <v>0</v>
      </c>
      <c r="J763" s="3">
        <f t="shared" si="355"/>
        <v>677.18903999999998</v>
      </c>
      <c r="K763" s="3" t="str">
        <f t="shared" si="356"/>
        <v>0</v>
      </c>
      <c r="L763" s="3">
        <f t="shared" ref="L763:L791" si="361">IF(B763="SALES RETURN",F763,"0")</f>
        <v>595.92635519999999</v>
      </c>
      <c r="M763" s="3">
        <f t="shared" si="357"/>
        <v>0</v>
      </c>
      <c r="N763" s="3">
        <f t="shared" si="358"/>
        <v>2876.9474999999998</v>
      </c>
      <c r="O763" s="3" t="str">
        <f t="shared" si="359"/>
        <v>0</v>
      </c>
      <c r="P763" s="3" t="str">
        <f t="shared" ref="P763:P791" si="362">IF(B763="METAL PAYMENT",D763,"0")</f>
        <v>0</v>
      </c>
      <c r="Q763" s="3" t="str">
        <f t="shared" ref="Q763:Q791" si="363">IF(B763="PURCHASE",F763,"0")</f>
        <v>0</v>
      </c>
      <c r="R763" s="3" t="str">
        <f t="shared" ref="R763:R791" si="364">IF(B763="METAL PAYMENT",F763,"0")</f>
        <v>0</v>
      </c>
      <c r="S763" s="3">
        <f t="shared" ref="S763:S791" si="365">IF(B763="PURCHASE",H763,"0")+IF(B763="PURCHASE",H763,"0")*5%</f>
        <v>0</v>
      </c>
      <c r="T763" s="3" t="str">
        <f t="shared" ref="T763:T791" si="366">IF(B763="METAL PAYMENT",H763,"0")</f>
        <v>0</v>
      </c>
      <c r="U763" s="3"/>
      <c r="V763" s="3"/>
      <c r="W763" s="3"/>
      <c r="X763" s="3"/>
      <c r="Y763" s="3"/>
      <c r="Z763" s="3"/>
    </row>
    <row r="764" spans="1:26" x14ac:dyDescent="0.25">
      <c r="A764" s="2">
        <v>46076</v>
      </c>
      <c r="B764" s="2" t="s">
        <v>169</v>
      </c>
      <c r="C764" s="169" t="s">
        <v>233</v>
      </c>
      <c r="D764" s="4">
        <v>248.29827000000003</v>
      </c>
      <c r="E764" s="239">
        <v>0.88</v>
      </c>
      <c r="F764" s="239">
        <f t="shared" ref="F764:F765" si="367">+D764*E764</f>
        <v>218.50247760000002</v>
      </c>
      <c r="G764" s="4">
        <f t="shared" ref="G764:G765" si="368">+H764/D764</f>
        <v>7.3903052163835046</v>
      </c>
      <c r="H764" s="3">
        <v>1835</v>
      </c>
      <c r="I764" s="3">
        <f t="shared" si="354"/>
        <v>248.29827000000003</v>
      </c>
      <c r="J764" s="3" t="str">
        <f t="shared" si="355"/>
        <v>0</v>
      </c>
      <c r="K764" s="3">
        <f t="shared" si="356"/>
        <v>218.50247760000002</v>
      </c>
      <c r="L764" s="3" t="str">
        <f t="shared" si="361"/>
        <v>0</v>
      </c>
      <c r="M764" s="3">
        <f t="shared" si="357"/>
        <v>1926.75</v>
      </c>
      <c r="N764" s="3">
        <f t="shared" si="358"/>
        <v>0</v>
      </c>
      <c r="O764" s="3" t="str">
        <f t="shared" si="359"/>
        <v>0</v>
      </c>
      <c r="P764" s="3" t="str">
        <f t="shared" si="362"/>
        <v>0</v>
      </c>
      <c r="Q764" s="3" t="str">
        <f t="shared" si="363"/>
        <v>0</v>
      </c>
      <c r="R764" s="3" t="str">
        <f t="shared" si="364"/>
        <v>0</v>
      </c>
      <c r="S764" s="3">
        <f t="shared" si="365"/>
        <v>0</v>
      </c>
      <c r="T764" s="3" t="str">
        <f t="shared" si="366"/>
        <v>0</v>
      </c>
      <c r="U764" s="3"/>
      <c r="V764" s="3"/>
      <c r="W764" s="3"/>
      <c r="X764" s="3"/>
      <c r="Y764" s="3"/>
      <c r="Z764" s="3"/>
    </row>
    <row r="765" spans="1:26" x14ac:dyDescent="0.25">
      <c r="A765" s="2">
        <v>46076</v>
      </c>
      <c r="B765" s="2" t="s">
        <v>169</v>
      </c>
      <c r="C765" s="169" t="s">
        <v>229</v>
      </c>
      <c r="D765" s="4">
        <v>451.41557999999992</v>
      </c>
      <c r="E765" s="239">
        <v>0.88</v>
      </c>
      <c r="F765" s="239">
        <f t="shared" si="367"/>
        <v>397.24571039999995</v>
      </c>
      <c r="G765" s="4">
        <f t="shared" si="368"/>
        <v>13.706217228922407</v>
      </c>
      <c r="H765" s="3">
        <v>6187.2</v>
      </c>
      <c r="I765" s="3">
        <f t="shared" si="354"/>
        <v>451.41557999999992</v>
      </c>
      <c r="J765" s="3" t="str">
        <f t="shared" si="355"/>
        <v>0</v>
      </c>
      <c r="K765" s="3">
        <f t="shared" si="356"/>
        <v>397.24571039999995</v>
      </c>
      <c r="L765" s="3" t="str">
        <f t="shared" si="361"/>
        <v>0</v>
      </c>
      <c r="M765" s="3">
        <f t="shared" si="357"/>
        <v>6496.5599999999995</v>
      </c>
      <c r="N765" s="3">
        <f t="shared" si="358"/>
        <v>0</v>
      </c>
      <c r="O765" s="3" t="str">
        <f t="shared" si="359"/>
        <v>0</v>
      </c>
      <c r="P765" s="3" t="str">
        <f t="shared" si="362"/>
        <v>0</v>
      </c>
      <c r="Q765" s="3" t="str">
        <f t="shared" si="363"/>
        <v>0</v>
      </c>
      <c r="R765" s="3" t="str">
        <f t="shared" si="364"/>
        <v>0</v>
      </c>
      <c r="S765" s="3">
        <f t="shared" si="365"/>
        <v>0</v>
      </c>
      <c r="T765" s="3" t="str">
        <f t="shared" si="366"/>
        <v>0</v>
      </c>
      <c r="U765" s="3"/>
      <c r="V765" s="3"/>
      <c r="W765" s="3"/>
      <c r="X765" s="3"/>
      <c r="Y765" s="3"/>
      <c r="Z765" s="3"/>
    </row>
    <row r="766" spans="1:26" x14ac:dyDescent="0.25">
      <c r="A766" s="2">
        <v>46076</v>
      </c>
      <c r="B766" s="2" t="s">
        <v>170</v>
      </c>
      <c r="C766" s="3" t="s">
        <v>250</v>
      </c>
      <c r="D766" s="4">
        <v>383.13967500000001</v>
      </c>
      <c r="E766" s="239">
        <v>0.995</v>
      </c>
      <c r="F766" s="239">
        <f t="shared" ref="F766:F769" si="369">D766*E766</f>
        <v>381.22397662500003</v>
      </c>
      <c r="G766" s="4"/>
      <c r="H766" s="3">
        <f t="shared" si="331"/>
        <v>0</v>
      </c>
      <c r="I766" s="3" t="str">
        <f t="shared" si="354"/>
        <v>0</v>
      </c>
      <c r="J766" s="3" t="str">
        <f t="shared" si="355"/>
        <v>0</v>
      </c>
      <c r="K766" s="3" t="str">
        <f t="shared" si="356"/>
        <v>0</v>
      </c>
      <c r="L766" s="3" t="str">
        <f t="shared" si="361"/>
        <v>0</v>
      </c>
      <c r="M766" s="3">
        <f t="shared" si="357"/>
        <v>0</v>
      </c>
      <c r="N766" s="3">
        <f t="shared" si="358"/>
        <v>0</v>
      </c>
      <c r="O766" s="3">
        <f t="shared" si="359"/>
        <v>383.13967500000001</v>
      </c>
      <c r="P766" s="3" t="str">
        <f t="shared" si="362"/>
        <v>0</v>
      </c>
      <c r="Q766" s="3">
        <f t="shared" si="363"/>
        <v>381.22397662500003</v>
      </c>
      <c r="R766" s="3" t="str">
        <f t="shared" si="364"/>
        <v>0</v>
      </c>
      <c r="S766" s="3">
        <f t="shared" si="365"/>
        <v>0</v>
      </c>
      <c r="T766" s="3" t="str">
        <f t="shared" si="366"/>
        <v>0</v>
      </c>
      <c r="U766" s="3"/>
      <c r="V766" s="3"/>
      <c r="W766" s="3"/>
      <c r="X766" s="3"/>
      <c r="Y766" s="3"/>
      <c r="Z766" s="3"/>
    </row>
    <row r="767" spans="1:26" x14ac:dyDescent="0.25">
      <c r="A767" s="2">
        <v>46076</v>
      </c>
      <c r="B767" s="2" t="s">
        <v>170</v>
      </c>
      <c r="C767" s="3" t="s">
        <v>235</v>
      </c>
      <c r="D767" s="4">
        <v>875.6</v>
      </c>
      <c r="E767" s="239">
        <v>0.995</v>
      </c>
      <c r="F767" s="239">
        <f t="shared" si="369"/>
        <v>871.22199999999998</v>
      </c>
      <c r="G767" s="3"/>
      <c r="H767" s="3">
        <f t="shared" si="331"/>
        <v>0</v>
      </c>
      <c r="I767" s="3" t="str">
        <f t="shared" si="354"/>
        <v>0</v>
      </c>
      <c r="J767" s="3" t="str">
        <f t="shared" si="355"/>
        <v>0</v>
      </c>
      <c r="K767" s="3" t="str">
        <f t="shared" si="356"/>
        <v>0</v>
      </c>
      <c r="L767" s="3" t="str">
        <f t="shared" si="361"/>
        <v>0</v>
      </c>
      <c r="M767" s="3">
        <f t="shared" si="357"/>
        <v>0</v>
      </c>
      <c r="N767" s="3">
        <f t="shared" si="358"/>
        <v>0</v>
      </c>
      <c r="O767" s="3">
        <f t="shared" si="359"/>
        <v>875.6</v>
      </c>
      <c r="P767" s="3" t="str">
        <f t="shared" si="362"/>
        <v>0</v>
      </c>
      <c r="Q767" s="3">
        <f t="shared" si="363"/>
        <v>871.22199999999998</v>
      </c>
      <c r="R767" s="3" t="str">
        <f t="shared" si="364"/>
        <v>0</v>
      </c>
      <c r="S767" s="3">
        <f t="shared" si="365"/>
        <v>0</v>
      </c>
      <c r="T767" s="3" t="str">
        <f t="shared" si="366"/>
        <v>0</v>
      </c>
      <c r="U767" s="3"/>
      <c r="V767" s="3"/>
      <c r="W767" s="3"/>
      <c r="X767" s="3"/>
      <c r="Y767" s="3"/>
      <c r="Z767" s="3"/>
    </row>
    <row r="768" spans="1:26" x14ac:dyDescent="0.25">
      <c r="A768" s="2">
        <v>46076</v>
      </c>
      <c r="B768" s="2" t="s">
        <v>170</v>
      </c>
      <c r="C768" s="3" t="s">
        <v>230</v>
      </c>
      <c r="D768" s="4">
        <v>23.466079999999998</v>
      </c>
      <c r="E768" s="239">
        <v>0.995</v>
      </c>
      <c r="F768" s="239">
        <f t="shared" si="369"/>
        <v>23.348749599999998</v>
      </c>
      <c r="G768" s="3"/>
      <c r="H768" s="3">
        <f t="shared" si="331"/>
        <v>0</v>
      </c>
      <c r="I768" s="3" t="str">
        <f t="shared" si="354"/>
        <v>0</v>
      </c>
      <c r="J768" s="3" t="str">
        <f t="shared" si="355"/>
        <v>0</v>
      </c>
      <c r="K768" s="3" t="str">
        <f t="shared" si="356"/>
        <v>0</v>
      </c>
      <c r="L768" s="3" t="str">
        <f t="shared" si="361"/>
        <v>0</v>
      </c>
      <c r="M768" s="3">
        <f t="shared" si="357"/>
        <v>0</v>
      </c>
      <c r="N768" s="3">
        <f t="shared" si="358"/>
        <v>0</v>
      </c>
      <c r="O768" s="3">
        <f t="shared" si="359"/>
        <v>23.466079999999998</v>
      </c>
      <c r="P768" s="3" t="str">
        <f t="shared" si="362"/>
        <v>0</v>
      </c>
      <c r="Q768" s="3">
        <f t="shared" si="363"/>
        <v>23.348749599999998</v>
      </c>
      <c r="R768" s="3" t="str">
        <f t="shared" si="364"/>
        <v>0</v>
      </c>
      <c r="S768" s="3">
        <f t="shared" si="365"/>
        <v>0</v>
      </c>
      <c r="T768" s="3" t="str">
        <f t="shared" si="366"/>
        <v>0</v>
      </c>
      <c r="U768" s="3"/>
      <c r="V768" s="3"/>
      <c r="W768" s="3"/>
      <c r="X768" s="3"/>
      <c r="Y768" s="3"/>
      <c r="Z768" s="3"/>
    </row>
    <row r="769" spans="1:26" x14ac:dyDescent="0.25">
      <c r="A769" s="2">
        <v>46076</v>
      </c>
      <c r="B769" s="2" t="s">
        <v>170</v>
      </c>
      <c r="C769" s="169" t="s">
        <v>229</v>
      </c>
      <c r="D769" s="4">
        <v>1652.1823999999999</v>
      </c>
      <c r="E769" s="239">
        <v>0.995</v>
      </c>
      <c r="F769" s="239">
        <f t="shared" si="369"/>
        <v>1643.921488</v>
      </c>
      <c r="G769" s="3"/>
      <c r="H769" s="3">
        <f t="shared" si="331"/>
        <v>0</v>
      </c>
      <c r="I769" s="3" t="str">
        <f t="shared" si="354"/>
        <v>0</v>
      </c>
      <c r="J769" s="3" t="str">
        <f t="shared" si="355"/>
        <v>0</v>
      </c>
      <c r="K769" s="3" t="str">
        <f t="shared" si="356"/>
        <v>0</v>
      </c>
      <c r="L769" s="3" t="str">
        <f t="shared" si="361"/>
        <v>0</v>
      </c>
      <c r="M769" s="3">
        <f t="shared" si="357"/>
        <v>0</v>
      </c>
      <c r="N769" s="3">
        <f t="shared" si="358"/>
        <v>0</v>
      </c>
      <c r="O769" s="3">
        <f t="shared" si="359"/>
        <v>1652.1823999999999</v>
      </c>
      <c r="P769" s="3" t="str">
        <f t="shared" si="362"/>
        <v>0</v>
      </c>
      <c r="Q769" s="3">
        <f t="shared" si="363"/>
        <v>1643.921488</v>
      </c>
      <c r="R769" s="3" t="str">
        <f t="shared" si="364"/>
        <v>0</v>
      </c>
      <c r="S769" s="3">
        <f t="shared" si="365"/>
        <v>0</v>
      </c>
      <c r="T769" s="3" t="str">
        <f t="shared" si="366"/>
        <v>0</v>
      </c>
      <c r="U769" s="3"/>
      <c r="V769" s="3"/>
      <c r="W769" s="3"/>
      <c r="X769" s="3"/>
      <c r="Y769" s="3"/>
      <c r="Z769" s="3"/>
    </row>
    <row r="770" spans="1:26" x14ac:dyDescent="0.25">
      <c r="A770" s="2">
        <v>46077</v>
      </c>
      <c r="B770" s="2" t="s">
        <v>169</v>
      </c>
      <c r="C770" s="169" t="s">
        <v>233</v>
      </c>
      <c r="D770" s="4">
        <v>293.03295999999995</v>
      </c>
      <c r="E770" s="239">
        <v>0.88</v>
      </c>
      <c r="F770" s="239">
        <f t="shared" ref="F770:F772" si="370">+D770*E770</f>
        <v>257.86900479999997</v>
      </c>
      <c r="G770" s="4">
        <f t="shared" ref="G770:G772" si="371">+H770/D770</f>
        <v>0.36582915450876252</v>
      </c>
      <c r="H770" s="3">
        <v>107.2</v>
      </c>
      <c r="I770" s="3">
        <f t="shared" si="354"/>
        <v>293.03295999999995</v>
      </c>
      <c r="J770" s="3" t="str">
        <f t="shared" si="355"/>
        <v>0</v>
      </c>
      <c r="K770" s="3">
        <f t="shared" si="356"/>
        <v>257.86900479999997</v>
      </c>
      <c r="L770" s="3" t="str">
        <f t="shared" si="361"/>
        <v>0</v>
      </c>
      <c r="M770" s="3">
        <f t="shared" si="357"/>
        <v>112.56</v>
      </c>
      <c r="N770" s="3">
        <f t="shared" si="358"/>
        <v>0</v>
      </c>
      <c r="O770" s="3" t="str">
        <f t="shared" si="359"/>
        <v>0</v>
      </c>
      <c r="P770" s="3" t="str">
        <f t="shared" si="362"/>
        <v>0</v>
      </c>
      <c r="Q770" s="3" t="str">
        <f t="shared" si="363"/>
        <v>0</v>
      </c>
      <c r="R770" s="3" t="str">
        <f t="shared" si="364"/>
        <v>0</v>
      </c>
      <c r="S770" s="3">
        <f t="shared" si="365"/>
        <v>0</v>
      </c>
      <c r="T770" s="3" t="str">
        <f t="shared" si="366"/>
        <v>0</v>
      </c>
      <c r="U770" s="3"/>
      <c r="V770" s="3"/>
      <c r="W770" s="3"/>
      <c r="X770" s="3"/>
      <c r="Y770" s="3"/>
      <c r="Z770" s="3"/>
    </row>
    <row r="771" spans="1:26" x14ac:dyDescent="0.25">
      <c r="A771" s="2">
        <v>46077</v>
      </c>
      <c r="B771" s="2" t="s">
        <v>169</v>
      </c>
      <c r="C771" s="3" t="s">
        <v>230</v>
      </c>
      <c r="D771" s="4">
        <v>426.24207999999999</v>
      </c>
      <c r="E771" s="239">
        <v>0.88</v>
      </c>
      <c r="F771" s="239">
        <f t="shared" si="370"/>
        <v>375.09303039999998</v>
      </c>
      <c r="G771" s="4">
        <f t="shared" si="371"/>
        <v>25.199412502866913</v>
      </c>
      <c r="H771" s="3">
        <v>10741.05</v>
      </c>
      <c r="I771" s="3">
        <f t="shared" si="354"/>
        <v>426.24207999999999</v>
      </c>
      <c r="J771" s="3" t="str">
        <f t="shared" si="355"/>
        <v>0</v>
      </c>
      <c r="K771" s="3">
        <f t="shared" si="356"/>
        <v>375.09303039999998</v>
      </c>
      <c r="L771" s="3" t="str">
        <f t="shared" si="361"/>
        <v>0</v>
      </c>
      <c r="M771" s="3">
        <f t="shared" si="357"/>
        <v>11278.102499999999</v>
      </c>
      <c r="N771" s="3">
        <f t="shared" si="358"/>
        <v>0</v>
      </c>
      <c r="O771" s="3" t="str">
        <f t="shared" si="359"/>
        <v>0</v>
      </c>
      <c r="P771" s="3" t="str">
        <f t="shared" si="362"/>
        <v>0</v>
      </c>
      <c r="Q771" s="3" t="str">
        <f t="shared" si="363"/>
        <v>0</v>
      </c>
      <c r="R771" s="3" t="str">
        <f t="shared" si="364"/>
        <v>0</v>
      </c>
      <c r="S771" s="3">
        <f t="shared" si="365"/>
        <v>0</v>
      </c>
      <c r="T771" s="3" t="str">
        <f t="shared" si="366"/>
        <v>0</v>
      </c>
      <c r="U771" s="3"/>
      <c r="V771" s="3"/>
      <c r="W771" s="3"/>
      <c r="X771" s="3"/>
      <c r="Y771" s="3"/>
      <c r="Z771" s="3"/>
    </row>
    <row r="772" spans="1:26" x14ac:dyDescent="0.25">
      <c r="A772" s="2">
        <v>46078</v>
      </c>
      <c r="B772" s="2" t="s">
        <v>169</v>
      </c>
      <c r="C772" s="169" t="s">
        <v>240</v>
      </c>
      <c r="D772" s="4">
        <v>403.26688324999998</v>
      </c>
      <c r="E772" s="239">
        <v>0.88</v>
      </c>
      <c r="F772" s="239">
        <f t="shared" si="370"/>
        <v>354.87485726</v>
      </c>
      <c r="G772" s="4">
        <f t="shared" si="371"/>
        <v>7.5066912899052189</v>
      </c>
      <c r="H772" s="3">
        <v>3027.2</v>
      </c>
      <c r="I772" s="3">
        <f t="shared" si="354"/>
        <v>403.26688324999998</v>
      </c>
      <c r="J772" s="3" t="str">
        <f t="shared" si="355"/>
        <v>0</v>
      </c>
      <c r="K772" s="3">
        <f t="shared" si="356"/>
        <v>354.87485726</v>
      </c>
      <c r="L772" s="3" t="str">
        <f t="shared" si="361"/>
        <v>0</v>
      </c>
      <c r="M772" s="3">
        <f t="shared" si="357"/>
        <v>3178.56</v>
      </c>
      <c r="N772" s="3">
        <f t="shared" si="358"/>
        <v>0</v>
      </c>
      <c r="O772" s="3" t="str">
        <f t="shared" si="359"/>
        <v>0</v>
      </c>
      <c r="P772" s="3" t="str">
        <f t="shared" si="362"/>
        <v>0</v>
      </c>
      <c r="Q772" s="3" t="str">
        <f t="shared" si="363"/>
        <v>0</v>
      </c>
      <c r="R772" s="3" t="str">
        <f t="shared" si="364"/>
        <v>0</v>
      </c>
      <c r="S772" s="3">
        <f t="shared" si="365"/>
        <v>0</v>
      </c>
      <c r="T772" s="3" t="str">
        <f t="shared" si="366"/>
        <v>0</v>
      </c>
      <c r="U772" s="3"/>
      <c r="V772" s="3"/>
      <c r="W772" s="3"/>
      <c r="X772" s="3"/>
      <c r="Y772" s="3"/>
      <c r="Z772" s="3"/>
    </row>
    <row r="773" spans="1:26" x14ac:dyDescent="0.25">
      <c r="A773" s="2">
        <v>46078</v>
      </c>
      <c r="B773" s="2" t="s">
        <v>170</v>
      </c>
      <c r="C773" s="169" t="s">
        <v>233</v>
      </c>
      <c r="D773" s="4">
        <v>806.34003999999993</v>
      </c>
      <c r="E773" s="239">
        <v>0.995</v>
      </c>
      <c r="F773" s="239">
        <f t="shared" ref="F773:F774" si="372">D773*E773</f>
        <v>802.30833979999989</v>
      </c>
      <c r="G773" s="3"/>
      <c r="H773" s="3">
        <f t="shared" si="331"/>
        <v>0</v>
      </c>
      <c r="I773" s="3" t="str">
        <f t="shared" si="354"/>
        <v>0</v>
      </c>
      <c r="J773" s="3" t="str">
        <f t="shared" si="355"/>
        <v>0</v>
      </c>
      <c r="K773" s="3" t="str">
        <f t="shared" si="356"/>
        <v>0</v>
      </c>
      <c r="L773" s="3" t="str">
        <f t="shared" si="361"/>
        <v>0</v>
      </c>
      <c r="M773" s="3">
        <f t="shared" si="357"/>
        <v>0</v>
      </c>
      <c r="N773" s="3">
        <f t="shared" si="358"/>
        <v>0</v>
      </c>
      <c r="O773" s="3">
        <f t="shared" si="359"/>
        <v>806.34003999999993</v>
      </c>
      <c r="P773" s="3" t="str">
        <f t="shared" si="362"/>
        <v>0</v>
      </c>
      <c r="Q773" s="3">
        <f t="shared" si="363"/>
        <v>802.30833979999989</v>
      </c>
      <c r="R773" s="3" t="str">
        <f t="shared" si="364"/>
        <v>0</v>
      </c>
      <c r="S773" s="3">
        <f t="shared" si="365"/>
        <v>0</v>
      </c>
      <c r="T773" s="3" t="str">
        <f t="shared" si="366"/>
        <v>0</v>
      </c>
      <c r="U773" s="3"/>
      <c r="V773" s="3"/>
      <c r="W773" s="3"/>
      <c r="X773" s="3"/>
      <c r="Y773" s="3"/>
      <c r="Z773" s="3"/>
    </row>
    <row r="774" spans="1:26" x14ac:dyDescent="0.25">
      <c r="A774" s="2">
        <v>46078</v>
      </c>
      <c r="B774" s="2" t="s">
        <v>170</v>
      </c>
      <c r="C774" s="169" t="s">
        <v>228</v>
      </c>
      <c r="D774" s="4">
        <v>198.63861600000001</v>
      </c>
      <c r="E774" s="239">
        <v>0.995</v>
      </c>
      <c r="F774" s="239">
        <f t="shared" si="372"/>
        <v>197.64542292000002</v>
      </c>
      <c r="G774" s="3"/>
      <c r="H774" s="3">
        <f t="shared" si="331"/>
        <v>0</v>
      </c>
      <c r="I774" s="3" t="str">
        <f t="shared" si="354"/>
        <v>0</v>
      </c>
      <c r="J774" s="3" t="str">
        <f t="shared" si="355"/>
        <v>0</v>
      </c>
      <c r="K774" s="3" t="str">
        <f t="shared" si="356"/>
        <v>0</v>
      </c>
      <c r="L774" s="3" t="str">
        <f t="shared" si="361"/>
        <v>0</v>
      </c>
      <c r="M774" s="3">
        <f t="shared" si="357"/>
        <v>0</v>
      </c>
      <c r="N774" s="3">
        <f t="shared" si="358"/>
        <v>0</v>
      </c>
      <c r="O774" s="3">
        <f t="shared" si="359"/>
        <v>198.63861600000001</v>
      </c>
      <c r="P774" s="3" t="str">
        <f t="shared" si="362"/>
        <v>0</v>
      </c>
      <c r="Q774" s="3">
        <f t="shared" si="363"/>
        <v>197.64542292000002</v>
      </c>
      <c r="R774" s="3" t="str">
        <f t="shared" si="364"/>
        <v>0</v>
      </c>
      <c r="S774" s="3">
        <f t="shared" si="365"/>
        <v>0</v>
      </c>
      <c r="T774" s="3" t="str">
        <f t="shared" si="366"/>
        <v>0</v>
      </c>
      <c r="U774" s="3"/>
      <c r="V774" s="3"/>
      <c r="W774" s="3"/>
      <c r="X774" s="3"/>
      <c r="Y774" s="3"/>
      <c r="Z774" s="3"/>
    </row>
    <row r="775" spans="1:26" x14ac:dyDescent="0.25">
      <c r="A775" s="2">
        <v>46079</v>
      </c>
      <c r="B775" s="2" t="s">
        <v>169</v>
      </c>
      <c r="C775" s="169" t="s">
        <v>229</v>
      </c>
      <c r="D775" s="4">
        <v>218.72488000000001</v>
      </c>
      <c r="E775" s="239">
        <v>0.88</v>
      </c>
      <c r="F775" s="239">
        <f t="shared" ref="F775:F777" si="373">+D775*E775</f>
        <v>192.47789440000003</v>
      </c>
      <c r="G775" s="4">
        <f t="shared" ref="G775:G777" si="374">+H775/D775</f>
        <v>29.472184417245995</v>
      </c>
      <c r="H775" s="3">
        <v>6446.3</v>
      </c>
      <c r="I775" s="3">
        <f t="shared" si="354"/>
        <v>218.72488000000001</v>
      </c>
      <c r="J775" s="3" t="str">
        <f t="shared" si="355"/>
        <v>0</v>
      </c>
      <c r="K775" s="3">
        <f t="shared" si="356"/>
        <v>192.47789440000003</v>
      </c>
      <c r="L775" s="3" t="str">
        <f t="shared" si="361"/>
        <v>0</v>
      </c>
      <c r="M775" s="3">
        <f t="shared" si="357"/>
        <v>6768.6149999999998</v>
      </c>
      <c r="N775" s="3">
        <f t="shared" si="358"/>
        <v>0</v>
      </c>
      <c r="O775" s="3" t="str">
        <f t="shared" si="359"/>
        <v>0</v>
      </c>
      <c r="P775" s="3" t="str">
        <f t="shared" si="362"/>
        <v>0</v>
      </c>
      <c r="Q775" s="3" t="str">
        <f t="shared" si="363"/>
        <v>0</v>
      </c>
      <c r="R775" s="3" t="str">
        <f t="shared" si="364"/>
        <v>0</v>
      </c>
      <c r="S775" s="3">
        <f t="shared" si="365"/>
        <v>0</v>
      </c>
      <c r="T775" s="3" t="str">
        <f t="shared" si="366"/>
        <v>0</v>
      </c>
      <c r="U775" s="3"/>
      <c r="V775" s="3"/>
      <c r="W775" s="3"/>
      <c r="X775" s="3"/>
      <c r="Y775" s="3"/>
      <c r="Z775" s="3"/>
    </row>
    <row r="776" spans="1:26" x14ac:dyDescent="0.25">
      <c r="A776" s="2">
        <v>46079</v>
      </c>
      <c r="B776" s="2" t="s">
        <v>169</v>
      </c>
      <c r="C776" s="169" t="s">
        <v>246</v>
      </c>
      <c r="D776" s="4">
        <v>688.39671999999996</v>
      </c>
      <c r="E776" s="239">
        <v>0.88</v>
      </c>
      <c r="F776" s="239">
        <f t="shared" si="373"/>
        <v>605.78911359999995</v>
      </c>
      <c r="G776" s="4">
        <f t="shared" si="374"/>
        <v>1.9772900719224813</v>
      </c>
      <c r="H776" s="3">
        <v>1361.16</v>
      </c>
      <c r="I776" s="3">
        <f t="shared" si="354"/>
        <v>688.39671999999996</v>
      </c>
      <c r="J776" s="3" t="str">
        <f t="shared" si="355"/>
        <v>0</v>
      </c>
      <c r="K776" s="3">
        <f t="shared" si="356"/>
        <v>605.78911359999995</v>
      </c>
      <c r="L776" s="3" t="str">
        <f t="shared" si="361"/>
        <v>0</v>
      </c>
      <c r="M776" s="3">
        <f t="shared" si="357"/>
        <v>1429.2180000000001</v>
      </c>
      <c r="N776" s="3">
        <f t="shared" si="358"/>
        <v>0</v>
      </c>
      <c r="O776" s="3" t="str">
        <f t="shared" si="359"/>
        <v>0</v>
      </c>
      <c r="P776" s="3" t="str">
        <f t="shared" si="362"/>
        <v>0</v>
      </c>
      <c r="Q776" s="3" t="str">
        <f t="shared" si="363"/>
        <v>0</v>
      </c>
      <c r="R776" s="3" t="str">
        <f t="shared" si="364"/>
        <v>0</v>
      </c>
      <c r="S776" s="3">
        <f t="shared" si="365"/>
        <v>0</v>
      </c>
      <c r="T776" s="3" t="str">
        <f t="shared" si="366"/>
        <v>0</v>
      </c>
      <c r="U776" s="3"/>
      <c r="V776" s="3"/>
      <c r="W776" s="3"/>
      <c r="X776" s="3"/>
      <c r="Y776" s="3"/>
      <c r="Z776" s="3"/>
    </row>
    <row r="777" spans="1:26" x14ac:dyDescent="0.25">
      <c r="A777" s="2">
        <v>46079</v>
      </c>
      <c r="B777" s="2" t="s">
        <v>169</v>
      </c>
      <c r="C777" s="4" t="s">
        <v>227</v>
      </c>
      <c r="D777" s="4">
        <v>351.81608</v>
      </c>
      <c r="E777" s="239">
        <v>0.88</v>
      </c>
      <c r="F777" s="239">
        <f t="shared" si="373"/>
        <v>309.59815040000001</v>
      </c>
      <c r="G777" s="4">
        <f t="shared" si="374"/>
        <v>2.9029372392529642</v>
      </c>
      <c r="H777" s="3">
        <v>1021.3</v>
      </c>
      <c r="I777" s="3">
        <f t="shared" si="354"/>
        <v>351.81608</v>
      </c>
      <c r="J777" s="3" t="str">
        <f t="shared" si="355"/>
        <v>0</v>
      </c>
      <c r="K777" s="3">
        <f t="shared" si="356"/>
        <v>309.59815040000001</v>
      </c>
      <c r="L777" s="3" t="str">
        <f t="shared" si="361"/>
        <v>0</v>
      </c>
      <c r="M777" s="3">
        <f t="shared" si="357"/>
        <v>1072.365</v>
      </c>
      <c r="N777" s="3">
        <f t="shared" si="358"/>
        <v>0</v>
      </c>
      <c r="O777" s="3" t="str">
        <f t="shared" si="359"/>
        <v>0</v>
      </c>
      <c r="P777" s="3" t="str">
        <f t="shared" si="362"/>
        <v>0</v>
      </c>
      <c r="Q777" s="3" t="str">
        <f t="shared" si="363"/>
        <v>0</v>
      </c>
      <c r="R777" s="3" t="str">
        <f t="shared" si="364"/>
        <v>0</v>
      </c>
      <c r="S777" s="3">
        <f t="shared" si="365"/>
        <v>0</v>
      </c>
      <c r="T777" s="3" t="str">
        <f t="shared" si="366"/>
        <v>0</v>
      </c>
      <c r="U777" s="3"/>
      <c r="V777" s="3"/>
      <c r="W777" s="3"/>
      <c r="X777" s="3"/>
      <c r="Y777" s="3"/>
      <c r="Z777" s="3"/>
    </row>
    <row r="778" spans="1:26" x14ac:dyDescent="0.25">
      <c r="A778" s="2">
        <v>46079</v>
      </c>
      <c r="B778" s="2" t="s">
        <v>170</v>
      </c>
      <c r="C778" s="169" t="s">
        <v>229</v>
      </c>
      <c r="D778" s="4">
        <v>214.80219199999999</v>
      </c>
      <c r="E778" s="239">
        <v>0.995</v>
      </c>
      <c r="F778" s="239">
        <f t="shared" ref="F778:F782" si="375">D778*E778</f>
        <v>213.72818103999998</v>
      </c>
      <c r="G778" s="3"/>
      <c r="H778" s="3">
        <f t="shared" ref="H778:H791" si="376">D778*G778</f>
        <v>0</v>
      </c>
      <c r="I778" s="3" t="str">
        <f t="shared" si="354"/>
        <v>0</v>
      </c>
      <c r="J778" s="3" t="str">
        <f t="shared" si="355"/>
        <v>0</v>
      </c>
      <c r="K778" s="3" t="str">
        <f t="shared" si="356"/>
        <v>0</v>
      </c>
      <c r="L778" s="3" t="str">
        <f t="shared" si="361"/>
        <v>0</v>
      </c>
      <c r="M778" s="3">
        <f t="shared" si="357"/>
        <v>0</v>
      </c>
      <c r="N778" s="3">
        <f t="shared" si="358"/>
        <v>0</v>
      </c>
      <c r="O778" s="3">
        <f t="shared" si="359"/>
        <v>214.80219199999999</v>
      </c>
      <c r="P778" s="3" t="str">
        <f t="shared" si="362"/>
        <v>0</v>
      </c>
      <c r="Q778" s="3">
        <f t="shared" si="363"/>
        <v>213.72818103999998</v>
      </c>
      <c r="R778" s="3" t="str">
        <f t="shared" si="364"/>
        <v>0</v>
      </c>
      <c r="S778" s="3">
        <f t="shared" si="365"/>
        <v>0</v>
      </c>
      <c r="T778" s="3" t="str">
        <f t="shared" si="366"/>
        <v>0</v>
      </c>
      <c r="U778" s="3"/>
      <c r="V778" s="3"/>
      <c r="W778" s="3"/>
      <c r="X778" s="3"/>
      <c r="Y778" s="3"/>
      <c r="Z778" s="3"/>
    </row>
    <row r="779" spans="1:26" x14ac:dyDescent="0.25">
      <c r="A779" s="2">
        <v>46079</v>
      </c>
      <c r="B779" s="2" t="s">
        <v>170</v>
      </c>
      <c r="C779" s="3" t="s">
        <v>230</v>
      </c>
      <c r="D779" s="4">
        <v>198.35150874999999</v>
      </c>
      <c r="E779" s="239">
        <v>0.995</v>
      </c>
      <c r="F779" s="239">
        <f t="shared" si="375"/>
        <v>197.35975120625</v>
      </c>
      <c r="G779" s="3"/>
      <c r="H779" s="3">
        <f t="shared" si="376"/>
        <v>0</v>
      </c>
      <c r="I779" s="3" t="str">
        <f t="shared" si="354"/>
        <v>0</v>
      </c>
      <c r="J779" s="3" t="str">
        <f t="shared" si="355"/>
        <v>0</v>
      </c>
      <c r="K779" s="3" t="str">
        <f t="shared" si="356"/>
        <v>0</v>
      </c>
      <c r="L779" s="3" t="str">
        <f t="shared" si="361"/>
        <v>0</v>
      </c>
      <c r="M779" s="3">
        <f t="shared" si="357"/>
        <v>0</v>
      </c>
      <c r="N779" s="3">
        <f t="shared" si="358"/>
        <v>0</v>
      </c>
      <c r="O779" s="3">
        <f t="shared" si="359"/>
        <v>198.35150874999999</v>
      </c>
      <c r="P779" s="3" t="str">
        <f t="shared" si="362"/>
        <v>0</v>
      </c>
      <c r="Q779" s="3">
        <f t="shared" si="363"/>
        <v>197.35975120625</v>
      </c>
      <c r="R779" s="3" t="str">
        <f t="shared" si="364"/>
        <v>0</v>
      </c>
      <c r="S779" s="3">
        <f t="shared" si="365"/>
        <v>0</v>
      </c>
      <c r="T779" s="3" t="str">
        <f t="shared" si="366"/>
        <v>0</v>
      </c>
      <c r="U779" s="3"/>
      <c r="V779" s="3"/>
      <c r="W779" s="3"/>
      <c r="X779" s="3"/>
      <c r="Y779" s="3"/>
      <c r="Z779" s="3"/>
    </row>
    <row r="780" spans="1:26" x14ac:dyDescent="0.25">
      <c r="A780" s="2">
        <v>46079</v>
      </c>
      <c r="B780" s="2" t="s">
        <v>170</v>
      </c>
      <c r="C780" s="169" t="s">
        <v>237</v>
      </c>
      <c r="D780" s="4">
        <v>237.34859349999999</v>
      </c>
      <c r="E780" s="239">
        <v>0.995</v>
      </c>
      <c r="F780" s="239">
        <f t="shared" si="375"/>
        <v>236.16185053249998</v>
      </c>
      <c r="G780" s="3"/>
      <c r="H780" s="3">
        <f t="shared" si="376"/>
        <v>0</v>
      </c>
      <c r="I780" s="3" t="str">
        <f t="shared" si="354"/>
        <v>0</v>
      </c>
      <c r="J780" s="3" t="str">
        <f t="shared" si="355"/>
        <v>0</v>
      </c>
      <c r="K780" s="3" t="str">
        <f t="shared" si="356"/>
        <v>0</v>
      </c>
      <c r="L780" s="3" t="str">
        <f t="shared" si="361"/>
        <v>0</v>
      </c>
      <c r="M780" s="3">
        <f t="shared" si="357"/>
        <v>0</v>
      </c>
      <c r="N780" s="3">
        <f t="shared" si="358"/>
        <v>0</v>
      </c>
      <c r="O780" s="3">
        <f t="shared" si="359"/>
        <v>237.34859349999999</v>
      </c>
      <c r="P780" s="3" t="str">
        <f t="shared" si="362"/>
        <v>0</v>
      </c>
      <c r="Q780" s="3">
        <f t="shared" si="363"/>
        <v>236.16185053249998</v>
      </c>
      <c r="R780" s="3" t="str">
        <f t="shared" si="364"/>
        <v>0</v>
      </c>
      <c r="S780" s="3">
        <f t="shared" si="365"/>
        <v>0</v>
      </c>
      <c r="T780" s="3" t="str">
        <f t="shared" si="366"/>
        <v>0</v>
      </c>
      <c r="U780" s="3"/>
      <c r="V780" s="3"/>
      <c r="W780" s="3"/>
      <c r="X780" s="3"/>
      <c r="Y780" s="3"/>
      <c r="Z780" s="3"/>
    </row>
    <row r="781" spans="1:26" x14ac:dyDescent="0.25">
      <c r="A781" s="2">
        <v>46079</v>
      </c>
      <c r="B781" s="2" t="s">
        <v>170</v>
      </c>
      <c r="C781" s="169" t="s">
        <v>246</v>
      </c>
      <c r="D781" s="4">
        <v>329.73952000000003</v>
      </c>
      <c r="E781" s="239">
        <v>0.995</v>
      </c>
      <c r="F781" s="239">
        <f t="shared" si="375"/>
        <v>328.09082240000004</v>
      </c>
      <c r="G781" s="3"/>
      <c r="H781" s="3">
        <f t="shared" si="376"/>
        <v>0</v>
      </c>
      <c r="I781" s="3" t="str">
        <f t="shared" si="354"/>
        <v>0</v>
      </c>
      <c r="J781" s="3" t="str">
        <f t="shared" si="355"/>
        <v>0</v>
      </c>
      <c r="K781" s="3" t="str">
        <f t="shared" si="356"/>
        <v>0</v>
      </c>
      <c r="L781" s="3" t="str">
        <f t="shared" si="361"/>
        <v>0</v>
      </c>
      <c r="M781" s="3">
        <f t="shared" si="357"/>
        <v>0</v>
      </c>
      <c r="N781" s="3">
        <f t="shared" si="358"/>
        <v>0</v>
      </c>
      <c r="O781" s="3">
        <f t="shared" si="359"/>
        <v>329.73952000000003</v>
      </c>
      <c r="P781" s="3" t="str">
        <f t="shared" si="362"/>
        <v>0</v>
      </c>
      <c r="Q781" s="3">
        <f t="shared" si="363"/>
        <v>328.09082240000004</v>
      </c>
      <c r="R781" s="3" t="str">
        <f t="shared" si="364"/>
        <v>0</v>
      </c>
      <c r="S781" s="3">
        <f t="shared" si="365"/>
        <v>0</v>
      </c>
      <c r="T781" s="3" t="str">
        <f t="shared" si="366"/>
        <v>0</v>
      </c>
      <c r="U781" s="3"/>
      <c r="V781" s="3"/>
      <c r="W781" s="3"/>
      <c r="X781" s="3"/>
      <c r="Y781" s="3"/>
      <c r="Z781" s="3"/>
    </row>
    <row r="782" spans="1:26" x14ac:dyDescent="0.25">
      <c r="A782" s="2">
        <v>46079</v>
      </c>
      <c r="B782" s="2" t="s">
        <v>170</v>
      </c>
      <c r="C782" s="4" t="s">
        <v>227</v>
      </c>
      <c r="D782" s="4">
        <v>510.48448000000002</v>
      </c>
      <c r="E782" s="239">
        <v>0.995</v>
      </c>
      <c r="F782" s="239">
        <f t="shared" si="375"/>
        <v>507.93205760000001</v>
      </c>
      <c r="G782" s="3"/>
      <c r="H782" s="3">
        <f t="shared" si="376"/>
        <v>0</v>
      </c>
      <c r="I782" s="3" t="str">
        <f t="shared" si="354"/>
        <v>0</v>
      </c>
      <c r="J782" s="3" t="str">
        <f t="shared" si="355"/>
        <v>0</v>
      </c>
      <c r="K782" s="3" t="str">
        <f t="shared" si="356"/>
        <v>0</v>
      </c>
      <c r="L782" s="3" t="str">
        <f t="shared" si="361"/>
        <v>0</v>
      </c>
      <c r="M782" s="3">
        <f t="shared" si="357"/>
        <v>0</v>
      </c>
      <c r="N782" s="3">
        <f t="shared" si="358"/>
        <v>0</v>
      </c>
      <c r="O782" s="3">
        <f t="shared" si="359"/>
        <v>510.48448000000002</v>
      </c>
      <c r="P782" s="3" t="str">
        <f t="shared" si="362"/>
        <v>0</v>
      </c>
      <c r="Q782" s="3">
        <f t="shared" si="363"/>
        <v>507.93205760000001</v>
      </c>
      <c r="R782" s="3" t="str">
        <f t="shared" si="364"/>
        <v>0</v>
      </c>
      <c r="S782" s="3">
        <f t="shared" si="365"/>
        <v>0</v>
      </c>
      <c r="T782" s="3" t="str">
        <f t="shared" si="366"/>
        <v>0</v>
      </c>
      <c r="U782" s="3"/>
      <c r="V782" s="3"/>
      <c r="W782" s="3"/>
      <c r="X782" s="3"/>
      <c r="Y782" s="3"/>
      <c r="Z782" s="3"/>
    </row>
    <row r="783" spans="1:26" x14ac:dyDescent="0.25">
      <c r="A783" s="2">
        <v>46080</v>
      </c>
      <c r="B783" s="2" t="s">
        <v>169</v>
      </c>
      <c r="C783" s="169" t="s">
        <v>233</v>
      </c>
      <c r="D783" s="4">
        <v>197.35975120625</v>
      </c>
      <c r="E783" s="239">
        <v>0.88</v>
      </c>
      <c r="F783" s="239">
        <f t="shared" ref="F783:F784" si="377">+D783*E783</f>
        <v>173.6765810615</v>
      </c>
      <c r="G783" s="4">
        <f t="shared" ref="G783:G784" si="378">+H783/D783</f>
        <v>8.3664475147945456</v>
      </c>
      <c r="H783" s="3">
        <v>1651.2</v>
      </c>
      <c r="I783" s="3">
        <f t="shared" si="354"/>
        <v>197.35975120625</v>
      </c>
      <c r="J783" s="3" t="str">
        <f t="shared" si="355"/>
        <v>0</v>
      </c>
      <c r="K783" s="3">
        <f t="shared" si="356"/>
        <v>173.6765810615</v>
      </c>
      <c r="L783" s="3" t="str">
        <f t="shared" si="361"/>
        <v>0</v>
      </c>
      <c r="M783" s="3">
        <f t="shared" si="357"/>
        <v>1733.76</v>
      </c>
      <c r="N783" s="3">
        <f t="shared" si="358"/>
        <v>0</v>
      </c>
      <c r="O783" s="3" t="str">
        <f t="shared" si="359"/>
        <v>0</v>
      </c>
      <c r="P783" s="3" t="str">
        <f t="shared" si="362"/>
        <v>0</v>
      </c>
      <c r="Q783" s="3" t="str">
        <f t="shared" si="363"/>
        <v>0</v>
      </c>
      <c r="R783" s="3" t="str">
        <f t="shared" si="364"/>
        <v>0</v>
      </c>
      <c r="S783" s="3">
        <f t="shared" si="365"/>
        <v>0</v>
      </c>
      <c r="T783" s="3" t="str">
        <f t="shared" si="366"/>
        <v>0</v>
      </c>
      <c r="U783" s="3"/>
      <c r="V783" s="3"/>
      <c r="W783" s="3"/>
      <c r="X783" s="3"/>
      <c r="Y783" s="3"/>
      <c r="Z783" s="3"/>
    </row>
    <row r="784" spans="1:26" x14ac:dyDescent="0.25">
      <c r="A784" s="2">
        <v>46080</v>
      </c>
      <c r="B784" s="2" t="s">
        <v>169</v>
      </c>
      <c r="C784" s="3" t="s">
        <v>230</v>
      </c>
      <c r="D784" s="4">
        <v>236.16185053249998</v>
      </c>
      <c r="E784" s="239">
        <v>0.88</v>
      </c>
      <c r="F784" s="239">
        <f t="shared" si="377"/>
        <v>207.82242846859998</v>
      </c>
      <c r="G784" s="4">
        <f t="shared" si="378"/>
        <v>17.748844661187828</v>
      </c>
      <c r="H784" s="3">
        <v>4191.6000000000004</v>
      </c>
      <c r="I784" s="3">
        <f t="shared" si="354"/>
        <v>236.16185053249998</v>
      </c>
      <c r="J784" s="3" t="str">
        <f t="shared" si="355"/>
        <v>0</v>
      </c>
      <c r="K784" s="3">
        <f t="shared" si="356"/>
        <v>207.82242846859998</v>
      </c>
      <c r="L784" s="3" t="str">
        <f t="shared" si="361"/>
        <v>0</v>
      </c>
      <c r="M784" s="3">
        <f t="shared" si="357"/>
        <v>4401.18</v>
      </c>
      <c r="N784" s="3">
        <f t="shared" si="358"/>
        <v>0</v>
      </c>
      <c r="O784" s="3" t="str">
        <f t="shared" si="359"/>
        <v>0</v>
      </c>
      <c r="P784" s="3" t="str">
        <f t="shared" si="362"/>
        <v>0</v>
      </c>
      <c r="Q784" s="3" t="str">
        <f t="shared" si="363"/>
        <v>0</v>
      </c>
      <c r="R784" s="3" t="str">
        <f t="shared" si="364"/>
        <v>0</v>
      </c>
      <c r="S784" s="3">
        <f t="shared" si="365"/>
        <v>0</v>
      </c>
      <c r="T784" s="3" t="str">
        <f t="shared" si="366"/>
        <v>0</v>
      </c>
      <c r="U784" s="3"/>
      <c r="V784" s="3"/>
      <c r="W784" s="3"/>
      <c r="X784" s="3"/>
      <c r="Y784" s="3"/>
      <c r="Z784" s="3"/>
    </row>
    <row r="785" spans="1:26" x14ac:dyDescent="0.25">
      <c r="A785" s="2">
        <v>46080</v>
      </c>
      <c r="B785" s="2" t="s">
        <v>170</v>
      </c>
      <c r="C785" s="169" t="s">
        <v>240</v>
      </c>
      <c r="D785" s="4">
        <v>328.09082240000004</v>
      </c>
      <c r="E785" s="239">
        <v>0.995</v>
      </c>
      <c r="F785" s="239">
        <f t="shared" ref="F785:F788" si="379">D785*E785</f>
        <v>326.45036828800005</v>
      </c>
      <c r="G785" s="4"/>
      <c r="H785" s="3">
        <f t="shared" si="376"/>
        <v>0</v>
      </c>
      <c r="I785" s="3" t="str">
        <f t="shared" si="354"/>
        <v>0</v>
      </c>
      <c r="J785" s="3" t="str">
        <f t="shared" si="355"/>
        <v>0</v>
      </c>
      <c r="K785" s="3" t="str">
        <f t="shared" si="356"/>
        <v>0</v>
      </c>
      <c r="L785" s="3" t="str">
        <f t="shared" si="361"/>
        <v>0</v>
      </c>
      <c r="M785" s="3">
        <f t="shared" si="357"/>
        <v>0</v>
      </c>
      <c r="N785" s="3">
        <f t="shared" si="358"/>
        <v>0</v>
      </c>
      <c r="O785" s="3">
        <f t="shared" si="359"/>
        <v>328.09082240000004</v>
      </c>
      <c r="P785" s="3" t="str">
        <f t="shared" si="362"/>
        <v>0</v>
      </c>
      <c r="Q785" s="3">
        <f t="shared" si="363"/>
        <v>326.45036828800005</v>
      </c>
      <c r="R785" s="3" t="str">
        <f t="shared" si="364"/>
        <v>0</v>
      </c>
      <c r="S785" s="3">
        <f t="shared" si="365"/>
        <v>0</v>
      </c>
      <c r="T785" s="3" t="str">
        <f t="shared" si="366"/>
        <v>0</v>
      </c>
      <c r="U785" s="3"/>
      <c r="V785" s="3"/>
      <c r="W785" s="3"/>
      <c r="X785" s="3"/>
      <c r="Y785" s="3"/>
      <c r="Z785" s="3"/>
    </row>
    <row r="786" spans="1:26" x14ac:dyDescent="0.25">
      <c r="A786" s="2">
        <v>46080</v>
      </c>
      <c r="B786" s="2" t="s">
        <v>170</v>
      </c>
      <c r="C786" s="3" t="s">
        <v>235</v>
      </c>
      <c r="D786" s="4">
        <v>507.93205760000001</v>
      </c>
      <c r="E786" s="239">
        <v>0.995</v>
      </c>
      <c r="F786" s="239">
        <f t="shared" si="379"/>
        <v>505.39239731200001</v>
      </c>
      <c r="G786" s="3"/>
      <c r="H786" s="3">
        <f t="shared" si="376"/>
        <v>0</v>
      </c>
      <c r="I786" s="3" t="str">
        <f t="shared" si="354"/>
        <v>0</v>
      </c>
      <c r="J786" s="3" t="str">
        <f t="shared" si="355"/>
        <v>0</v>
      </c>
      <c r="K786" s="3" t="str">
        <f t="shared" si="356"/>
        <v>0</v>
      </c>
      <c r="L786" s="3" t="str">
        <f t="shared" si="361"/>
        <v>0</v>
      </c>
      <c r="M786" s="3">
        <f t="shared" si="357"/>
        <v>0</v>
      </c>
      <c r="N786" s="3">
        <f t="shared" si="358"/>
        <v>0</v>
      </c>
      <c r="O786" s="3">
        <f t="shared" si="359"/>
        <v>507.93205760000001</v>
      </c>
      <c r="P786" s="3" t="str">
        <f t="shared" si="362"/>
        <v>0</v>
      </c>
      <c r="Q786" s="3">
        <f t="shared" si="363"/>
        <v>505.39239731200001</v>
      </c>
      <c r="R786" s="3" t="str">
        <f t="shared" si="364"/>
        <v>0</v>
      </c>
      <c r="S786" s="3">
        <f t="shared" si="365"/>
        <v>0</v>
      </c>
      <c r="T786" s="3" t="str">
        <f t="shared" si="366"/>
        <v>0</v>
      </c>
      <c r="U786" s="3"/>
      <c r="V786" s="3"/>
      <c r="W786" s="3"/>
      <c r="X786" s="3"/>
      <c r="Y786" s="3"/>
      <c r="Z786" s="3"/>
    </row>
    <row r="787" spans="1:26" x14ac:dyDescent="0.25">
      <c r="A787" s="2">
        <v>46080</v>
      </c>
      <c r="B787" s="2" t="s">
        <v>170</v>
      </c>
      <c r="C787" s="169" t="s">
        <v>234</v>
      </c>
      <c r="D787" s="4">
        <v>257.86490048000002</v>
      </c>
      <c r="E787" s="239">
        <v>0.995</v>
      </c>
      <c r="F787" s="239">
        <f t="shared" si="379"/>
        <v>256.57557597760001</v>
      </c>
      <c r="G787" s="3"/>
      <c r="H787" s="3">
        <f t="shared" si="376"/>
        <v>0</v>
      </c>
      <c r="I787" s="3" t="str">
        <f t="shared" si="354"/>
        <v>0</v>
      </c>
      <c r="J787" s="3" t="str">
        <f t="shared" si="355"/>
        <v>0</v>
      </c>
      <c r="K787" s="3" t="str">
        <f t="shared" si="356"/>
        <v>0</v>
      </c>
      <c r="L787" s="3" t="str">
        <f t="shared" si="361"/>
        <v>0</v>
      </c>
      <c r="M787" s="3">
        <f t="shared" si="357"/>
        <v>0</v>
      </c>
      <c r="N787" s="3">
        <f t="shared" si="358"/>
        <v>0</v>
      </c>
      <c r="O787" s="3">
        <f t="shared" si="359"/>
        <v>257.86490048000002</v>
      </c>
      <c r="P787" s="3" t="str">
        <f t="shared" si="362"/>
        <v>0</v>
      </c>
      <c r="Q787" s="3">
        <f t="shared" si="363"/>
        <v>256.57557597760001</v>
      </c>
      <c r="R787" s="3" t="str">
        <f t="shared" si="364"/>
        <v>0</v>
      </c>
      <c r="S787" s="3">
        <f t="shared" si="365"/>
        <v>0</v>
      </c>
      <c r="T787" s="3" t="str">
        <f t="shared" si="366"/>
        <v>0</v>
      </c>
      <c r="U787" s="3"/>
      <c r="V787" s="3"/>
      <c r="W787" s="3"/>
      <c r="X787" s="3"/>
      <c r="Y787" s="3"/>
      <c r="Z787" s="3"/>
    </row>
    <row r="788" spans="1:26" x14ac:dyDescent="0.25">
      <c r="A788" s="2">
        <v>46080</v>
      </c>
      <c r="B788" s="2" t="s">
        <v>170</v>
      </c>
      <c r="C788" s="169" t="s">
        <v>233</v>
      </c>
      <c r="D788" s="4">
        <v>367.05454082</v>
      </c>
      <c r="E788" s="239">
        <v>0.995</v>
      </c>
      <c r="F788" s="239">
        <f t="shared" si="379"/>
        <v>365.21926811589998</v>
      </c>
      <c r="G788" s="3"/>
      <c r="H788" s="3">
        <f t="shared" si="376"/>
        <v>0</v>
      </c>
      <c r="I788" s="3" t="str">
        <f t="shared" si="354"/>
        <v>0</v>
      </c>
      <c r="J788" s="3" t="str">
        <f t="shared" si="355"/>
        <v>0</v>
      </c>
      <c r="K788" s="3" t="str">
        <f t="shared" si="356"/>
        <v>0</v>
      </c>
      <c r="L788" s="3" t="str">
        <f t="shared" si="361"/>
        <v>0</v>
      </c>
      <c r="M788" s="3">
        <f t="shared" si="357"/>
        <v>0</v>
      </c>
      <c r="N788" s="3">
        <f t="shared" si="358"/>
        <v>0</v>
      </c>
      <c r="O788" s="3">
        <f t="shared" si="359"/>
        <v>367.05454082</v>
      </c>
      <c r="P788" s="3" t="str">
        <f t="shared" si="362"/>
        <v>0</v>
      </c>
      <c r="Q788" s="3">
        <f t="shared" si="363"/>
        <v>365.21926811589998</v>
      </c>
      <c r="R788" s="3" t="str">
        <f t="shared" si="364"/>
        <v>0</v>
      </c>
      <c r="S788" s="3">
        <f t="shared" si="365"/>
        <v>0</v>
      </c>
      <c r="T788" s="3" t="str">
        <f t="shared" si="366"/>
        <v>0</v>
      </c>
      <c r="U788" s="3"/>
      <c r="V788" s="3"/>
      <c r="W788" s="3"/>
      <c r="X788" s="3"/>
      <c r="Y788" s="3"/>
      <c r="Z788" s="3"/>
    </row>
    <row r="789" spans="1:26" x14ac:dyDescent="0.25">
      <c r="A789" s="2">
        <v>46081</v>
      </c>
      <c r="B789" s="2" t="s">
        <v>169</v>
      </c>
      <c r="C789" s="169" t="s">
        <v>240</v>
      </c>
      <c r="D789" s="4">
        <v>256.57557597760001</v>
      </c>
      <c r="E789" s="239">
        <v>0.88</v>
      </c>
      <c r="F789" s="239">
        <f t="shared" ref="F789:F790" si="380">+D789*E789</f>
        <v>225.786506860288</v>
      </c>
      <c r="G789" s="4">
        <f t="shared" ref="G789:G790" si="381">+H789/D789</f>
        <v>24.388915336767329</v>
      </c>
      <c r="H789" s="3">
        <v>6257.6</v>
      </c>
      <c r="I789" s="3">
        <f t="shared" si="354"/>
        <v>256.57557597760001</v>
      </c>
      <c r="J789" s="3" t="str">
        <f t="shared" si="355"/>
        <v>0</v>
      </c>
      <c r="K789" s="3">
        <f t="shared" si="356"/>
        <v>225.786506860288</v>
      </c>
      <c r="L789" s="3" t="str">
        <f t="shared" si="361"/>
        <v>0</v>
      </c>
      <c r="M789" s="3">
        <f t="shared" si="357"/>
        <v>6570.4800000000005</v>
      </c>
      <c r="N789" s="3">
        <f t="shared" si="358"/>
        <v>0</v>
      </c>
      <c r="O789" s="3" t="str">
        <f t="shared" si="359"/>
        <v>0</v>
      </c>
      <c r="P789" s="3" t="str">
        <f t="shared" si="362"/>
        <v>0</v>
      </c>
      <c r="Q789" s="3" t="str">
        <f t="shared" si="363"/>
        <v>0</v>
      </c>
      <c r="R789" s="3" t="str">
        <f t="shared" si="364"/>
        <v>0</v>
      </c>
      <c r="S789" s="3">
        <f t="shared" si="365"/>
        <v>0</v>
      </c>
      <c r="T789" s="3" t="str">
        <f t="shared" si="366"/>
        <v>0</v>
      </c>
      <c r="U789" s="3"/>
      <c r="V789" s="3"/>
      <c r="W789" s="3"/>
      <c r="X789" s="3"/>
      <c r="Y789" s="3"/>
      <c r="Z789" s="3"/>
    </row>
    <row r="790" spans="1:26" x14ac:dyDescent="0.25">
      <c r="A790" s="2">
        <v>46081</v>
      </c>
      <c r="B790" s="2" t="s">
        <v>169</v>
      </c>
      <c r="C790" s="169" t="s">
        <v>233</v>
      </c>
      <c r="D790" s="4">
        <v>365.21926811589998</v>
      </c>
      <c r="E790" s="239">
        <v>0.88</v>
      </c>
      <c r="F790" s="239">
        <f t="shared" si="380"/>
        <v>321.392955941992</v>
      </c>
      <c r="G790" s="4">
        <f t="shared" si="381"/>
        <v>19.462280937883929</v>
      </c>
      <c r="H790" s="3">
        <v>7108</v>
      </c>
      <c r="I790" s="3">
        <f t="shared" si="354"/>
        <v>365.21926811589998</v>
      </c>
      <c r="J790" s="3" t="str">
        <f t="shared" si="355"/>
        <v>0</v>
      </c>
      <c r="K790" s="3">
        <f t="shared" si="356"/>
        <v>321.392955941992</v>
      </c>
      <c r="L790" s="3" t="str">
        <f t="shared" si="361"/>
        <v>0</v>
      </c>
      <c r="M790" s="3">
        <f t="shared" si="357"/>
        <v>7463.4</v>
      </c>
      <c r="N790" s="3">
        <f t="shared" si="358"/>
        <v>0</v>
      </c>
      <c r="O790" s="3" t="str">
        <f t="shared" si="359"/>
        <v>0</v>
      </c>
      <c r="P790" s="3" t="str">
        <f t="shared" si="362"/>
        <v>0</v>
      </c>
      <c r="Q790" s="3" t="str">
        <f t="shared" si="363"/>
        <v>0</v>
      </c>
      <c r="R790" s="3" t="str">
        <f t="shared" si="364"/>
        <v>0</v>
      </c>
      <c r="S790" s="3">
        <f t="shared" si="365"/>
        <v>0</v>
      </c>
      <c r="T790" s="3" t="str">
        <f t="shared" si="366"/>
        <v>0</v>
      </c>
      <c r="U790" s="3"/>
      <c r="V790" s="3"/>
      <c r="W790" s="3"/>
      <c r="X790" s="3"/>
      <c r="Y790" s="3"/>
      <c r="Z790" s="3"/>
    </row>
    <row r="791" spans="1:26" x14ac:dyDescent="0.25">
      <c r="A791" s="2">
        <v>46081</v>
      </c>
      <c r="B791" s="2" t="s">
        <v>170</v>
      </c>
      <c r="C791" s="169" t="s">
        <v>240</v>
      </c>
      <c r="D791" s="4">
        <v>688.33600000000001</v>
      </c>
      <c r="E791" s="239">
        <v>0.995</v>
      </c>
      <c r="F791" s="239">
        <f t="shared" ref="F791" si="382">D791*E791</f>
        <v>684.89431999999999</v>
      </c>
      <c r="G791" s="4"/>
      <c r="H791" s="3">
        <f t="shared" si="376"/>
        <v>0</v>
      </c>
      <c r="I791" s="3" t="str">
        <f t="shared" si="354"/>
        <v>0</v>
      </c>
      <c r="J791" s="3" t="str">
        <f t="shared" si="355"/>
        <v>0</v>
      </c>
      <c r="K791" s="3" t="str">
        <f t="shared" si="356"/>
        <v>0</v>
      </c>
      <c r="L791" s="3" t="str">
        <f t="shared" si="361"/>
        <v>0</v>
      </c>
      <c r="M791" s="3">
        <f t="shared" si="357"/>
        <v>0</v>
      </c>
      <c r="N791" s="3">
        <f t="shared" si="358"/>
        <v>0</v>
      </c>
      <c r="O791" s="3">
        <f t="shared" si="359"/>
        <v>688.33600000000001</v>
      </c>
      <c r="P791" s="3" t="str">
        <f t="shared" si="362"/>
        <v>0</v>
      </c>
      <c r="Q791" s="3">
        <f t="shared" si="363"/>
        <v>684.89431999999999</v>
      </c>
      <c r="R791" s="3" t="str">
        <f t="shared" si="364"/>
        <v>0</v>
      </c>
      <c r="S791" s="3">
        <f t="shared" si="365"/>
        <v>0</v>
      </c>
      <c r="T791" s="3" t="str">
        <f t="shared" si="366"/>
        <v>0</v>
      </c>
      <c r="U791" s="3"/>
      <c r="V791" s="3"/>
      <c r="W791" s="3"/>
      <c r="X791" s="3"/>
      <c r="Y791" s="3"/>
      <c r="Z791" s="3"/>
    </row>
  </sheetData>
  <autoFilter ref="A1:Z791" xr:uid="{D0D3F571-932F-4757-A081-3BC0A5691B93}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73BA3-9EAE-415B-851D-EB2EA6134299}">
  <sheetPr codeName="Sheet2"/>
  <dimension ref="A1:Z340"/>
  <sheetViews>
    <sheetView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1" width="10.42578125" bestFit="1" customWidth="1"/>
    <col min="2" max="2" width="15.42578125" bestFit="1" customWidth="1"/>
    <col min="3" max="3" width="24.5703125" bestFit="1" customWidth="1"/>
    <col min="4" max="4" width="10.28515625" bestFit="1" customWidth="1"/>
    <col min="5" max="5" width="7.5703125" bestFit="1" customWidth="1"/>
    <col min="7" max="7" width="8.5703125" bestFit="1" customWidth="1"/>
    <col min="8" max="8" width="11.28515625" bestFit="1" customWidth="1"/>
    <col min="9" max="9" width="12" bestFit="1" customWidth="1"/>
    <col min="10" max="10" width="14.42578125" bestFit="1" customWidth="1"/>
    <col min="11" max="11" width="16.7109375" bestFit="1" customWidth="1"/>
    <col min="12" max="12" width="19.140625" bestFit="1" customWidth="1"/>
    <col min="13" max="13" width="13.140625" bestFit="1" customWidth="1"/>
    <col min="14" max="14" width="15" bestFit="1" customWidth="1"/>
    <col min="15" max="15" width="16.140625" bestFit="1" customWidth="1"/>
    <col min="16" max="16" width="14.28515625" bestFit="1" customWidth="1"/>
    <col min="17" max="17" width="20.85546875" bestFit="1" customWidth="1"/>
    <col min="18" max="18" width="19.42578125" bestFit="1" customWidth="1"/>
    <col min="19" max="19" width="13.140625" bestFit="1" customWidth="1"/>
    <col min="20" max="20" width="15.7109375" bestFit="1" customWidth="1"/>
    <col min="21" max="21" width="19.85546875" bestFit="1" customWidth="1"/>
    <col min="22" max="22" width="19" bestFit="1" customWidth="1"/>
    <col min="23" max="23" width="20.140625" bestFit="1" customWidth="1"/>
    <col min="24" max="24" width="18.140625" bestFit="1" customWidth="1"/>
    <col min="25" max="25" width="26.28515625" bestFit="1" customWidth="1"/>
    <col min="26" max="26" width="23.42578125" bestFit="1" customWidth="1"/>
    <col min="28" max="28" width="24.5703125" bestFit="1" customWidth="1"/>
  </cols>
  <sheetData>
    <row r="1" spans="1:2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8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26</v>
      </c>
      <c r="N1" s="1" t="s">
        <v>27</v>
      </c>
      <c r="O1" s="1" t="s">
        <v>14</v>
      </c>
      <c r="P1" s="1" t="s">
        <v>15</v>
      </c>
      <c r="Q1" s="1" t="s">
        <v>28</v>
      </c>
      <c r="R1" s="1" t="s">
        <v>17</v>
      </c>
      <c r="S1" s="1" t="s">
        <v>29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</row>
    <row r="2" spans="1:26" x14ac:dyDescent="0.25">
      <c r="A2" s="175">
        <v>46174</v>
      </c>
      <c r="B2" s="3" t="s">
        <v>169</v>
      </c>
      <c r="C2" s="169" t="s">
        <v>255</v>
      </c>
      <c r="D2" s="170">
        <v>442.11199999999997</v>
      </c>
      <c r="E2" s="171">
        <v>0.88</v>
      </c>
      <c r="F2" s="172">
        <f t="shared" ref="F2:F15" si="0">+D2*E2</f>
        <v>389.05856</v>
      </c>
      <c r="G2" s="172">
        <f>+H2/D2</f>
        <v>7.6035031847133769</v>
      </c>
      <c r="H2" s="176">
        <f>212.4*9+290*5</f>
        <v>3361.6000000000004</v>
      </c>
      <c r="I2" s="3">
        <f t="shared" ref="I2:I65" si="1">IF(B2="SALES",D2,"0")</f>
        <v>442.11199999999997</v>
      </c>
      <c r="J2" s="3" t="str">
        <f t="shared" ref="J2:J65" si="2">IF(B2="SALES RETURN",D2,"0")</f>
        <v>0</v>
      </c>
      <c r="K2" s="3">
        <f t="shared" ref="K2:K65" si="3">IF(B2="SALES",F2,"0")</f>
        <v>389.05856</v>
      </c>
      <c r="L2" s="3" t="str">
        <f t="shared" ref="L2:L65" si="4">IF(B2="SALES RETURN",F2,"0")</f>
        <v>0</v>
      </c>
      <c r="M2" s="3">
        <f t="shared" ref="M2:M65" si="5">IF(B2="SALES",H2,"0")</f>
        <v>3361.6000000000004</v>
      </c>
      <c r="N2" s="3" t="str">
        <f t="shared" ref="N2:N65" si="6">IF(B2="SALES RETURN",H2,"0")</f>
        <v>0</v>
      </c>
      <c r="O2" s="3" t="str">
        <f t="shared" ref="O2:O65" si="7">IF(B2="PURCHASE",D2,"0")</f>
        <v>0</v>
      </c>
      <c r="P2" s="3" t="str">
        <f t="shared" ref="P2:P65" si="8">IF(B2="METAL PAYMENT",D2,"0")</f>
        <v>0</v>
      </c>
      <c r="Q2" s="3" t="str">
        <f t="shared" ref="Q2:Q65" si="9">IF(B2="PURCHASE",F2,"0")</f>
        <v>0</v>
      </c>
      <c r="R2" s="3" t="str">
        <f t="shared" ref="R2:R65" si="10">IF(B2="METAL PAYMENT",F2,"0")</f>
        <v>0</v>
      </c>
      <c r="S2" s="3" t="str">
        <f t="shared" ref="S2:S65" si="11">IF(B2="PURCHASE",H2,"0")</f>
        <v>0</v>
      </c>
      <c r="T2" s="3" t="str">
        <f t="shared" ref="T2:T65" si="12">IF(B2="METAL PAYMENT",H2,"0")</f>
        <v>0</v>
      </c>
      <c r="U2" s="3"/>
      <c r="V2" s="3"/>
      <c r="W2" s="3"/>
      <c r="X2" s="3"/>
      <c r="Y2" s="3"/>
      <c r="Z2" s="3"/>
    </row>
    <row r="3" spans="1:26" x14ac:dyDescent="0.25">
      <c r="A3" s="175">
        <v>46174</v>
      </c>
      <c r="B3" s="3" t="s">
        <v>170</v>
      </c>
      <c r="C3" s="169" t="s">
        <v>255</v>
      </c>
      <c r="D3" s="170">
        <v>442.10834999999997</v>
      </c>
      <c r="E3" s="173">
        <v>0.995</v>
      </c>
      <c r="F3" s="172">
        <f t="shared" si="0"/>
        <v>439.89780824999997</v>
      </c>
      <c r="G3" s="6">
        <f>+H3/D3</f>
        <v>0</v>
      </c>
      <c r="H3" s="7"/>
      <c r="I3" s="3" t="str">
        <f t="shared" si="1"/>
        <v>0</v>
      </c>
      <c r="J3" s="3" t="str">
        <f t="shared" si="2"/>
        <v>0</v>
      </c>
      <c r="K3" s="3" t="str">
        <f t="shared" si="3"/>
        <v>0</v>
      </c>
      <c r="L3" s="3" t="str">
        <f t="shared" si="4"/>
        <v>0</v>
      </c>
      <c r="M3" s="3" t="str">
        <f t="shared" si="5"/>
        <v>0</v>
      </c>
      <c r="N3" s="3" t="str">
        <f t="shared" si="6"/>
        <v>0</v>
      </c>
      <c r="O3" s="3">
        <f t="shared" si="7"/>
        <v>442.10834999999997</v>
      </c>
      <c r="P3" s="3" t="str">
        <f t="shared" si="8"/>
        <v>0</v>
      </c>
      <c r="Q3" s="3">
        <f t="shared" si="9"/>
        <v>439.89780824999997</v>
      </c>
      <c r="R3" s="3" t="str">
        <f t="shared" si="10"/>
        <v>0</v>
      </c>
      <c r="S3" s="3">
        <f t="shared" si="11"/>
        <v>0</v>
      </c>
      <c r="T3" s="3" t="str">
        <f t="shared" si="12"/>
        <v>0</v>
      </c>
      <c r="U3" s="3"/>
      <c r="V3" s="3"/>
      <c r="W3" s="3"/>
      <c r="X3" s="3"/>
      <c r="Y3" s="3"/>
      <c r="Z3" s="3"/>
    </row>
    <row r="4" spans="1:26" x14ac:dyDescent="0.25">
      <c r="A4" s="175">
        <v>46174</v>
      </c>
      <c r="B4" s="3" t="s">
        <v>171</v>
      </c>
      <c r="C4" s="169" t="s">
        <v>255</v>
      </c>
      <c r="D4" s="4"/>
      <c r="E4" s="5"/>
      <c r="F4" s="172">
        <f t="shared" si="0"/>
        <v>0</v>
      </c>
      <c r="G4" s="6" t="e">
        <f>+H4/D4</f>
        <v>#DIV/0!</v>
      </c>
      <c r="H4" s="7"/>
      <c r="I4" s="3" t="str">
        <f t="shared" si="1"/>
        <v>0</v>
      </c>
      <c r="J4" s="3" t="str">
        <f t="shared" si="2"/>
        <v>0</v>
      </c>
      <c r="K4" s="3" t="str">
        <f t="shared" si="3"/>
        <v>0</v>
      </c>
      <c r="L4" s="3" t="str">
        <f t="shared" si="4"/>
        <v>0</v>
      </c>
      <c r="M4" s="3" t="str">
        <f t="shared" si="5"/>
        <v>0</v>
      </c>
      <c r="N4" s="3" t="str">
        <f t="shared" si="6"/>
        <v>0</v>
      </c>
      <c r="O4" s="3" t="str">
        <f t="shared" si="7"/>
        <v>0</v>
      </c>
      <c r="P4" s="3" t="str">
        <f t="shared" si="8"/>
        <v>0</v>
      </c>
      <c r="Q4" s="3" t="str">
        <f t="shared" si="9"/>
        <v>0</v>
      </c>
      <c r="R4" s="3" t="str">
        <f t="shared" si="10"/>
        <v>0</v>
      </c>
      <c r="S4" s="3" t="str">
        <f t="shared" si="11"/>
        <v>0</v>
      </c>
      <c r="T4" s="3" t="str">
        <f t="shared" si="12"/>
        <v>0</v>
      </c>
      <c r="U4" s="3">
        <v>3360</v>
      </c>
      <c r="V4" s="3"/>
      <c r="W4" s="3"/>
      <c r="X4" s="3"/>
      <c r="Y4" s="3"/>
      <c r="Z4" s="3"/>
    </row>
    <row r="5" spans="1:26" x14ac:dyDescent="0.25">
      <c r="A5" s="175">
        <v>46175</v>
      </c>
      <c r="B5" s="3" t="s">
        <v>170</v>
      </c>
      <c r="C5" s="169" t="s">
        <v>256</v>
      </c>
      <c r="D5" s="170">
        <v>413.0643</v>
      </c>
      <c r="E5" s="173">
        <v>0.88</v>
      </c>
      <c r="F5" s="172">
        <f t="shared" si="0"/>
        <v>363.49658399999998</v>
      </c>
      <c r="G5" s="172">
        <f>H5/D5</f>
        <v>7.444416038858841</v>
      </c>
      <c r="H5" s="176">
        <f>1118.19*2.75</f>
        <v>3075.0225</v>
      </c>
      <c r="I5" s="158" t="str">
        <f t="shared" si="1"/>
        <v>0</v>
      </c>
      <c r="J5" s="3" t="str">
        <f t="shared" si="2"/>
        <v>0</v>
      </c>
      <c r="K5" s="3" t="str">
        <f t="shared" si="3"/>
        <v>0</v>
      </c>
      <c r="L5" s="3" t="str">
        <f t="shared" si="4"/>
        <v>0</v>
      </c>
      <c r="M5" s="3" t="str">
        <f t="shared" si="5"/>
        <v>0</v>
      </c>
      <c r="N5" s="3" t="str">
        <f t="shared" si="6"/>
        <v>0</v>
      </c>
      <c r="O5" s="3">
        <f t="shared" si="7"/>
        <v>413.0643</v>
      </c>
      <c r="P5" s="3" t="str">
        <f t="shared" si="8"/>
        <v>0</v>
      </c>
      <c r="Q5" s="3">
        <f t="shared" si="9"/>
        <v>363.49658399999998</v>
      </c>
      <c r="R5" s="3" t="str">
        <f t="shared" si="10"/>
        <v>0</v>
      </c>
      <c r="S5" s="3">
        <f t="shared" si="11"/>
        <v>3075.0225</v>
      </c>
      <c r="T5" s="3" t="str">
        <f t="shared" si="12"/>
        <v>0</v>
      </c>
      <c r="U5" s="3"/>
      <c r="V5" s="3"/>
      <c r="W5" s="3"/>
      <c r="X5" s="3"/>
      <c r="Y5" s="3"/>
      <c r="Z5" s="3"/>
    </row>
    <row r="6" spans="1:26" x14ac:dyDescent="0.25">
      <c r="A6" s="175">
        <v>46175</v>
      </c>
      <c r="B6" s="3" t="s">
        <v>209</v>
      </c>
      <c r="C6" s="169" t="s">
        <v>267</v>
      </c>
      <c r="D6" s="170">
        <v>452</v>
      </c>
      <c r="E6" s="173">
        <v>0.995</v>
      </c>
      <c r="F6" s="172">
        <f t="shared" si="0"/>
        <v>449.74</v>
      </c>
      <c r="G6" s="6">
        <f t="shared" ref="G6:G20" si="13">+H6/D6</f>
        <v>0</v>
      </c>
      <c r="H6" s="7"/>
      <c r="I6" s="158" t="str">
        <f t="shared" si="1"/>
        <v>0</v>
      </c>
      <c r="J6" s="3" t="str">
        <f t="shared" si="2"/>
        <v>0</v>
      </c>
      <c r="K6" s="3" t="str">
        <f t="shared" si="3"/>
        <v>0</v>
      </c>
      <c r="L6" s="3" t="str">
        <f t="shared" si="4"/>
        <v>0</v>
      </c>
      <c r="M6" s="3" t="str">
        <f t="shared" si="5"/>
        <v>0</v>
      </c>
      <c r="N6" s="3" t="str">
        <f t="shared" si="6"/>
        <v>0</v>
      </c>
      <c r="O6" s="3" t="str">
        <f t="shared" si="7"/>
        <v>0</v>
      </c>
      <c r="P6" s="3">
        <f t="shared" si="8"/>
        <v>452</v>
      </c>
      <c r="Q6" s="3" t="str">
        <f t="shared" si="9"/>
        <v>0</v>
      </c>
      <c r="R6" s="3">
        <f t="shared" si="10"/>
        <v>449.74</v>
      </c>
      <c r="S6" s="3" t="str">
        <f t="shared" si="11"/>
        <v>0</v>
      </c>
      <c r="T6" s="3">
        <f t="shared" si="12"/>
        <v>0</v>
      </c>
      <c r="U6" s="3"/>
      <c r="V6" s="3"/>
      <c r="W6" s="3"/>
      <c r="X6" s="3"/>
      <c r="Y6" s="3"/>
      <c r="Z6" s="3"/>
    </row>
    <row r="7" spans="1:26" x14ac:dyDescent="0.25">
      <c r="A7" s="175">
        <v>46176</v>
      </c>
      <c r="B7" s="3" t="s">
        <v>169</v>
      </c>
      <c r="C7" s="169" t="s">
        <v>257</v>
      </c>
      <c r="D7" s="170">
        <v>795.77343999999994</v>
      </c>
      <c r="E7" s="171">
        <v>0.88</v>
      </c>
      <c r="F7" s="172">
        <f t="shared" si="0"/>
        <v>700.28062719999991</v>
      </c>
      <c r="G7" s="172">
        <f t="shared" si="13"/>
        <v>12.020255413400076</v>
      </c>
      <c r="H7" s="176">
        <v>9565.4</v>
      </c>
      <c r="I7" s="158">
        <f t="shared" si="1"/>
        <v>795.77343999999994</v>
      </c>
      <c r="J7" s="3" t="str">
        <f t="shared" si="2"/>
        <v>0</v>
      </c>
      <c r="K7" s="3">
        <f t="shared" si="3"/>
        <v>700.28062719999991</v>
      </c>
      <c r="L7" s="3" t="str">
        <f t="shared" si="4"/>
        <v>0</v>
      </c>
      <c r="M7" s="3">
        <f t="shared" si="5"/>
        <v>9565.4</v>
      </c>
      <c r="N7" s="3" t="str">
        <f t="shared" si="6"/>
        <v>0</v>
      </c>
      <c r="O7" s="3" t="str">
        <f t="shared" si="7"/>
        <v>0</v>
      </c>
      <c r="P7" s="3" t="str">
        <f t="shared" si="8"/>
        <v>0</v>
      </c>
      <c r="Q7" s="3" t="str">
        <f t="shared" si="9"/>
        <v>0</v>
      </c>
      <c r="R7" s="3" t="str">
        <f t="shared" si="10"/>
        <v>0</v>
      </c>
      <c r="S7" s="3" t="str">
        <f t="shared" si="11"/>
        <v>0</v>
      </c>
      <c r="T7" s="3" t="str">
        <f t="shared" si="12"/>
        <v>0</v>
      </c>
      <c r="U7" s="3"/>
      <c r="V7" s="3"/>
      <c r="W7" s="3"/>
      <c r="X7" s="3"/>
      <c r="Y7" s="3"/>
      <c r="Z7" s="3"/>
    </row>
    <row r="8" spans="1:26" x14ac:dyDescent="0.25">
      <c r="A8" s="175">
        <v>46176</v>
      </c>
      <c r="B8" s="3" t="s">
        <v>169</v>
      </c>
      <c r="C8" s="169" t="s">
        <v>268</v>
      </c>
      <c r="D8" s="170">
        <v>909.14906931200005</v>
      </c>
      <c r="E8" s="171">
        <v>0.88</v>
      </c>
      <c r="F8" s="172">
        <f t="shared" si="0"/>
        <v>800.05118099456001</v>
      </c>
      <c r="G8" s="172">
        <f t="shared" si="13"/>
        <v>4.9884888552237969</v>
      </c>
      <c r="H8" s="176">
        <v>4535.28</v>
      </c>
      <c r="I8" s="158">
        <f t="shared" si="1"/>
        <v>909.14906931200005</v>
      </c>
      <c r="J8" s="3" t="str">
        <f t="shared" si="2"/>
        <v>0</v>
      </c>
      <c r="K8" s="3">
        <f t="shared" si="3"/>
        <v>800.05118099456001</v>
      </c>
      <c r="L8" s="3" t="str">
        <f t="shared" si="4"/>
        <v>0</v>
      </c>
      <c r="M8" s="3">
        <f t="shared" si="5"/>
        <v>4535.28</v>
      </c>
      <c r="N8" s="3" t="str">
        <f t="shared" si="6"/>
        <v>0</v>
      </c>
      <c r="O8" s="3" t="str">
        <f t="shared" si="7"/>
        <v>0</v>
      </c>
      <c r="P8" s="3" t="str">
        <f t="shared" si="8"/>
        <v>0</v>
      </c>
      <c r="Q8" s="3" t="str">
        <f t="shared" si="9"/>
        <v>0</v>
      </c>
      <c r="R8" s="3" t="str">
        <f t="shared" si="10"/>
        <v>0</v>
      </c>
      <c r="S8" s="3" t="str">
        <f t="shared" si="11"/>
        <v>0</v>
      </c>
      <c r="T8" s="3" t="str">
        <f t="shared" si="12"/>
        <v>0</v>
      </c>
      <c r="U8" s="3"/>
      <c r="V8" s="3"/>
      <c r="W8" s="3"/>
      <c r="X8" s="3"/>
      <c r="Y8" s="3"/>
      <c r="Z8" s="3"/>
    </row>
    <row r="9" spans="1:26" x14ac:dyDescent="0.25">
      <c r="A9" s="175">
        <v>46176</v>
      </c>
      <c r="B9" s="3" t="s">
        <v>170</v>
      </c>
      <c r="C9" s="169" t="s">
        <v>268</v>
      </c>
      <c r="D9" s="170">
        <v>426.42520114523995</v>
      </c>
      <c r="E9" s="173">
        <v>0.995</v>
      </c>
      <c r="F9" s="172">
        <f t="shared" si="0"/>
        <v>424.29307513951375</v>
      </c>
      <c r="G9" s="6">
        <f t="shared" si="13"/>
        <v>0</v>
      </c>
      <c r="H9" s="7"/>
      <c r="I9" s="158" t="str">
        <f t="shared" si="1"/>
        <v>0</v>
      </c>
      <c r="J9" s="3" t="str">
        <f t="shared" si="2"/>
        <v>0</v>
      </c>
      <c r="K9" s="3" t="str">
        <f t="shared" si="3"/>
        <v>0</v>
      </c>
      <c r="L9" s="3" t="str">
        <f t="shared" si="4"/>
        <v>0</v>
      </c>
      <c r="M9" s="3" t="str">
        <f t="shared" si="5"/>
        <v>0</v>
      </c>
      <c r="N9" s="3" t="str">
        <f t="shared" si="6"/>
        <v>0</v>
      </c>
      <c r="O9" s="3">
        <f t="shared" si="7"/>
        <v>426.42520114523995</v>
      </c>
      <c r="P9" s="3" t="str">
        <f t="shared" si="8"/>
        <v>0</v>
      </c>
      <c r="Q9" s="3">
        <f t="shared" si="9"/>
        <v>424.29307513951375</v>
      </c>
      <c r="R9" s="3" t="str">
        <f t="shared" si="10"/>
        <v>0</v>
      </c>
      <c r="S9" s="3">
        <f t="shared" si="11"/>
        <v>0</v>
      </c>
      <c r="T9" s="3" t="str">
        <f t="shared" si="12"/>
        <v>0</v>
      </c>
      <c r="U9" s="3"/>
      <c r="V9" s="3"/>
      <c r="W9" s="3"/>
      <c r="X9" s="3"/>
      <c r="Y9" s="3"/>
      <c r="Z9" s="3"/>
    </row>
    <row r="10" spans="1:26" x14ac:dyDescent="0.25">
      <c r="A10" s="175">
        <v>46176</v>
      </c>
      <c r="B10" s="3" t="s">
        <v>211</v>
      </c>
      <c r="C10" s="169" t="s">
        <v>267</v>
      </c>
      <c r="D10" s="4">
        <v>662.41766799999994</v>
      </c>
      <c r="E10" s="5"/>
      <c r="F10" s="172">
        <f t="shared" si="0"/>
        <v>0</v>
      </c>
      <c r="G10" s="6">
        <f t="shared" si="13"/>
        <v>0</v>
      </c>
      <c r="H10" s="7"/>
      <c r="I10" s="3" t="str">
        <f t="shared" si="1"/>
        <v>0</v>
      </c>
      <c r="J10" s="3" t="str">
        <f t="shared" si="2"/>
        <v>0</v>
      </c>
      <c r="K10" s="3" t="str">
        <f t="shared" si="3"/>
        <v>0</v>
      </c>
      <c r="L10" s="3" t="str">
        <f t="shared" si="4"/>
        <v>0</v>
      </c>
      <c r="M10" s="3" t="str">
        <f t="shared" si="5"/>
        <v>0</v>
      </c>
      <c r="N10" s="3" t="str">
        <f t="shared" si="6"/>
        <v>0</v>
      </c>
      <c r="O10" s="3" t="str">
        <f t="shared" si="7"/>
        <v>0</v>
      </c>
      <c r="P10" s="3" t="str">
        <f t="shared" si="8"/>
        <v>0</v>
      </c>
      <c r="Q10" s="3" t="str">
        <f t="shared" si="9"/>
        <v>0</v>
      </c>
      <c r="R10" s="3" t="str">
        <f t="shared" si="10"/>
        <v>0</v>
      </c>
      <c r="S10" s="3" t="str">
        <f t="shared" si="11"/>
        <v>0</v>
      </c>
      <c r="T10" s="3" t="str">
        <f t="shared" si="12"/>
        <v>0</v>
      </c>
      <c r="U10" s="3"/>
      <c r="V10" s="3"/>
      <c r="W10" s="3">
        <v>3075</v>
      </c>
      <c r="X10" s="3"/>
      <c r="Y10" s="3"/>
      <c r="Z10" s="3"/>
    </row>
    <row r="11" spans="1:26" x14ac:dyDescent="0.25">
      <c r="A11" s="175">
        <v>46178</v>
      </c>
      <c r="B11" s="3" t="s">
        <v>169</v>
      </c>
      <c r="C11" s="169" t="s">
        <v>255</v>
      </c>
      <c r="D11" s="170">
        <v>302.08199999999999</v>
      </c>
      <c r="E11" s="171">
        <v>0.88</v>
      </c>
      <c r="F11" s="172">
        <f t="shared" si="0"/>
        <v>265.83215999999999</v>
      </c>
      <c r="G11" s="172">
        <f t="shared" si="13"/>
        <v>9.6957117603829435</v>
      </c>
      <c r="H11" s="176">
        <f>354*6.5+179.4*3.5</f>
        <v>2928.9</v>
      </c>
      <c r="I11" s="158">
        <f t="shared" si="1"/>
        <v>302.08199999999999</v>
      </c>
      <c r="J11" s="3" t="str">
        <f t="shared" si="2"/>
        <v>0</v>
      </c>
      <c r="K11" s="3">
        <f t="shared" si="3"/>
        <v>265.83215999999999</v>
      </c>
      <c r="L11" s="3" t="str">
        <f t="shared" si="4"/>
        <v>0</v>
      </c>
      <c r="M11" s="3">
        <f t="shared" si="5"/>
        <v>2928.9</v>
      </c>
      <c r="N11" s="3" t="str">
        <f t="shared" si="6"/>
        <v>0</v>
      </c>
      <c r="O11" s="3" t="str">
        <f t="shared" si="7"/>
        <v>0</v>
      </c>
      <c r="P11" s="3" t="str">
        <f t="shared" si="8"/>
        <v>0</v>
      </c>
      <c r="Q11" s="3" t="str">
        <f t="shared" si="9"/>
        <v>0</v>
      </c>
      <c r="R11" s="3" t="str">
        <f t="shared" si="10"/>
        <v>0</v>
      </c>
      <c r="S11" s="3" t="str">
        <f t="shared" si="11"/>
        <v>0</v>
      </c>
      <c r="T11" s="3" t="str">
        <f t="shared" si="12"/>
        <v>0</v>
      </c>
      <c r="U11" s="3"/>
      <c r="V11" s="3"/>
      <c r="W11" s="3"/>
      <c r="X11" s="3"/>
      <c r="Y11" s="3"/>
      <c r="Z11" s="3"/>
    </row>
    <row r="12" spans="1:26" x14ac:dyDescent="0.25">
      <c r="A12" s="175">
        <v>46178</v>
      </c>
      <c r="B12" s="3" t="s">
        <v>170</v>
      </c>
      <c r="C12" s="169" t="s">
        <v>255</v>
      </c>
      <c r="D12" s="170">
        <v>241.01884999999999</v>
      </c>
      <c r="E12" s="173">
        <v>0.995</v>
      </c>
      <c r="F12" s="172">
        <f t="shared" si="0"/>
        <v>239.81375574999998</v>
      </c>
      <c r="G12" s="6">
        <f t="shared" si="13"/>
        <v>0</v>
      </c>
      <c r="H12" s="7"/>
      <c r="I12" s="158" t="str">
        <f t="shared" si="1"/>
        <v>0</v>
      </c>
      <c r="J12" s="3" t="str">
        <f t="shared" si="2"/>
        <v>0</v>
      </c>
      <c r="K12" s="3" t="str">
        <f t="shared" si="3"/>
        <v>0</v>
      </c>
      <c r="L12" s="3" t="str">
        <f t="shared" si="4"/>
        <v>0</v>
      </c>
      <c r="M12" s="3" t="str">
        <f t="shared" si="5"/>
        <v>0</v>
      </c>
      <c r="N12" s="3" t="str">
        <f t="shared" si="6"/>
        <v>0</v>
      </c>
      <c r="O12" s="3">
        <f t="shared" si="7"/>
        <v>241.01884999999999</v>
      </c>
      <c r="P12" s="3" t="str">
        <f t="shared" si="8"/>
        <v>0</v>
      </c>
      <c r="Q12" s="3">
        <f t="shared" si="9"/>
        <v>239.81375574999998</v>
      </c>
      <c r="R12" s="3" t="str">
        <f t="shared" si="10"/>
        <v>0</v>
      </c>
      <c r="S12" s="3">
        <f t="shared" si="11"/>
        <v>0</v>
      </c>
      <c r="T12" s="3" t="str">
        <f t="shared" si="12"/>
        <v>0</v>
      </c>
      <c r="U12" s="3"/>
      <c r="V12" s="3"/>
      <c r="W12" s="3"/>
      <c r="X12" s="3"/>
      <c r="Y12" s="3"/>
      <c r="Z12" s="3"/>
    </row>
    <row r="13" spans="1:26" x14ac:dyDescent="0.25">
      <c r="A13" s="175">
        <v>46178</v>
      </c>
      <c r="B13" s="3" t="s">
        <v>171</v>
      </c>
      <c r="C13" s="169" t="s">
        <v>255</v>
      </c>
      <c r="D13" s="4"/>
      <c r="E13" s="5"/>
      <c r="F13" s="172">
        <f t="shared" si="0"/>
        <v>0</v>
      </c>
      <c r="G13" s="6" t="e">
        <f t="shared" si="13"/>
        <v>#DIV/0!</v>
      </c>
      <c r="H13" s="7"/>
      <c r="I13" s="3" t="str">
        <f t="shared" si="1"/>
        <v>0</v>
      </c>
      <c r="J13" s="3" t="str">
        <f t="shared" si="2"/>
        <v>0</v>
      </c>
      <c r="K13" s="3" t="str">
        <f t="shared" si="3"/>
        <v>0</v>
      </c>
      <c r="L13" s="3" t="str">
        <f t="shared" si="4"/>
        <v>0</v>
      </c>
      <c r="M13" s="3" t="str">
        <f t="shared" si="5"/>
        <v>0</v>
      </c>
      <c r="N13" s="3" t="str">
        <f t="shared" si="6"/>
        <v>0</v>
      </c>
      <c r="O13" s="3" t="str">
        <f t="shared" si="7"/>
        <v>0</v>
      </c>
      <c r="P13" s="3" t="str">
        <f t="shared" si="8"/>
        <v>0</v>
      </c>
      <c r="Q13" s="3" t="str">
        <f t="shared" si="9"/>
        <v>0</v>
      </c>
      <c r="R13" s="3" t="str">
        <f t="shared" si="10"/>
        <v>0</v>
      </c>
      <c r="S13" s="3" t="str">
        <f t="shared" si="11"/>
        <v>0</v>
      </c>
      <c r="T13" s="3" t="str">
        <f t="shared" si="12"/>
        <v>0</v>
      </c>
      <c r="U13" s="3">
        <v>2930</v>
      </c>
      <c r="V13" s="3"/>
      <c r="W13" s="3"/>
      <c r="X13" s="3"/>
      <c r="Y13" s="3"/>
      <c r="Z13" s="3"/>
    </row>
    <row r="14" spans="1:26" x14ac:dyDescent="0.25">
      <c r="A14" s="175">
        <v>46178</v>
      </c>
      <c r="B14" s="3" t="s">
        <v>171</v>
      </c>
      <c r="C14" s="3" t="s">
        <v>269</v>
      </c>
      <c r="D14" s="4"/>
      <c r="E14" s="5"/>
      <c r="F14" s="172">
        <f t="shared" si="0"/>
        <v>0</v>
      </c>
      <c r="G14" s="6" t="e">
        <f t="shared" si="13"/>
        <v>#DIV/0!</v>
      </c>
      <c r="H14" s="7"/>
      <c r="I14" s="3" t="str">
        <f t="shared" si="1"/>
        <v>0</v>
      </c>
      <c r="J14" s="3" t="str">
        <f t="shared" si="2"/>
        <v>0</v>
      </c>
      <c r="K14" s="3" t="str">
        <f t="shared" si="3"/>
        <v>0</v>
      </c>
      <c r="L14" s="3" t="str">
        <f t="shared" si="4"/>
        <v>0</v>
      </c>
      <c r="M14" s="3" t="str">
        <f t="shared" si="5"/>
        <v>0</v>
      </c>
      <c r="N14" s="3" t="str">
        <f t="shared" si="6"/>
        <v>0</v>
      </c>
      <c r="O14" s="3" t="str">
        <f t="shared" si="7"/>
        <v>0</v>
      </c>
      <c r="P14" s="3" t="str">
        <f t="shared" si="8"/>
        <v>0</v>
      </c>
      <c r="Q14" s="3" t="str">
        <f t="shared" si="9"/>
        <v>0</v>
      </c>
      <c r="R14" s="3" t="str">
        <f t="shared" si="10"/>
        <v>0</v>
      </c>
      <c r="S14" s="3" t="str">
        <f t="shared" si="11"/>
        <v>0</v>
      </c>
      <c r="T14" s="3" t="str">
        <f t="shared" si="12"/>
        <v>0</v>
      </c>
      <c r="U14" s="3">
        <v>4700</v>
      </c>
      <c r="V14" s="3"/>
      <c r="W14" s="3"/>
      <c r="X14" s="3"/>
      <c r="Y14" s="3"/>
      <c r="Z14" s="3"/>
    </row>
    <row r="15" spans="1:26" x14ac:dyDescent="0.25">
      <c r="A15" s="175">
        <v>46178</v>
      </c>
      <c r="B15" s="3" t="s">
        <v>169</v>
      </c>
      <c r="C15" s="169" t="s">
        <v>258</v>
      </c>
      <c r="D15" s="170">
        <v>128.78272000000001</v>
      </c>
      <c r="E15" s="171">
        <v>0.88</v>
      </c>
      <c r="F15" s="172">
        <f t="shared" si="0"/>
        <v>113.32879360000001</v>
      </c>
      <c r="G15" s="172">
        <f t="shared" si="13"/>
        <v>36.495579531166911</v>
      </c>
      <c r="H15" s="176">
        <v>4700</v>
      </c>
      <c r="I15" s="158">
        <f t="shared" si="1"/>
        <v>128.78272000000001</v>
      </c>
      <c r="J15" s="3" t="str">
        <f t="shared" si="2"/>
        <v>0</v>
      </c>
      <c r="K15" s="3">
        <f t="shared" si="3"/>
        <v>113.32879360000001</v>
      </c>
      <c r="L15" s="3" t="str">
        <f t="shared" si="4"/>
        <v>0</v>
      </c>
      <c r="M15" s="3">
        <f t="shared" si="5"/>
        <v>4700</v>
      </c>
      <c r="N15" s="3" t="str">
        <f t="shared" si="6"/>
        <v>0</v>
      </c>
      <c r="O15" s="3" t="str">
        <f t="shared" si="7"/>
        <v>0</v>
      </c>
      <c r="P15" s="3" t="str">
        <f t="shared" si="8"/>
        <v>0</v>
      </c>
      <c r="Q15" s="3" t="str">
        <f t="shared" si="9"/>
        <v>0</v>
      </c>
      <c r="R15" s="3" t="str">
        <f t="shared" si="10"/>
        <v>0</v>
      </c>
      <c r="S15" s="3" t="str">
        <f t="shared" si="11"/>
        <v>0</v>
      </c>
      <c r="T15" s="3" t="str">
        <f t="shared" si="12"/>
        <v>0</v>
      </c>
      <c r="U15" s="3"/>
      <c r="V15" s="3"/>
      <c r="W15" s="3"/>
      <c r="X15" s="3"/>
      <c r="Y15" s="3"/>
      <c r="Z15" s="3"/>
    </row>
    <row r="16" spans="1:26" x14ac:dyDescent="0.25">
      <c r="A16" s="175">
        <v>46181</v>
      </c>
      <c r="B16" s="3" t="s">
        <v>170</v>
      </c>
      <c r="C16" s="169" t="s">
        <v>257</v>
      </c>
      <c r="D16" s="170">
        <v>502.11282000000006</v>
      </c>
      <c r="E16" s="173">
        <v>0.995</v>
      </c>
      <c r="F16" s="174">
        <f>D16*E16</f>
        <v>499.60225590000005</v>
      </c>
      <c r="G16" s="6">
        <f t="shared" si="13"/>
        <v>0</v>
      </c>
      <c r="H16" s="7"/>
      <c r="I16" s="3" t="str">
        <f t="shared" si="1"/>
        <v>0</v>
      </c>
      <c r="J16" s="3" t="str">
        <f t="shared" si="2"/>
        <v>0</v>
      </c>
      <c r="K16" s="3" t="str">
        <f t="shared" si="3"/>
        <v>0</v>
      </c>
      <c r="L16" s="3" t="str">
        <f t="shared" si="4"/>
        <v>0</v>
      </c>
      <c r="M16" s="3" t="str">
        <f t="shared" si="5"/>
        <v>0</v>
      </c>
      <c r="N16" s="3" t="str">
        <f t="shared" si="6"/>
        <v>0</v>
      </c>
      <c r="O16" s="3">
        <f t="shared" si="7"/>
        <v>502.11282000000006</v>
      </c>
      <c r="P16" s="3" t="str">
        <f t="shared" si="8"/>
        <v>0</v>
      </c>
      <c r="Q16" s="3">
        <f t="shared" si="9"/>
        <v>499.60225590000005</v>
      </c>
      <c r="R16" s="3" t="str">
        <f t="shared" si="10"/>
        <v>0</v>
      </c>
      <c r="S16" s="3">
        <f t="shared" si="11"/>
        <v>0</v>
      </c>
      <c r="T16" s="3" t="str">
        <f t="shared" si="12"/>
        <v>0</v>
      </c>
      <c r="U16" s="3"/>
      <c r="V16" s="3"/>
      <c r="W16" s="3"/>
      <c r="X16" s="3"/>
      <c r="Y16" s="3"/>
      <c r="Z16" s="3"/>
    </row>
    <row r="17" spans="1:26" x14ac:dyDescent="0.25">
      <c r="A17" s="175">
        <v>46182</v>
      </c>
      <c r="B17" s="3" t="s">
        <v>169</v>
      </c>
      <c r="C17" s="169" t="s">
        <v>259</v>
      </c>
      <c r="D17" s="170">
        <v>1174.0044800000001</v>
      </c>
      <c r="E17" s="171">
        <v>0.88</v>
      </c>
      <c r="F17" s="172">
        <f>+D17*E17</f>
        <v>1033.1239424</v>
      </c>
      <c r="G17" s="172">
        <f t="shared" si="13"/>
        <v>0.94863351799134532</v>
      </c>
      <c r="H17" s="176">
        <f>318.2*3.5</f>
        <v>1113.7</v>
      </c>
      <c r="I17" s="158">
        <f t="shared" si="1"/>
        <v>1174.0044800000001</v>
      </c>
      <c r="J17" s="3" t="str">
        <f t="shared" si="2"/>
        <v>0</v>
      </c>
      <c r="K17" s="3">
        <f t="shared" si="3"/>
        <v>1033.1239424</v>
      </c>
      <c r="L17" s="3" t="str">
        <f t="shared" si="4"/>
        <v>0</v>
      </c>
      <c r="M17" s="3">
        <f t="shared" si="5"/>
        <v>1113.7</v>
      </c>
      <c r="N17" s="3" t="str">
        <f t="shared" si="6"/>
        <v>0</v>
      </c>
      <c r="O17" s="3" t="str">
        <f t="shared" si="7"/>
        <v>0</v>
      </c>
      <c r="P17" s="3" t="str">
        <f t="shared" si="8"/>
        <v>0</v>
      </c>
      <c r="Q17" s="3" t="str">
        <f t="shared" si="9"/>
        <v>0</v>
      </c>
      <c r="R17" s="3" t="str">
        <f t="shared" si="10"/>
        <v>0</v>
      </c>
      <c r="S17" s="3" t="str">
        <f t="shared" si="11"/>
        <v>0</v>
      </c>
      <c r="T17" s="3" t="str">
        <f t="shared" si="12"/>
        <v>0</v>
      </c>
      <c r="U17" s="3"/>
      <c r="V17" s="3"/>
      <c r="W17" s="3"/>
      <c r="X17" s="3"/>
      <c r="Y17" s="3"/>
      <c r="Z17" s="3"/>
    </row>
    <row r="18" spans="1:26" x14ac:dyDescent="0.25">
      <c r="A18" s="175">
        <v>46182</v>
      </c>
      <c r="B18" s="3" t="s">
        <v>169</v>
      </c>
      <c r="C18" s="169" t="s">
        <v>255</v>
      </c>
      <c r="D18" s="170">
        <v>296.47199999999998</v>
      </c>
      <c r="E18" s="171">
        <v>0.88</v>
      </c>
      <c r="F18" s="172">
        <f>+D18*E18</f>
        <v>260.89535999999998</v>
      </c>
      <c r="G18" s="172">
        <f t="shared" si="13"/>
        <v>9.9611430421759906</v>
      </c>
      <c r="H18" s="176">
        <f>246.1*12</f>
        <v>2953.2</v>
      </c>
      <c r="I18" s="158">
        <f t="shared" si="1"/>
        <v>296.47199999999998</v>
      </c>
      <c r="J18" s="3" t="str">
        <f t="shared" si="2"/>
        <v>0</v>
      </c>
      <c r="K18" s="3">
        <f t="shared" si="3"/>
        <v>260.89535999999998</v>
      </c>
      <c r="L18" s="3" t="str">
        <f t="shared" si="4"/>
        <v>0</v>
      </c>
      <c r="M18" s="3">
        <f t="shared" si="5"/>
        <v>2953.2</v>
      </c>
      <c r="N18" s="3" t="str">
        <f t="shared" si="6"/>
        <v>0</v>
      </c>
      <c r="O18" s="3" t="str">
        <f t="shared" si="7"/>
        <v>0</v>
      </c>
      <c r="P18" s="3" t="str">
        <f t="shared" si="8"/>
        <v>0</v>
      </c>
      <c r="Q18" s="3" t="str">
        <f t="shared" si="9"/>
        <v>0</v>
      </c>
      <c r="R18" s="3" t="str">
        <f t="shared" si="10"/>
        <v>0</v>
      </c>
      <c r="S18" s="3" t="str">
        <f t="shared" si="11"/>
        <v>0</v>
      </c>
      <c r="T18" s="3" t="str">
        <f t="shared" si="12"/>
        <v>0</v>
      </c>
      <c r="U18" s="3"/>
      <c r="V18" s="3"/>
      <c r="W18" s="3"/>
      <c r="X18" s="3"/>
      <c r="Y18" s="3"/>
      <c r="Z18" s="3"/>
    </row>
    <row r="19" spans="1:26" x14ac:dyDescent="0.25">
      <c r="A19" s="175">
        <v>46182</v>
      </c>
      <c r="B19" s="3" t="s">
        <v>169</v>
      </c>
      <c r="C19" s="169" t="s">
        <v>270</v>
      </c>
      <c r="D19" s="170">
        <v>437.69831920874998</v>
      </c>
      <c r="E19" s="171">
        <v>0.88</v>
      </c>
      <c r="F19" s="172">
        <f>+D19*E19</f>
        <v>385.1745209037</v>
      </c>
      <c r="G19" s="172">
        <f t="shared" si="13"/>
        <v>0</v>
      </c>
      <c r="H19" s="176"/>
      <c r="I19" s="158">
        <f t="shared" si="1"/>
        <v>437.69831920874998</v>
      </c>
      <c r="J19" s="3" t="str">
        <f t="shared" si="2"/>
        <v>0</v>
      </c>
      <c r="K19" s="3">
        <f t="shared" si="3"/>
        <v>385.1745209037</v>
      </c>
      <c r="L19" s="3" t="str">
        <f t="shared" si="4"/>
        <v>0</v>
      </c>
      <c r="M19" s="3">
        <f t="shared" si="5"/>
        <v>0</v>
      </c>
      <c r="N19" s="3" t="str">
        <f t="shared" si="6"/>
        <v>0</v>
      </c>
      <c r="O19" s="3" t="str">
        <f t="shared" si="7"/>
        <v>0</v>
      </c>
      <c r="P19" s="3" t="str">
        <f t="shared" si="8"/>
        <v>0</v>
      </c>
      <c r="Q19" s="3" t="str">
        <f t="shared" si="9"/>
        <v>0</v>
      </c>
      <c r="R19" s="3" t="str">
        <f t="shared" si="10"/>
        <v>0</v>
      </c>
      <c r="S19" s="3" t="str">
        <f t="shared" si="11"/>
        <v>0</v>
      </c>
      <c r="T19" s="3" t="str">
        <f t="shared" si="12"/>
        <v>0</v>
      </c>
      <c r="U19" s="3"/>
      <c r="V19" s="3"/>
      <c r="W19" s="3"/>
      <c r="X19" s="3"/>
      <c r="Y19" s="3"/>
      <c r="Z19" s="3"/>
    </row>
    <row r="20" spans="1:26" x14ac:dyDescent="0.25">
      <c r="A20" s="175">
        <v>46182</v>
      </c>
      <c r="B20" s="3" t="s">
        <v>169</v>
      </c>
      <c r="C20" s="169" t="s">
        <v>270</v>
      </c>
      <c r="D20" s="170">
        <v>570.59199999999998</v>
      </c>
      <c r="E20" s="171">
        <v>0.88</v>
      </c>
      <c r="F20" s="172">
        <f>+D20*E20</f>
        <v>502.12095999999997</v>
      </c>
      <c r="G20" s="172">
        <f t="shared" si="13"/>
        <v>1.7788542426111829</v>
      </c>
      <c r="H20" s="176">
        <f>203*5</f>
        <v>1015</v>
      </c>
      <c r="I20" s="158">
        <f t="shared" si="1"/>
        <v>570.59199999999998</v>
      </c>
      <c r="J20" s="3" t="str">
        <f t="shared" si="2"/>
        <v>0</v>
      </c>
      <c r="K20" s="3">
        <f t="shared" si="3"/>
        <v>502.12095999999997</v>
      </c>
      <c r="L20" s="3" t="str">
        <f t="shared" si="4"/>
        <v>0</v>
      </c>
      <c r="M20" s="3">
        <f t="shared" si="5"/>
        <v>1015</v>
      </c>
      <c r="N20" s="3" t="str">
        <f t="shared" si="6"/>
        <v>0</v>
      </c>
      <c r="O20" s="3" t="str">
        <f t="shared" si="7"/>
        <v>0</v>
      </c>
      <c r="P20" s="3" t="str">
        <f t="shared" si="8"/>
        <v>0</v>
      </c>
      <c r="Q20" s="3" t="str">
        <f t="shared" si="9"/>
        <v>0</v>
      </c>
      <c r="R20" s="3" t="str">
        <f t="shared" si="10"/>
        <v>0</v>
      </c>
      <c r="S20" s="3" t="str">
        <f t="shared" si="11"/>
        <v>0</v>
      </c>
      <c r="T20" s="3" t="str">
        <f t="shared" si="12"/>
        <v>0</v>
      </c>
      <c r="U20" s="3"/>
      <c r="V20" s="3"/>
      <c r="W20" s="3"/>
      <c r="X20" s="3"/>
      <c r="Y20" s="3"/>
      <c r="Z20" s="3"/>
    </row>
    <row r="21" spans="1:26" x14ac:dyDescent="0.25">
      <c r="A21" s="175">
        <v>46182</v>
      </c>
      <c r="B21" s="3" t="s">
        <v>170</v>
      </c>
      <c r="C21" s="169" t="s">
        <v>259</v>
      </c>
      <c r="D21" s="170">
        <v>5665</v>
      </c>
      <c r="E21" s="173">
        <v>0.995</v>
      </c>
      <c r="F21" s="174">
        <f>D21*E21</f>
        <v>5636.6750000000002</v>
      </c>
      <c r="G21" s="6"/>
      <c r="H21" s="176"/>
      <c r="I21" s="158" t="str">
        <f t="shared" si="1"/>
        <v>0</v>
      </c>
      <c r="J21" s="3" t="str">
        <f t="shared" si="2"/>
        <v>0</v>
      </c>
      <c r="K21" s="3" t="str">
        <f t="shared" si="3"/>
        <v>0</v>
      </c>
      <c r="L21" s="3" t="str">
        <f t="shared" si="4"/>
        <v>0</v>
      </c>
      <c r="M21" s="3" t="str">
        <f t="shared" si="5"/>
        <v>0</v>
      </c>
      <c r="N21" s="3" t="str">
        <f t="shared" si="6"/>
        <v>0</v>
      </c>
      <c r="O21" s="3">
        <f t="shared" si="7"/>
        <v>5665</v>
      </c>
      <c r="P21" s="3" t="str">
        <f t="shared" si="8"/>
        <v>0</v>
      </c>
      <c r="Q21" s="3">
        <f t="shared" si="9"/>
        <v>5636.6750000000002</v>
      </c>
      <c r="R21" s="3" t="str">
        <f t="shared" si="10"/>
        <v>0</v>
      </c>
      <c r="S21" s="3">
        <f t="shared" si="11"/>
        <v>0</v>
      </c>
      <c r="T21" s="3" t="str">
        <f t="shared" si="12"/>
        <v>0</v>
      </c>
      <c r="U21" s="3"/>
      <c r="V21" s="3"/>
      <c r="W21" s="3"/>
      <c r="X21" s="3"/>
      <c r="Y21" s="3"/>
      <c r="Z21" s="3"/>
    </row>
    <row r="22" spans="1:26" x14ac:dyDescent="0.25">
      <c r="A22" s="175">
        <v>46182</v>
      </c>
      <c r="B22" s="3" t="s">
        <v>170</v>
      </c>
      <c r="C22" s="169" t="s">
        <v>255</v>
      </c>
      <c r="D22" s="170">
        <v>1179.904</v>
      </c>
      <c r="E22" s="173">
        <v>0.995</v>
      </c>
      <c r="F22" s="174">
        <f>D22*E22</f>
        <v>1174.0044800000001</v>
      </c>
      <c r="G22" s="6"/>
      <c r="H22" s="176"/>
      <c r="I22" s="158" t="str">
        <f t="shared" si="1"/>
        <v>0</v>
      </c>
      <c r="J22" s="3" t="str">
        <f t="shared" si="2"/>
        <v>0</v>
      </c>
      <c r="K22" s="3" t="str">
        <f t="shared" si="3"/>
        <v>0</v>
      </c>
      <c r="L22" s="3" t="str">
        <f t="shared" si="4"/>
        <v>0</v>
      </c>
      <c r="M22" s="3" t="str">
        <f t="shared" si="5"/>
        <v>0</v>
      </c>
      <c r="N22" s="3" t="str">
        <f t="shared" si="6"/>
        <v>0</v>
      </c>
      <c r="O22" s="3">
        <f t="shared" si="7"/>
        <v>1179.904</v>
      </c>
      <c r="P22" s="3" t="str">
        <f t="shared" si="8"/>
        <v>0</v>
      </c>
      <c r="Q22" s="3">
        <f t="shared" si="9"/>
        <v>1174.0044800000001</v>
      </c>
      <c r="R22" s="3" t="str">
        <f t="shared" si="10"/>
        <v>0</v>
      </c>
      <c r="S22" s="3">
        <f t="shared" si="11"/>
        <v>0</v>
      </c>
      <c r="T22" s="3" t="str">
        <f t="shared" si="12"/>
        <v>0</v>
      </c>
      <c r="U22" s="3"/>
      <c r="V22" s="3"/>
      <c r="W22" s="3"/>
      <c r="X22" s="3"/>
      <c r="Y22" s="3"/>
      <c r="Z22" s="3"/>
    </row>
    <row r="23" spans="1:26" x14ac:dyDescent="0.25">
      <c r="A23" s="175">
        <v>46182</v>
      </c>
      <c r="B23" s="3" t="s">
        <v>170</v>
      </c>
      <c r="C23" s="169" t="s">
        <v>260</v>
      </c>
      <c r="D23" s="170">
        <v>1038.28648</v>
      </c>
      <c r="E23" s="173">
        <v>0.88</v>
      </c>
      <c r="F23" s="174">
        <f>D23*E23</f>
        <v>913.69210239999995</v>
      </c>
      <c r="G23" s="172">
        <f>H23/D23</f>
        <v>1.2825410189295732</v>
      </c>
      <c r="H23" s="176">
        <f>380.47*3.5</f>
        <v>1331.645</v>
      </c>
      <c r="I23" s="158" t="str">
        <f t="shared" si="1"/>
        <v>0</v>
      </c>
      <c r="J23" s="3" t="str">
        <f t="shared" si="2"/>
        <v>0</v>
      </c>
      <c r="K23" s="3" t="str">
        <f t="shared" si="3"/>
        <v>0</v>
      </c>
      <c r="L23" s="3" t="str">
        <f t="shared" si="4"/>
        <v>0</v>
      </c>
      <c r="M23" s="3" t="str">
        <f t="shared" si="5"/>
        <v>0</v>
      </c>
      <c r="N23" s="3" t="str">
        <f t="shared" si="6"/>
        <v>0</v>
      </c>
      <c r="O23" s="3">
        <f t="shared" si="7"/>
        <v>1038.28648</v>
      </c>
      <c r="P23" s="3" t="str">
        <f t="shared" si="8"/>
        <v>0</v>
      </c>
      <c r="Q23" s="3">
        <f t="shared" si="9"/>
        <v>913.69210239999995</v>
      </c>
      <c r="R23" s="3" t="str">
        <f t="shared" si="10"/>
        <v>0</v>
      </c>
      <c r="S23" s="3">
        <f t="shared" si="11"/>
        <v>1331.645</v>
      </c>
      <c r="T23" s="3" t="str">
        <f t="shared" si="12"/>
        <v>0</v>
      </c>
      <c r="U23" s="3"/>
      <c r="V23" s="3"/>
      <c r="W23" s="3"/>
      <c r="X23" s="3"/>
      <c r="Y23" s="3"/>
      <c r="Z23" s="3"/>
    </row>
    <row r="24" spans="1:26" x14ac:dyDescent="0.25">
      <c r="A24" s="175">
        <v>46182</v>
      </c>
      <c r="B24" s="3" t="s">
        <v>209</v>
      </c>
      <c r="C24" s="169" t="s">
        <v>266</v>
      </c>
      <c r="D24" s="170">
        <v>65</v>
      </c>
      <c r="E24" s="173">
        <v>0.995</v>
      </c>
      <c r="F24" s="174">
        <f t="shared" ref="F24:F28" si="14">+D24*E24</f>
        <v>64.674999999999997</v>
      </c>
      <c r="G24" s="6">
        <f t="shared" ref="G24:G29" si="15">+H24/D24</f>
        <v>0</v>
      </c>
      <c r="H24" s="7"/>
      <c r="I24" s="158" t="str">
        <f t="shared" si="1"/>
        <v>0</v>
      </c>
      <c r="J24" s="3" t="str">
        <f t="shared" si="2"/>
        <v>0</v>
      </c>
      <c r="K24" s="3" t="str">
        <f t="shared" si="3"/>
        <v>0</v>
      </c>
      <c r="L24" s="3" t="str">
        <f t="shared" si="4"/>
        <v>0</v>
      </c>
      <c r="M24" s="3" t="str">
        <f t="shared" si="5"/>
        <v>0</v>
      </c>
      <c r="N24" s="3" t="str">
        <f t="shared" si="6"/>
        <v>0</v>
      </c>
      <c r="O24" s="3" t="str">
        <f t="shared" si="7"/>
        <v>0</v>
      </c>
      <c r="P24" s="3">
        <f t="shared" si="8"/>
        <v>65</v>
      </c>
      <c r="Q24" s="3" t="str">
        <f t="shared" si="9"/>
        <v>0</v>
      </c>
      <c r="R24" s="3">
        <f t="shared" si="10"/>
        <v>64.674999999999997</v>
      </c>
      <c r="S24" s="3" t="str">
        <f t="shared" si="11"/>
        <v>0</v>
      </c>
      <c r="T24" s="3">
        <f t="shared" si="12"/>
        <v>0</v>
      </c>
      <c r="U24" s="3"/>
      <c r="V24" s="3"/>
      <c r="W24" s="3"/>
      <c r="X24" s="3"/>
      <c r="Y24" s="3"/>
      <c r="Z24" s="3"/>
    </row>
    <row r="25" spans="1:26" x14ac:dyDescent="0.25">
      <c r="A25" s="175">
        <v>46182</v>
      </c>
      <c r="B25" s="3" t="s">
        <v>171</v>
      </c>
      <c r="C25" s="169" t="s">
        <v>255</v>
      </c>
      <c r="D25" s="4"/>
      <c r="E25" s="5"/>
      <c r="F25" s="6">
        <f t="shared" si="14"/>
        <v>0</v>
      </c>
      <c r="G25" s="6" t="e">
        <f t="shared" si="15"/>
        <v>#DIV/0!</v>
      </c>
      <c r="H25" s="7"/>
      <c r="I25" s="3" t="str">
        <f t="shared" si="1"/>
        <v>0</v>
      </c>
      <c r="J25" s="3" t="str">
        <f t="shared" si="2"/>
        <v>0</v>
      </c>
      <c r="K25" s="3" t="str">
        <f t="shared" si="3"/>
        <v>0</v>
      </c>
      <c r="L25" s="3" t="str">
        <f t="shared" si="4"/>
        <v>0</v>
      </c>
      <c r="M25" s="3" t="str">
        <f t="shared" si="5"/>
        <v>0</v>
      </c>
      <c r="N25" s="3" t="str">
        <f t="shared" si="6"/>
        <v>0</v>
      </c>
      <c r="O25" s="3" t="str">
        <f t="shared" si="7"/>
        <v>0</v>
      </c>
      <c r="P25" s="3" t="str">
        <f t="shared" si="8"/>
        <v>0</v>
      </c>
      <c r="Q25" s="3" t="str">
        <f t="shared" si="9"/>
        <v>0</v>
      </c>
      <c r="R25" s="3" t="str">
        <f t="shared" si="10"/>
        <v>0</v>
      </c>
      <c r="S25" s="3" t="str">
        <f t="shared" si="11"/>
        <v>0</v>
      </c>
      <c r="T25" s="3" t="str">
        <f t="shared" si="12"/>
        <v>0</v>
      </c>
      <c r="U25" s="3">
        <v>2950</v>
      </c>
      <c r="V25" s="3"/>
      <c r="W25" s="3"/>
      <c r="X25" s="3"/>
      <c r="Y25" s="3"/>
      <c r="Z25" s="3"/>
    </row>
    <row r="26" spans="1:26" x14ac:dyDescent="0.25">
      <c r="A26" s="175">
        <v>46182</v>
      </c>
      <c r="B26" s="3" t="s">
        <v>171</v>
      </c>
      <c r="C26" s="3" t="s">
        <v>271</v>
      </c>
      <c r="D26" s="4"/>
      <c r="E26" s="5"/>
      <c r="F26" s="6">
        <f t="shared" si="14"/>
        <v>0</v>
      </c>
      <c r="G26" s="6" t="e">
        <f t="shared" si="15"/>
        <v>#DIV/0!</v>
      </c>
      <c r="H26" s="7"/>
      <c r="I26" s="3" t="str">
        <f t="shared" si="1"/>
        <v>0</v>
      </c>
      <c r="J26" s="3" t="str">
        <f t="shared" si="2"/>
        <v>0</v>
      </c>
      <c r="K26" s="3" t="str">
        <f t="shared" si="3"/>
        <v>0</v>
      </c>
      <c r="L26" s="3" t="str">
        <f t="shared" si="4"/>
        <v>0</v>
      </c>
      <c r="M26" s="3" t="str">
        <f t="shared" si="5"/>
        <v>0</v>
      </c>
      <c r="N26" s="3" t="str">
        <f t="shared" si="6"/>
        <v>0</v>
      </c>
      <c r="O26" s="3" t="str">
        <f t="shared" si="7"/>
        <v>0</v>
      </c>
      <c r="P26" s="3" t="str">
        <f t="shared" si="8"/>
        <v>0</v>
      </c>
      <c r="Q26" s="3" t="str">
        <f t="shared" si="9"/>
        <v>0</v>
      </c>
      <c r="R26" s="3" t="str">
        <f t="shared" si="10"/>
        <v>0</v>
      </c>
      <c r="S26" s="3" t="str">
        <f t="shared" si="11"/>
        <v>0</v>
      </c>
      <c r="T26" s="3" t="str">
        <f t="shared" si="12"/>
        <v>0</v>
      </c>
      <c r="U26" s="3">
        <v>1110</v>
      </c>
      <c r="V26" s="3"/>
      <c r="W26" s="3"/>
      <c r="X26" s="3"/>
      <c r="Y26" s="3"/>
      <c r="Z26" s="3"/>
    </row>
    <row r="27" spans="1:26" x14ac:dyDescent="0.25">
      <c r="A27" s="175">
        <v>46182</v>
      </c>
      <c r="B27" s="3" t="s">
        <v>211</v>
      </c>
      <c r="C27" s="169" t="s">
        <v>266</v>
      </c>
      <c r="D27" s="4"/>
      <c r="E27" s="5"/>
      <c r="F27" s="6">
        <f t="shared" si="14"/>
        <v>0</v>
      </c>
      <c r="G27" s="6" t="e">
        <f t="shared" si="15"/>
        <v>#DIV/0!</v>
      </c>
      <c r="H27" s="7"/>
      <c r="I27" s="3" t="str">
        <f t="shared" si="1"/>
        <v>0</v>
      </c>
      <c r="J27" s="3" t="str">
        <f t="shared" si="2"/>
        <v>0</v>
      </c>
      <c r="K27" s="3" t="str">
        <f t="shared" si="3"/>
        <v>0</v>
      </c>
      <c r="L27" s="3" t="str">
        <f t="shared" si="4"/>
        <v>0</v>
      </c>
      <c r="M27" s="3" t="str">
        <f t="shared" si="5"/>
        <v>0</v>
      </c>
      <c r="N27" s="3" t="str">
        <f t="shared" si="6"/>
        <v>0</v>
      </c>
      <c r="O27" s="3" t="str">
        <f t="shared" si="7"/>
        <v>0</v>
      </c>
      <c r="P27" s="3" t="str">
        <f t="shared" si="8"/>
        <v>0</v>
      </c>
      <c r="Q27" s="3" t="str">
        <f t="shared" si="9"/>
        <v>0</v>
      </c>
      <c r="R27" s="3" t="str">
        <f t="shared" si="10"/>
        <v>0</v>
      </c>
      <c r="S27" s="3" t="str">
        <f t="shared" si="11"/>
        <v>0</v>
      </c>
      <c r="T27" s="3" t="str">
        <f t="shared" si="12"/>
        <v>0</v>
      </c>
      <c r="U27" s="3"/>
      <c r="V27" s="3"/>
      <c r="W27" s="3">
        <v>1325</v>
      </c>
      <c r="X27" s="3"/>
      <c r="Y27" s="3"/>
      <c r="Z27" s="3"/>
    </row>
    <row r="28" spans="1:26" x14ac:dyDescent="0.25">
      <c r="A28" s="175">
        <v>46183</v>
      </c>
      <c r="B28" s="3" t="s">
        <v>169</v>
      </c>
      <c r="C28" s="169" t="s">
        <v>272</v>
      </c>
      <c r="D28" s="170">
        <v>616.24695193599996</v>
      </c>
      <c r="E28" s="171">
        <v>0.88</v>
      </c>
      <c r="F28" s="172">
        <f t="shared" si="14"/>
        <v>542.29731770367994</v>
      </c>
      <c r="G28" s="172">
        <f t="shared" si="15"/>
        <v>11.042975512691463</v>
      </c>
      <c r="H28" s="176">
        <f>567.1*12</f>
        <v>6805.2000000000007</v>
      </c>
      <c r="I28" s="158">
        <f t="shared" si="1"/>
        <v>616.24695193599996</v>
      </c>
      <c r="J28" s="3" t="str">
        <f t="shared" si="2"/>
        <v>0</v>
      </c>
      <c r="K28" s="3">
        <f t="shared" si="3"/>
        <v>542.29731770367994</v>
      </c>
      <c r="L28" s="3" t="str">
        <f t="shared" si="4"/>
        <v>0</v>
      </c>
      <c r="M28" s="3">
        <f t="shared" si="5"/>
        <v>6805.2000000000007</v>
      </c>
      <c r="N28" s="3" t="str">
        <f t="shared" si="6"/>
        <v>0</v>
      </c>
      <c r="O28" s="3" t="str">
        <f t="shared" si="7"/>
        <v>0</v>
      </c>
      <c r="P28" s="3" t="str">
        <f t="shared" si="8"/>
        <v>0</v>
      </c>
      <c r="Q28" s="3" t="str">
        <f t="shared" si="9"/>
        <v>0</v>
      </c>
      <c r="R28" s="3" t="str">
        <f t="shared" si="10"/>
        <v>0</v>
      </c>
      <c r="S28" s="3" t="str">
        <f t="shared" si="11"/>
        <v>0</v>
      </c>
      <c r="T28" s="3" t="str">
        <f t="shared" si="12"/>
        <v>0</v>
      </c>
      <c r="U28" s="3"/>
      <c r="V28" s="3"/>
      <c r="W28" s="3"/>
      <c r="X28" s="3"/>
      <c r="Y28" s="3"/>
      <c r="Z28" s="3"/>
    </row>
    <row r="29" spans="1:26" x14ac:dyDescent="0.25">
      <c r="A29" s="175">
        <v>46183</v>
      </c>
      <c r="B29" s="3" t="s">
        <v>169</v>
      </c>
      <c r="C29" s="169" t="s">
        <v>268</v>
      </c>
      <c r="D29" s="170">
        <v>752.74734999999998</v>
      </c>
      <c r="E29" s="171">
        <v>0.88</v>
      </c>
      <c r="F29" s="172">
        <f>+D29*E29</f>
        <v>662.41766799999994</v>
      </c>
      <c r="G29" s="172">
        <f t="shared" si="15"/>
        <v>1.1458824796925555</v>
      </c>
      <c r="H29" s="176">
        <f>107.82*8</f>
        <v>862.56</v>
      </c>
      <c r="I29" s="158">
        <f t="shared" si="1"/>
        <v>752.74734999999998</v>
      </c>
      <c r="J29" s="3" t="str">
        <f t="shared" si="2"/>
        <v>0</v>
      </c>
      <c r="K29" s="3">
        <f t="shared" si="3"/>
        <v>662.41766799999994</v>
      </c>
      <c r="L29" s="3" t="str">
        <f t="shared" si="4"/>
        <v>0</v>
      </c>
      <c r="M29" s="3">
        <f t="shared" si="5"/>
        <v>862.56</v>
      </c>
      <c r="N29" s="3" t="str">
        <f t="shared" si="6"/>
        <v>0</v>
      </c>
      <c r="O29" s="3" t="str">
        <f t="shared" si="7"/>
        <v>0</v>
      </c>
      <c r="P29" s="3" t="str">
        <f t="shared" si="8"/>
        <v>0</v>
      </c>
      <c r="Q29" s="3" t="str">
        <f t="shared" si="9"/>
        <v>0</v>
      </c>
      <c r="R29" s="3" t="str">
        <f t="shared" si="10"/>
        <v>0</v>
      </c>
      <c r="S29" s="3" t="str">
        <f t="shared" si="11"/>
        <v>0</v>
      </c>
      <c r="T29" s="3" t="str">
        <f t="shared" si="12"/>
        <v>0</v>
      </c>
      <c r="U29" s="3"/>
      <c r="V29" s="3"/>
      <c r="W29" s="3"/>
      <c r="X29" s="3"/>
      <c r="Y29" s="3"/>
      <c r="Z29" s="3"/>
    </row>
    <row r="30" spans="1:26" x14ac:dyDescent="0.25">
      <c r="A30" s="175">
        <v>46183</v>
      </c>
      <c r="B30" s="3" t="s">
        <v>170</v>
      </c>
      <c r="C30" s="169" t="s">
        <v>268</v>
      </c>
      <c r="D30" s="170">
        <v>662.41766799999994</v>
      </c>
      <c r="E30" s="173">
        <v>0.995</v>
      </c>
      <c r="F30" s="174">
        <f>D30*E30</f>
        <v>659.10557965999988</v>
      </c>
      <c r="G30" s="6"/>
      <c r="H30" s="176"/>
      <c r="I30" s="158" t="str">
        <f t="shared" si="1"/>
        <v>0</v>
      </c>
      <c r="J30" s="3" t="str">
        <f t="shared" si="2"/>
        <v>0</v>
      </c>
      <c r="K30" s="3" t="str">
        <f t="shared" si="3"/>
        <v>0</v>
      </c>
      <c r="L30" s="3" t="str">
        <f t="shared" si="4"/>
        <v>0</v>
      </c>
      <c r="M30" s="3" t="str">
        <f t="shared" si="5"/>
        <v>0</v>
      </c>
      <c r="N30" s="3" t="str">
        <f t="shared" si="6"/>
        <v>0</v>
      </c>
      <c r="O30" s="3">
        <f t="shared" si="7"/>
        <v>662.41766799999994</v>
      </c>
      <c r="P30" s="3" t="str">
        <f t="shared" si="8"/>
        <v>0</v>
      </c>
      <c r="Q30" s="3">
        <f t="shared" si="9"/>
        <v>659.10557965999988</v>
      </c>
      <c r="R30" s="3" t="str">
        <f t="shared" si="10"/>
        <v>0</v>
      </c>
      <c r="S30" s="3">
        <f t="shared" si="11"/>
        <v>0</v>
      </c>
      <c r="T30" s="3" t="str">
        <f t="shared" si="12"/>
        <v>0</v>
      </c>
      <c r="U30" s="3"/>
      <c r="V30" s="3"/>
      <c r="W30" s="3"/>
      <c r="X30" s="3"/>
      <c r="Y30" s="3"/>
      <c r="Z30" s="3"/>
    </row>
    <row r="31" spans="1:26" x14ac:dyDescent="0.25">
      <c r="A31" s="175">
        <v>46183</v>
      </c>
      <c r="B31" s="3" t="s">
        <v>170</v>
      </c>
      <c r="C31" s="169" t="s">
        <v>260</v>
      </c>
      <c r="D31" s="170">
        <v>303.59440000000001</v>
      </c>
      <c r="E31" s="173">
        <v>0.88</v>
      </c>
      <c r="F31" s="174">
        <f>D31*E31</f>
        <v>267.163072</v>
      </c>
      <c r="G31" s="172">
        <f>H31/D31</f>
        <v>3.5</v>
      </c>
      <c r="H31" s="176">
        <f>+D31*3.5</f>
        <v>1062.5804000000001</v>
      </c>
      <c r="I31" s="158" t="str">
        <f t="shared" si="1"/>
        <v>0</v>
      </c>
      <c r="J31" s="3" t="str">
        <f t="shared" si="2"/>
        <v>0</v>
      </c>
      <c r="K31" s="3" t="str">
        <f t="shared" si="3"/>
        <v>0</v>
      </c>
      <c r="L31" s="3" t="str">
        <f t="shared" si="4"/>
        <v>0</v>
      </c>
      <c r="M31" s="3" t="str">
        <f t="shared" si="5"/>
        <v>0</v>
      </c>
      <c r="N31" s="3" t="str">
        <f t="shared" si="6"/>
        <v>0</v>
      </c>
      <c r="O31" s="3">
        <f t="shared" si="7"/>
        <v>303.59440000000001</v>
      </c>
      <c r="P31" s="3" t="str">
        <f t="shared" si="8"/>
        <v>0</v>
      </c>
      <c r="Q31" s="3">
        <f t="shared" si="9"/>
        <v>267.163072</v>
      </c>
      <c r="R31" s="3" t="str">
        <f t="shared" si="10"/>
        <v>0</v>
      </c>
      <c r="S31" s="3">
        <f t="shared" si="11"/>
        <v>1062.5804000000001</v>
      </c>
      <c r="T31" s="3" t="str">
        <f t="shared" si="12"/>
        <v>0</v>
      </c>
      <c r="U31" s="3"/>
      <c r="V31" s="3"/>
      <c r="W31" s="3"/>
      <c r="X31" s="3"/>
      <c r="Y31" s="3"/>
      <c r="Z31" s="3"/>
    </row>
    <row r="32" spans="1:26" x14ac:dyDescent="0.25">
      <c r="A32" s="175">
        <v>46183</v>
      </c>
      <c r="B32" s="3" t="s">
        <v>209</v>
      </c>
      <c r="C32" s="169" t="s">
        <v>266</v>
      </c>
      <c r="D32" s="170">
        <v>2</v>
      </c>
      <c r="E32" s="173">
        <v>0.995</v>
      </c>
      <c r="F32" s="174">
        <f>+D32*E32</f>
        <v>1.99</v>
      </c>
      <c r="G32" s="6">
        <f>+H32/D32</f>
        <v>0</v>
      </c>
      <c r="H32" s="7"/>
      <c r="I32" s="158" t="str">
        <f t="shared" si="1"/>
        <v>0</v>
      </c>
      <c r="J32" s="3" t="str">
        <f t="shared" si="2"/>
        <v>0</v>
      </c>
      <c r="K32" s="3" t="str">
        <f t="shared" si="3"/>
        <v>0</v>
      </c>
      <c r="L32" s="3" t="str">
        <f t="shared" si="4"/>
        <v>0</v>
      </c>
      <c r="M32" s="3" t="str">
        <f t="shared" si="5"/>
        <v>0</v>
      </c>
      <c r="N32" s="3" t="str">
        <f t="shared" si="6"/>
        <v>0</v>
      </c>
      <c r="O32" s="3" t="str">
        <f t="shared" si="7"/>
        <v>0</v>
      </c>
      <c r="P32" s="3">
        <f t="shared" si="8"/>
        <v>2</v>
      </c>
      <c r="Q32" s="3" t="str">
        <f t="shared" si="9"/>
        <v>0</v>
      </c>
      <c r="R32" s="3">
        <f t="shared" si="10"/>
        <v>1.99</v>
      </c>
      <c r="S32" s="3" t="str">
        <f t="shared" si="11"/>
        <v>0</v>
      </c>
      <c r="T32" s="3">
        <f t="shared" si="12"/>
        <v>0</v>
      </c>
      <c r="U32" s="3"/>
      <c r="V32" s="3"/>
      <c r="W32" s="3"/>
      <c r="X32" s="3"/>
      <c r="Y32" s="3"/>
      <c r="Z32" s="3"/>
    </row>
    <row r="33" spans="1:26" x14ac:dyDescent="0.25">
      <c r="A33" s="175">
        <v>46183</v>
      </c>
      <c r="B33" s="3" t="s">
        <v>211</v>
      </c>
      <c r="C33" s="169" t="s">
        <v>266</v>
      </c>
      <c r="D33" s="4"/>
      <c r="E33" s="5"/>
      <c r="F33" s="6">
        <f>+D33*E33</f>
        <v>0</v>
      </c>
      <c r="G33" s="6" t="e">
        <f>+H33/D33</f>
        <v>#DIV/0!</v>
      </c>
      <c r="H33" s="7"/>
      <c r="I33" s="3" t="str">
        <f t="shared" si="1"/>
        <v>0</v>
      </c>
      <c r="J33" s="3" t="str">
        <f t="shared" si="2"/>
        <v>0</v>
      </c>
      <c r="K33" s="3" t="str">
        <f t="shared" si="3"/>
        <v>0</v>
      </c>
      <c r="L33" s="3" t="str">
        <f t="shared" si="4"/>
        <v>0</v>
      </c>
      <c r="M33" s="3" t="str">
        <f t="shared" si="5"/>
        <v>0</v>
      </c>
      <c r="N33" s="3" t="str">
        <f t="shared" si="6"/>
        <v>0</v>
      </c>
      <c r="O33" s="3" t="str">
        <f t="shared" si="7"/>
        <v>0</v>
      </c>
      <c r="P33" s="3" t="str">
        <f t="shared" si="8"/>
        <v>0</v>
      </c>
      <c r="Q33" s="3" t="str">
        <f t="shared" si="9"/>
        <v>0</v>
      </c>
      <c r="R33" s="3" t="str">
        <f t="shared" si="10"/>
        <v>0</v>
      </c>
      <c r="S33" s="3" t="str">
        <f t="shared" si="11"/>
        <v>0</v>
      </c>
      <c r="T33" s="3" t="str">
        <f t="shared" si="12"/>
        <v>0</v>
      </c>
      <c r="U33" s="3"/>
      <c r="V33" s="3"/>
      <c r="W33" s="3">
        <v>1470</v>
      </c>
      <c r="X33" s="3"/>
      <c r="Y33" s="3"/>
      <c r="Z33" s="3"/>
    </row>
    <row r="34" spans="1:26" x14ac:dyDescent="0.25">
      <c r="A34" s="175">
        <v>46183</v>
      </c>
      <c r="B34" s="3" t="s">
        <v>171</v>
      </c>
      <c r="C34" s="169" t="s">
        <v>268</v>
      </c>
      <c r="D34" s="4"/>
      <c r="E34" s="5"/>
      <c r="F34" s="6">
        <f>+D34*E34</f>
        <v>0</v>
      </c>
      <c r="G34" s="6" t="e">
        <f>+H34/D34</f>
        <v>#DIV/0!</v>
      </c>
      <c r="H34" s="7"/>
      <c r="I34" s="3" t="str">
        <f t="shared" si="1"/>
        <v>0</v>
      </c>
      <c r="J34" s="3" t="str">
        <f t="shared" si="2"/>
        <v>0</v>
      </c>
      <c r="K34" s="3" t="str">
        <f t="shared" si="3"/>
        <v>0</v>
      </c>
      <c r="L34" s="3" t="str">
        <f t="shared" si="4"/>
        <v>0</v>
      </c>
      <c r="M34" s="3" t="str">
        <f t="shared" si="5"/>
        <v>0</v>
      </c>
      <c r="N34" s="3" t="str">
        <f t="shared" si="6"/>
        <v>0</v>
      </c>
      <c r="O34" s="3" t="str">
        <f t="shared" si="7"/>
        <v>0</v>
      </c>
      <c r="P34" s="3" t="str">
        <f t="shared" si="8"/>
        <v>0</v>
      </c>
      <c r="Q34" s="3" t="str">
        <f t="shared" si="9"/>
        <v>0</v>
      </c>
      <c r="R34" s="3" t="str">
        <f t="shared" si="10"/>
        <v>0</v>
      </c>
      <c r="S34" s="3" t="str">
        <f t="shared" si="11"/>
        <v>0</v>
      </c>
      <c r="T34" s="3" t="str">
        <f t="shared" si="12"/>
        <v>0</v>
      </c>
      <c r="U34" s="3">
        <v>862</v>
      </c>
      <c r="V34" s="3"/>
      <c r="W34" s="3"/>
      <c r="X34" s="3"/>
      <c r="Y34" s="3"/>
      <c r="Z34" s="3"/>
    </row>
    <row r="35" spans="1:26" x14ac:dyDescent="0.25">
      <c r="A35" s="175">
        <v>46184</v>
      </c>
      <c r="B35" s="3" t="s">
        <v>169</v>
      </c>
      <c r="C35" s="169" t="s">
        <v>268</v>
      </c>
      <c r="D35" s="170">
        <v>489.45641999999998</v>
      </c>
      <c r="E35" s="171">
        <v>0.88</v>
      </c>
      <c r="F35" s="172">
        <f>+D35*E35</f>
        <v>430.72164959999998</v>
      </c>
      <c r="G35" s="172">
        <f>+H35/D35</f>
        <v>2.3563282712687679</v>
      </c>
      <c r="H35" s="176">
        <f>288.33*4</f>
        <v>1153.32</v>
      </c>
      <c r="I35" s="158">
        <f t="shared" si="1"/>
        <v>489.45641999999998</v>
      </c>
      <c r="J35" s="3" t="str">
        <f t="shared" si="2"/>
        <v>0</v>
      </c>
      <c r="K35" s="3">
        <f t="shared" si="3"/>
        <v>430.72164959999998</v>
      </c>
      <c r="L35" s="3" t="str">
        <f t="shared" si="4"/>
        <v>0</v>
      </c>
      <c r="M35" s="3">
        <f t="shared" si="5"/>
        <v>1153.32</v>
      </c>
      <c r="N35" s="3" t="str">
        <f t="shared" si="6"/>
        <v>0</v>
      </c>
      <c r="O35" s="3" t="str">
        <f t="shared" si="7"/>
        <v>0</v>
      </c>
      <c r="P35" s="3" t="str">
        <f t="shared" si="8"/>
        <v>0</v>
      </c>
      <c r="Q35" s="3" t="str">
        <f t="shared" si="9"/>
        <v>0</v>
      </c>
      <c r="R35" s="3" t="str">
        <f t="shared" si="10"/>
        <v>0</v>
      </c>
      <c r="S35" s="3" t="str">
        <f t="shared" si="11"/>
        <v>0</v>
      </c>
      <c r="T35" s="3" t="str">
        <f t="shared" si="12"/>
        <v>0</v>
      </c>
      <c r="U35" s="3"/>
      <c r="V35" s="3"/>
      <c r="W35" s="3"/>
      <c r="X35" s="3"/>
      <c r="Y35" s="3"/>
      <c r="Z35" s="3"/>
    </row>
    <row r="36" spans="1:26" x14ac:dyDescent="0.25">
      <c r="A36" s="175">
        <v>46184</v>
      </c>
      <c r="B36" s="3" t="s">
        <v>170</v>
      </c>
      <c r="C36" s="169" t="s">
        <v>272</v>
      </c>
      <c r="D36" s="170">
        <v>350.7</v>
      </c>
      <c r="E36" s="173">
        <v>0.995</v>
      </c>
      <c r="F36" s="174">
        <f>D36*E36</f>
        <v>348.94650000000001</v>
      </c>
      <c r="G36" s="6"/>
      <c r="H36" s="176"/>
      <c r="I36" s="158" t="str">
        <f t="shared" si="1"/>
        <v>0</v>
      </c>
      <c r="J36" s="3" t="str">
        <f t="shared" si="2"/>
        <v>0</v>
      </c>
      <c r="K36" s="3" t="str">
        <f t="shared" si="3"/>
        <v>0</v>
      </c>
      <c r="L36" s="3" t="str">
        <f t="shared" si="4"/>
        <v>0</v>
      </c>
      <c r="M36" s="3" t="str">
        <f t="shared" si="5"/>
        <v>0</v>
      </c>
      <c r="N36" s="3" t="str">
        <f t="shared" si="6"/>
        <v>0</v>
      </c>
      <c r="O36" s="3">
        <f t="shared" si="7"/>
        <v>350.7</v>
      </c>
      <c r="P36" s="3" t="str">
        <f t="shared" si="8"/>
        <v>0</v>
      </c>
      <c r="Q36" s="3">
        <f t="shared" si="9"/>
        <v>348.94650000000001</v>
      </c>
      <c r="R36" s="3" t="str">
        <f t="shared" si="10"/>
        <v>0</v>
      </c>
      <c r="S36" s="3">
        <f t="shared" si="11"/>
        <v>0</v>
      </c>
      <c r="T36" s="3" t="str">
        <f t="shared" si="12"/>
        <v>0</v>
      </c>
      <c r="U36" s="3"/>
      <c r="V36" s="3"/>
      <c r="W36" s="3"/>
      <c r="X36" s="3"/>
      <c r="Y36" s="3"/>
      <c r="Z36" s="3"/>
    </row>
    <row r="37" spans="1:26" x14ac:dyDescent="0.25">
      <c r="A37" s="175">
        <v>46184</v>
      </c>
      <c r="B37" s="3" t="s">
        <v>170</v>
      </c>
      <c r="C37" s="169" t="s">
        <v>268</v>
      </c>
      <c r="D37" s="170">
        <v>255</v>
      </c>
      <c r="E37" s="173">
        <v>0.995</v>
      </c>
      <c r="F37" s="174">
        <f>D37*E37</f>
        <v>253.72499999999999</v>
      </c>
      <c r="G37" s="6"/>
      <c r="H37" s="176"/>
      <c r="I37" s="158" t="str">
        <f t="shared" si="1"/>
        <v>0</v>
      </c>
      <c r="J37" s="3" t="str">
        <f t="shared" si="2"/>
        <v>0</v>
      </c>
      <c r="K37" s="3" t="str">
        <f t="shared" si="3"/>
        <v>0</v>
      </c>
      <c r="L37" s="3" t="str">
        <f t="shared" si="4"/>
        <v>0</v>
      </c>
      <c r="M37" s="3" t="str">
        <f t="shared" si="5"/>
        <v>0</v>
      </c>
      <c r="N37" s="3" t="str">
        <f t="shared" si="6"/>
        <v>0</v>
      </c>
      <c r="O37" s="3">
        <f t="shared" si="7"/>
        <v>255</v>
      </c>
      <c r="P37" s="3" t="str">
        <f t="shared" si="8"/>
        <v>0</v>
      </c>
      <c r="Q37" s="3">
        <f t="shared" si="9"/>
        <v>253.72499999999999</v>
      </c>
      <c r="R37" s="3" t="str">
        <f t="shared" si="10"/>
        <v>0</v>
      </c>
      <c r="S37" s="3">
        <f t="shared" si="11"/>
        <v>0</v>
      </c>
      <c r="T37" s="3" t="str">
        <f t="shared" si="12"/>
        <v>0</v>
      </c>
      <c r="U37" s="3"/>
      <c r="V37" s="3"/>
      <c r="W37" s="3"/>
      <c r="X37" s="3"/>
      <c r="Y37" s="3"/>
      <c r="Z37" s="3"/>
    </row>
    <row r="38" spans="1:26" x14ac:dyDescent="0.25">
      <c r="A38" s="175">
        <v>46184</v>
      </c>
      <c r="B38" s="3" t="s">
        <v>170</v>
      </c>
      <c r="C38" s="169" t="s">
        <v>256</v>
      </c>
      <c r="D38" s="170">
        <v>363.49658399999998</v>
      </c>
      <c r="E38" s="173">
        <v>0.88</v>
      </c>
      <c r="F38" s="174">
        <f>D38*E38</f>
        <v>319.87699391999996</v>
      </c>
      <c r="G38" s="172">
        <f>H38/D38</f>
        <v>6.0449123780486476</v>
      </c>
      <c r="H38" s="176">
        <f>799.02*2.75</f>
        <v>2197.3049999999998</v>
      </c>
      <c r="I38" s="158" t="str">
        <f t="shared" si="1"/>
        <v>0</v>
      </c>
      <c r="J38" s="3" t="str">
        <f t="shared" si="2"/>
        <v>0</v>
      </c>
      <c r="K38" s="3" t="str">
        <f t="shared" si="3"/>
        <v>0</v>
      </c>
      <c r="L38" s="3" t="str">
        <f t="shared" si="4"/>
        <v>0</v>
      </c>
      <c r="M38" s="3" t="str">
        <f t="shared" si="5"/>
        <v>0</v>
      </c>
      <c r="N38" s="3" t="str">
        <f t="shared" si="6"/>
        <v>0</v>
      </c>
      <c r="O38" s="3">
        <f t="shared" si="7"/>
        <v>363.49658399999998</v>
      </c>
      <c r="P38" s="3" t="str">
        <f t="shared" si="8"/>
        <v>0</v>
      </c>
      <c r="Q38" s="3">
        <f t="shared" si="9"/>
        <v>319.87699391999996</v>
      </c>
      <c r="R38" s="3" t="str">
        <f t="shared" si="10"/>
        <v>0</v>
      </c>
      <c r="S38" s="3">
        <f t="shared" si="11"/>
        <v>2197.3049999999998</v>
      </c>
      <c r="T38" s="3" t="str">
        <f t="shared" si="12"/>
        <v>0</v>
      </c>
      <c r="U38" s="3"/>
      <c r="V38" s="3"/>
      <c r="W38" s="3"/>
      <c r="X38" s="3"/>
      <c r="Y38" s="3"/>
      <c r="Z38" s="3"/>
    </row>
    <row r="39" spans="1:26" x14ac:dyDescent="0.25">
      <c r="A39" s="175">
        <v>46184</v>
      </c>
      <c r="B39" s="3" t="s">
        <v>209</v>
      </c>
      <c r="C39" s="169" t="s">
        <v>267</v>
      </c>
      <c r="D39" s="170">
        <v>54</v>
      </c>
      <c r="E39" s="173">
        <v>0.995</v>
      </c>
      <c r="F39" s="174">
        <f>+D39*E39</f>
        <v>53.73</v>
      </c>
      <c r="G39" s="6">
        <f t="shared" ref="G39:G44" si="16">+H39/D39</f>
        <v>0</v>
      </c>
      <c r="H39" s="7"/>
      <c r="I39" s="158" t="str">
        <f t="shared" si="1"/>
        <v>0</v>
      </c>
      <c r="J39" s="3" t="str">
        <f t="shared" si="2"/>
        <v>0</v>
      </c>
      <c r="K39" s="3" t="str">
        <f t="shared" si="3"/>
        <v>0</v>
      </c>
      <c r="L39" s="3" t="str">
        <f t="shared" si="4"/>
        <v>0</v>
      </c>
      <c r="M39" s="3" t="str">
        <f t="shared" si="5"/>
        <v>0</v>
      </c>
      <c r="N39" s="3" t="str">
        <f t="shared" si="6"/>
        <v>0</v>
      </c>
      <c r="O39" s="3" t="str">
        <f t="shared" si="7"/>
        <v>0</v>
      </c>
      <c r="P39" s="3">
        <f t="shared" si="8"/>
        <v>54</v>
      </c>
      <c r="Q39" s="3" t="str">
        <f t="shared" si="9"/>
        <v>0</v>
      </c>
      <c r="R39" s="3">
        <f t="shared" si="10"/>
        <v>53.73</v>
      </c>
      <c r="S39" s="3" t="str">
        <f t="shared" si="11"/>
        <v>0</v>
      </c>
      <c r="T39" s="3">
        <f t="shared" si="12"/>
        <v>0</v>
      </c>
      <c r="U39" s="3"/>
      <c r="V39" s="3"/>
      <c r="W39" s="3"/>
      <c r="X39" s="3"/>
      <c r="Y39" s="3"/>
      <c r="Z39" s="3"/>
    </row>
    <row r="40" spans="1:26" x14ac:dyDescent="0.25">
      <c r="A40" s="175">
        <v>46184</v>
      </c>
      <c r="B40" s="3" t="s">
        <v>171</v>
      </c>
      <c r="C40" s="169" t="s">
        <v>268</v>
      </c>
      <c r="D40" s="4"/>
      <c r="E40" s="5"/>
      <c r="F40" s="6">
        <f>+D40*E40</f>
        <v>0</v>
      </c>
      <c r="G40" s="6" t="e">
        <f t="shared" si="16"/>
        <v>#DIV/0!</v>
      </c>
      <c r="H40" s="7"/>
      <c r="I40" s="3" t="str">
        <f t="shared" si="1"/>
        <v>0</v>
      </c>
      <c r="J40" s="3" t="str">
        <f t="shared" si="2"/>
        <v>0</v>
      </c>
      <c r="K40" s="3" t="str">
        <f t="shared" si="3"/>
        <v>0</v>
      </c>
      <c r="L40" s="3" t="str">
        <f t="shared" si="4"/>
        <v>0</v>
      </c>
      <c r="M40" s="3" t="str">
        <f t="shared" si="5"/>
        <v>0</v>
      </c>
      <c r="N40" s="3" t="str">
        <f t="shared" si="6"/>
        <v>0</v>
      </c>
      <c r="O40" s="3" t="str">
        <f t="shared" si="7"/>
        <v>0</v>
      </c>
      <c r="P40" s="3" t="str">
        <f t="shared" si="8"/>
        <v>0</v>
      </c>
      <c r="Q40" s="3" t="str">
        <f t="shared" si="9"/>
        <v>0</v>
      </c>
      <c r="R40" s="3" t="str">
        <f t="shared" si="10"/>
        <v>0</v>
      </c>
      <c r="S40" s="3" t="str">
        <f t="shared" si="11"/>
        <v>0</v>
      </c>
      <c r="T40" s="3" t="str">
        <f t="shared" si="12"/>
        <v>0</v>
      </c>
      <c r="U40" s="3">
        <v>1153</v>
      </c>
      <c r="V40" s="3"/>
      <c r="W40" s="3"/>
      <c r="X40" s="3"/>
      <c r="Y40" s="3"/>
      <c r="Z40" s="3"/>
    </row>
    <row r="41" spans="1:26" x14ac:dyDescent="0.25">
      <c r="A41" s="175">
        <v>46184</v>
      </c>
      <c r="B41" s="3" t="s">
        <v>211</v>
      </c>
      <c r="C41" s="169" t="s">
        <v>267</v>
      </c>
      <c r="D41" s="4"/>
      <c r="E41" s="5"/>
      <c r="F41" s="6">
        <f>+D41*E41</f>
        <v>0</v>
      </c>
      <c r="G41" s="6" t="e">
        <f t="shared" si="16"/>
        <v>#DIV/0!</v>
      </c>
      <c r="H41" s="7"/>
      <c r="I41" s="3" t="str">
        <f t="shared" si="1"/>
        <v>0</v>
      </c>
      <c r="J41" s="3" t="str">
        <f t="shared" si="2"/>
        <v>0</v>
      </c>
      <c r="K41" s="3" t="str">
        <f t="shared" si="3"/>
        <v>0</v>
      </c>
      <c r="L41" s="3" t="str">
        <f t="shared" si="4"/>
        <v>0</v>
      </c>
      <c r="M41" s="3" t="str">
        <f t="shared" si="5"/>
        <v>0</v>
      </c>
      <c r="N41" s="3" t="str">
        <f t="shared" si="6"/>
        <v>0</v>
      </c>
      <c r="O41" s="3" t="str">
        <f t="shared" si="7"/>
        <v>0</v>
      </c>
      <c r="P41" s="3" t="str">
        <f t="shared" si="8"/>
        <v>0</v>
      </c>
      <c r="Q41" s="3" t="str">
        <f t="shared" si="9"/>
        <v>0</v>
      </c>
      <c r="R41" s="3" t="str">
        <f t="shared" si="10"/>
        <v>0</v>
      </c>
      <c r="S41" s="3" t="str">
        <f t="shared" si="11"/>
        <v>0</v>
      </c>
      <c r="T41" s="3" t="str">
        <f t="shared" si="12"/>
        <v>0</v>
      </c>
      <c r="U41" s="3"/>
      <c r="V41" s="3"/>
      <c r="W41" s="3">
        <v>2197</v>
      </c>
      <c r="X41" s="3"/>
      <c r="Y41" s="3"/>
      <c r="Z41" s="3"/>
    </row>
    <row r="42" spans="1:26" x14ac:dyDescent="0.25">
      <c r="A42" s="175">
        <v>46185</v>
      </c>
      <c r="B42" s="3" t="s">
        <v>170</v>
      </c>
      <c r="C42" s="3" t="s">
        <v>261</v>
      </c>
      <c r="D42" s="170">
        <v>265</v>
      </c>
      <c r="E42" s="173">
        <v>0.995</v>
      </c>
      <c r="F42" s="174">
        <f>D42*E42</f>
        <v>263.67500000000001</v>
      </c>
      <c r="G42" s="6">
        <f t="shared" si="16"/>
        <v>0</v>
      </c>
      <c r="H42" s="7"/>
      <c r="I42" s="3" t="str">
        <f t="shared" si="1"/>
        <v>0</v>
      </c>
      <c r="J42" s="3" t="str">
        <f t="shared" si="2"/>
        <v>0</v>
      </c>
      <c r="K42" s="3" t="str">
        <f t="shared" si="3"/>
        <v>0</v>
      </c>
      <c r="L42" s="3" t="str">
        <f t="shared" si="4"/>
        <v>0</v>
      </c>
      <c r="M42" s="3" t="str">
        <f t="shared" si="5"/>
        <v>0</v>
      </c>
      <c r="N42" s="3" t="str">
        <f t="shared" si="6"/>
        <v>0</v>
      </c>
      <c r="O42" s="3">
        <f t="shared" si="7"/>
        <v>265</v>
      </c>
      <c r="P42" s="3" t="str">
        <f t="shared" si="8"/>
        <v>0</v>
      </c>
      <c r="Q42" s="3">
        <f t="shared" si="9"/>
        <v>263.67500000000001</v>
      </c>
      <c r="R42" s="3" t="str">
        <f t="shared" si="10"/>
        <v>0</v>
      </c>
      <c r="S42" s="3">
        <f t="shared" si="11"/>
        <v>0</v>
      </c>
      <c r="T42" s="3" t="str">
        <f t="shared" si="12"/>
        <v>0</v>
      </c>
      <c r="U42" s="3"/>
      <c r="V42" s="3"/>
      <c r="W42" s="3"/>
      <c r="X42" s="3"/>
      <c r="Y42" s="3"/>
      <c r="Z42" s="3"/>
    </row>
    <row r="43" spans="1:26" x14ac:dyDescent="0.25">
      <c r="A43" s="175">
        <v>46185</v>
      </c>
      <c r="B43" s="3" t="s">
        <v>170</v>
      </c>
      <c r="C43" s="169" t="s">
        <v>257</v>
      </c>
      <c r="D43" s="170">
        <v>700.28062719999991</v>
      </c>
      <c r="E43" s="173">
        <v>0.995</v>
      </c>
      <c r="F43" s="174">
        <f>D43*E43</f>
        <v>696.77922406399989</v>
      </c>
      <c r="G43" s="6">
        <f t="shared" si="16"/>
        <v>0</v>
      </c>
      <c r="H43" s="7"/>
      <c r="I43" s="3" t="str">
        <f t="shared" si="1"/>
        <v>0</v>
      </c>
      <c r="J43" s="3" t="str">
        <f t="shared" si="2"/>
        <v>0</v>
      </c>
      <c r="K43" s="3" t="str">
        <f t="shared" si="3"/>
        <v>0</v>
      </c>
      <c r="L43" s="3" t="str">
        <f t="shared" si="4"/>
        <v>0</v>
      </c>
      <c r="M43" s="3" t="str">
        <f t="shared" si="5"/>
        <v>0</v>
      </c>
      <c r="N43" s="3" t="str">
        <f t="shared" si="6"/>
        <v>0</v>
      </c>
      <c r="O43" s="3">
        <f t="shared" si="7"/>
        <v>700.28062719999991</v>
      </c>
      <c r="P43" s="3" t="str">
        <f t="shared" si="8"/>
        <v>0</v>
      </c>
      <c r="Q43" s="3">
        <f t="shared" si="9"/>
        <v>696.77922406399989</v>
      </c>
      <c r="R43" s="3" t="str">
        <f t="shared" si="10"/>
        <v>0</v>
      </c>
      <c r="S43" s="3">
        <f t="shared" si="11"/>
        <v>0</v>
      </c>
      <c r="T43" s="3" t="str">
        <f t="shared" si="12"/>
        <v>0</v>
      </c>
      <c r="U43" s="3"/>
      <c r="V43" s="3"/>
      <c r="W43" s="3"/>
      <c r="X43" s="3"/>
      <c r="Y43" s="3"/>
      <c r="Z43" s="3"/>
    </row>
    <row r="44" spans="1:26" x14ac:dyDescent="0.25">
      <c r="A44" s="175">
        <v>46186</v>
      </c>
      <c r="B44" s="3" t="s">
        <v>169</v>
      </c>
      <c r="C44" s="169" t="s">
        <v>259</v>
      </c>
      <c r="D44" s="170">
        <v>565</v>
      </c>
      <c r="E44" s="171">
        <v>0.88</v>
      </c>
      <c r="F44" s="172">
        <f>+D44*E44</f>
        <v>497.2</v>
      </c>
      <c r="G44" s="172">
        <f t="shared" si="16"/>
        <v>5.1323893805309737</v>
      </c>
      <c r="H44" s="176">
        <f>483.3*6</f>
        <v>2899.8</v>
      </c>
      <c r="I44" s="158">
        <f t="shared" si="1"/>
        <v>565</v>
      </c>
      <c r="J44" s="3" t="str">
        <f t="shared" si="2"/>
        <v>0</v>
      </c>
      <c r="K44" s="3">
        <f t="shared" si="3"/>
        <v>497.2</v>
      </c>
      <c r="L44" s="3" t="str">
        <f t="shared" si="4"/>
        <v>0</v>
      </c>
      <c r="M44" s="3">
        <f t="shared" si="5"/>
        <v>2899.8</v>
      </c>
      <c r="N44" s="3" t="str">
        <f t="shared" si="6"/>
        <v>0</v>
      </c>
      <c r="O44" s="3" t="str">
        <f t="shared" si="7"/>
        <v>0</v>
      </c>
      <c r="P44" s="3" t="str">
        <f t="shared" si="8"/>
        <v>0</v>
      </c>
      <c r="Q44" s="3" t="str">
        <f t="shared" si="9"/>
        <v>0</v>
      </c>
      <c r="R44" s="3" t="str">
        <f t="shared" si="10"/>
        <v>0</v>
      </c>
      <c r="S44" s="3" t="str">
        <f t="shared" si="11"/>
        <v>0</v>
      </c>
      <c r="T44" s="3" t="str">
        <f t="shared" si="12"/>
        <v>0</v>
      </c>
      <c r="U44" s="3"/>
      <c r="V44" s="3"/>
      <c r="W44" s="3"/>
      <c r="X44" s="3"/>
      <c r="Y44" s="3"/>
      <c r="Z44" s="3"/>
    </row>
    <row r="45" spans="1:26" x14ac:dyDescent="0.25">
      <c r="A45" s="175">
        <v>46186</v>
      </c>
      <c r="B45" s="3" t="s">
        <v>170</v>
      </c>
      <c r="C45" s="169" t="s">
        <v>259</v>
      </c>
      <c r="D45" s="170">
        <v>156</v>
      </c>
      <c r="E45" s="173">
        <v>0.995</v>
      </c>
      <c r="F45" s="174">
        <f>D45*E45</f>
        <v>155.22</v>
      </c>
      <c r="G45" s="6"/>
      <c r="H45" s="176"/>
      <c r="I45" s="158" t="str">
        <f t="shared" si="1"/>
        <v>0</v>
      </c>
      <c r="J45" s="3" t="str">
        <f t="shared" si="2"/>
        <v>0</v>
      </c>
      <c r="K45" s="3" t="str">
        <f t="shared" si="3"/>
        <v>0</v>
      </c>
      <c r="L45" s="3" t="str">
        <f t="shared" si="4"/>
        <v>0</v>
      </c>
      <c r="M45" s="3" t="str">
        <f t="shared" si="5"/>
        <v>0</v>
      </c>
      <c r="N45" s="3" t="str">
        <f t="shared" si="6"/>
        <v>0</v>
      </c>
      <c r="O45" s="3">
        <f t="shared" si="7"/>
        <v>156</v>
      </c>
      <c r="P45" s="3" t="str">
        <f t="shared" si="8"/>
        <v>0</v>
      </c>
      <c r="Q45" s="3">
        <f t="shared" si="9"/>
        <v>155.22</v>
      </c>
      <c r="R45" s="3" t="str">
        <f t="shared" si="10"/>
        <v>0</v>
      </c>
      <c r="S45" s="3">
        <f t="shared" si="11"/>
        <v>0</v>
      </c>
      <c r="T45" s="3" t="str">
        <f t="shared" si="12"/>
        <v>0</v>
      </c>
      <c r="U45" s="3"/>
      <c r="V45" s="3"/>
      <c r="W45" s="3"/>
      <c r="X45" s="3"/>
      <c r="Y45" s="3"/>
      <c r="Z45" s="3"/>
    </row>
    <row r="46" spans="1:26" x14ac:dyDescent="0.25">
      <c r="A46" s="175">
        <v>46186</v>
      </c>
      <c r="B46" s="3" t="s">
        <v>170</v>
      </c>
      <c r="C46" s="169" t="s">
        <v>256</v>
      </c>
      <c r="D46" s="170">
        <v>959.30690030999995</v>
      </c>
      <c r="E46" s="173">
        <v>0.88</v>
      </c>
      <c r="F46" s="174">
        <f>D46*E46</f>
        <v>844.19007227279997</v>
      </c>
      <c r="G46" s="172">
        <f>H46/D46</f>
        <v>2.9457726188426356</v>
      </c>
      <c r="H46" s="176">
        <f>1027.6*2.75</f>
        <v>2825.8999999999996</v>
      </c>
      <c r="I46" s="158" t="str">
        <f t="shared" si="1"/>
        <v>0</v>
      </c>
      <c r="J46" s="3" t="str">
        <f t="shared" si="2"/>
        <v>0</v>
      </c>
      <c r="K46" s="3" t="str">
        <f t="shared" si="3"/>
        <v>0</v>
      </c>
      <c r="L46" s="3" t="str">
        <f t="shared" si="4"/>
        <v>0</v>
      </c>
      <c r="M46" s="3" t="str">
        <f t="shared" si="5"/>
        <v>0</v>
      </c>
      <c r="N46" s="3" t="str">
        <f t="shared" si="6"/>
        <v>0</v>
      </c>
      <c r="O46" s="3">
        <f t="shared" si="7"/>
        <v>959.30690030999995</v>
      </c>
      <c r="P46" s="3" t="str">
        <f t="shared" si="8"/>
        <v>0</v>
      </c>
      <c r="Q46" s="3">
        <f t="shared" si="9"/>
        <v>844.19007227279997</v>
      </c>
      <c r="R46" s="3" t="str">
        <f t="shared" si="10"/>
        <v>0</v>
      </c>
      <c r="S46" s="3">
        <f t="shared" si="11"/>
        <v>2825.8999999999996</v>
      </c>
      <c r="T46" s="3" t="str">
        <f t="shared" si="12"/>
        <v>0</v>
      </c>
      <c r="U46" s="3"/>
      <c r="V46" s="3"/>
      <c r="W46" s="3"/>
      <c r="X46" s="3"/>
      <c r="Y46" s="3"/>
      <c r="Z46" s="3"/>
    </row>
    <row r="47" spans="1:26" x14ac:dyDescent="0.25">
      <c r="A47" s="175">
        <v>46186</v>
      </c>
      <c r="B47" s="3" t="s">
        <v>209</v>
      </c>
      <c r="C47" s="169" t="s">
        <v>267</v>
      </c>
      <c r="D47" s="170">
        <v>54</v>
      </c>
      <c r="E47" s="173">
        <v>0.995</v>
      </c>
      <c r="F47" s="174">
        <f>+D47*E47</f>
        <v>53.73</v>
      </c>
      <c r="G47" s="6">
        <f t="shared" ref="G47:G63" si="17">+H47/D47</f>
        <v>0</v>
      </c>
      <c r="H47" s="7"/>
      <c r="I47" s="158" t="str">
        <f t="shared" si="1"/>
        <v>0</v>
      </c>
      <c r="J47" s="3" t="str">
        <f t="shared" si="2"/>
        <v>0</v>
      </c>
      <c r="K47" s="3" t="str">
        <f t="shared" si="3"/>
        <v>0</v>
      </c>
      <c r="L47" s="3" t="str">
        <f t="shared" si="4"/>
        <v>0</v>
      </c>
      <c r="M47" s="3" t="str">
        <f t="shared" si="5"/>
        <v>0</v>
      </c>
      <c r="N47" s="3" t="str">
        <f t="shared" si="6"/>
        <v>0</v>
      </c>
      <c r="O47" s="3" t="str">
        <f t="shared" si="7"/>
        <v>0</v>
      </c>
      <c r="P47" s="3">
        <f t="shared" si="8"/>
        <v>54</v>
      </c>
      <c r="Q47" s="3" t="str">
        <f t="shared" si="9"/>
        <v>0</v>
      </c>
      <c r="R47" s="3">
        <f t="shared" si="10"/>
        <v>53.73</v>
      </c>
      <c r="S47" s="3" t="str">
        <f t="shared" si="11"/>
        <v>0</v>
      </c>
      <c r="T47" s="3">
        <f t="shared" si="12"/>
        <v>0</v>
      </c>
      <c r="U47" s="3"/>
      <c r="V47" s="3"/>
      <c r="W47" s="3"/>
      <c r="X47" s="3"/>
      <c r="Y47" s="3"/>
      <c r="Z47" s="3"/>
    </row>
    <row r="48" spans="1:26" x14ac:dyDescent="0.25">
      <c r="A48" s="175">
        <v>46186</v>
      </c>
      <c r="B48" s="3" t="s">
        <v>211</v>
      </c>
      <c r="C48" s="169" t="s">
        <v>267</v>
      </c>
      <c r="D48" s="4"/>
      <c r="E48" s="5"/>
      <c r="F48" s="6">
        <f>+D48*E48</f>
        <v>0</v>
      </c>
      <c r="G48" s="6" t="e">
        <f t="shared" si="17"/>
        <v>#DIV/0!</v>
      </c>
      <c r="H48" s="7"/>
      <c r="I48" s="3" t="str">
        <f t="shared" si="1"/>
        <v>0</v>
      </c>
      <c r="J48" s="3" t="str">
        <f t="shared" si="2"/>
        <v>0</v>
      </c>
      <c r="K48" s="3" t="str">
        <f t="shared" si="3"/>
        <v>0</v>
      </c>
      <c r="L48" s="3" t="str">
        <f t="shared" si="4"/>
        <v>0</v>
      </c>
      <c r="M48" s="3" t="str">
        <f t="shared" si="5"/>
        <v>0</v>
      </c>
      <c r="N48" s="3" t="str">
        <f t="shared" si="6"/>
        <v>0</v>
      </c>
      <c r="O48" s="3" t="str">
        <f t="shared" si="7"/>
        <v>0</v>
      </c>
      <c r="P48" s="3" t="str">
        <f t="shared" si="8"/>
        <v>0</v>
      </c>
      <c r="Q48" s="3" t="str">
        <f t="shared" si="9"/>
        <v>0</v>
      </c>
      <c r="R48" s="3" t="str">
        <f t="shared" si="10"/>
        <v>0</v>
      </c>
      <c r="S48" s="3" t="str">
        <f t="shared" si="11"/>
        <v>0</v>
      </c>
      <c r="T48" s="3" t="str">
        <f t="shared" si="12"/>
        <v>0</v>
      </c>
      <c r="U48" s="3"/>
      <c r="V48" s="3"/>
      <c r="W48" s="3">
        <v>2825</v>
      </c>
      <c r="X48" s="3"/>
      <c r="Y48" s="3"/>
      <c r="Z48" s="3"/>
    </row>
    <row r="49" spans="1:26" x14ac:dyDescent="0.25">
      <c r="A49" s="175">
        <v>46186</v>
      </c>
      <c r="B49" s="3" t="s">
        <v>171</v>
      </c>
      <c r="C49" s="3" t="s">
        <v>271</v>
      </c>
      <c r="D49" s="4"/>
      <c r="E49" s="5"/>
      <c r="F49" s="6">
        <f>+D49*E49</f>
        <v>0</v>
      </c>
      <c r="G49" s="6" t="e">
        <f t="shared" si="17"/>
        <v>#DIV/0!</v>
      </c>
      <c r="H49" s="7"/>
      <c r="I49" s="3" t="str">
        <f t="shared" si="1"/>
        <v>0</v>
      </c>
      <c r="J49" s="3" t="str">
        <f t="shared" si="2"/>
        <v>0</v>
      </c>
      <c r="K49" s="3" t="str">
        <f t="shared" si="3"/>
        <v>0</v>
      </c>
      <c r="L49" s="3" t="str">
        <f t="shared" si="4"/>
        <v>0</v>
      </c>
      <c r="M49" s="3" t="str">
        <f t="shared" si="5"/>
        <v>0</v>
      </c>
      <c r="N49" s="3" t="str">
        <f t="shared" si="6"/>
        <v>0</v>
      </c>
      <c r="O49" s="3" t="str">
        <f t="shared" si="7"/>
        <v>0</v>
      </c>
      <c r="P49" s="3" t="str">
        <f t="shared" si="8"/>
        <v>0</v>
      </c>
      <c r="Q49" s="3" t="str">
        <f t="shared" si="9"/>
        <v>0</v>
      </c>
      <c r="R49" s="3" t="str">
        <f t="shared" si="10"/>
        <v>0</v>
      </c>
      <c r="S49" s="3" t="str">
        <f t="shared" si="11"/>
        <v>0</v>
      </c>
      <c r="T49" s="3" t="str">
        <f t="shared" si="12"/>
        <v>0</v>
      </c>
      <c r="U49" s="3">
        <v>2900</v>
      </c>
      <c r="V49" s="3"/>
      <c r="W49" s="3"/>
      <c r="X49" s="3"/>
      <c r="Y49" s="3"/>
      <c r="Z49" s="3"/>
    </row>
    <row r="50" spans="1:26" x14ac:dyDescent="0.25">
      <c r="A50" s="175">
        <v>46188</v>
      </c>
      <c r="B50" s="3" t="s">
        <v>170</v>
      </c>
      <c r="C50" s="169" t="s">
        <v>257</v>
      </c>
      <c r="D50" s="170">
        <v>379.03505164799998</v>
      </c>
      <c r="E50" s="173">
        <v>0.995</v>
      </c>
      <c r="F50" s="174">
        <f>D50*E50</f>
        <v>377.13987638975999</v>
      </c>
      <c r="G50" s="6">
        <f t="shared" si="17"/>
        <v>0</v>
      </c>
      <c r="H50" s="7"/>
      <c r="I50" s="3" t="str">
        <f t="shared" si="1"/>
        <v>0</v>
      </c>
      <c r="J50" s="3" t="str">
        <f t="shared" si="2"/>
        <v>0</v>
      </c>
      <c r="K50" s="3" t="str">
        <f t="shared" si="3"/>
        <v>0</v>
      </c>
      <c r="L50" s="3" t="str">
        <f t="shared" si="4"/>
        <v>0</v>
      </c>
      <c r="M50" s="3" t="str">
        <f t="shared" si="5"/>
        <v>0</v>
      </c>
      <c r="N50" s="3" t="str">
        <f t="shared" si="6"/>
        <v>0</v>
      </c>
      <c r="O50" s="3">
        <f t="shared" si="7"/>
        <v>379.03505164799998</v>
      </c>
      <c r="P50" s="3" t="str">
        <f t="shared" si="8"/>
        <v>0</v>
      </c>
      <c r="Q50" s="3">
        <f t="shared" si="9"/>
        <v>377.13987638975999</v>
      </c>
      <c r="R50" s="3" t="str">
        <f t="shared" si="10"/>
        <v>0</v>
      </c>
      <c r="S50" s="3">
        <f t="shared" si="11"/>
        <v>0</v>
      </c>
      <c r="T50" s="3" t="str">
        <f t="shared" si="12"/>
        <v>0</v>
      </c>
      <c r="U50" s="3"/>
      <c r="V50" s="3"/>
      <c r="W50" s="3"/>
      <c r="X50" s="3"/>
      <c r="Y50" s="3"/>
      <c r="Z50" s="3"/>
    </row>
    <row r="51" spans="1:26" x14ac:dyDescent="0.25">
      <c r="A51" s="175">
        <v>46189</v>
      </c>
      <c r="B51" s="3" t="s">
        <v>169</v>
      </c>
      <c r="C51" s="169" t="s">
        <v>268</v>
      </c>
      <c r="D51" s="170">
        <v>146.34400000000002</v>
      </c>
      <c r="E51" s="171">
        <v>0.88</v>
      </c>
      <c r="F51" s="172">
        <f>+D51*E51</f>
        <v>128.78272000000001</v>
      </c>
      <c r="G51" s="172">
        <f t="shared" si="17"/>
        <v>23.54377357459137</v>
      </c>
      <c r="H51" s="176">
        <f>214.1*7+216.31*9</f>
        <v>3445.49</v>
      </c>
      <c r="I51" s="158">
        <f t="shared" si="1"/>
        <v>146.34400000000002</v>
      </c>
      <c r="J51" s="3" t="str">
        <f t="shared" si="2"/>
        <v>0</v>
      </c>
      <c r="K51" s="3">
        <f t="shared" si="3"/>
        <v>128.78272000000001</v>
      </c>
      <c r="L51" s="3" t="str">
        <f t="shared" si="4"/>
        <v>0</v>
      </c>
      <c r="M51" s="3">
        <f t="shared" si="5"/>
        <v>3445.49</v>
      </c>
      <c r="N51" s="3" t="str">
        <f t="shared" si="6"/>
        <v>0</v>
      </c>
      <c r="O51" s="3" t="str">
        <f t="shared" si="7"/>
        <v>0</v>
      </c>
      <c r="P51" s="3" t="str">
        <f t="shared" si="8"/>
        <v>0</v>
      </c>
      <c r="Q51" s="3" t="str">
        <f t="shared" si="9"/>
        <v>0</v>
      </c>
      <c r="R51" s="3" t="str">
        <f t="shared" si="10"/>
        <v>0</v>
      </c>
      <c r="S51" s="3" t="str">
        <f t="shared" si="11"/>
        <v>0</v>
      </c>
      <c r="T51" s="3" t="str">
        <f t="shared" si="12"/>
        <v>0</v>
      </c>
      <c r="U51" s="3"/>
      <c r="V51" s="3"/>
      <c r="W51" s="3"/>
      <c r="X51" s="3"/>
      <c r="Y51" s="3"/>
      <c r="Z51" s="3"/>
    </row>
    <row r="52" spans="1:26" x14ac:dyDescent="0.25">
      <c r="A52" s="175">
        <v>46189</v>
      </c>
      <c r="B52" s="3" t="s">
        <v>170</v>
      </c>
      <c r="C52" s="169" t="s">
        <v>268</v>
      </c>
      <c r="D52" s="170">
        <v>344.8073</v>
      </c>
      <c r="E52" s="173">
        <v>0.999</v>
      </c>
      <c r="F52" s="174">
        <f>D52*E52</f>
        <v>344.46249269999998</v>
      </c>
      <c r="G52" s="6">
        <f t="shared" si="17"/>
        <v>0</v>
      </c>
      <c r="H52" s="7"/>
      <c r="I52" s="158" t="str">
        <f t="shared" si="1"/>
        <v>0</v>
      </c>
      <c r="J52" s="3" t="str">
        <f t="shared" si="2"/>
        <v>0</v>
      </c>
      <c r="K52" s="3" t="str">
        <f t="shared" si="3"/>
        <v>0</v>
      </c>
      <c r="L52" s="3" t="str">
        <f t="shared" si="4"/>
        <v>0</v>
      </c>
      <c r="M52" s="3" t="str">
        <f t="shared" si="5"/>
        <v>0</v>
      </c>
      <c r="N52" s="3" t="str">
        <f t="shared" si="6"/>
        <v>0</v>
      </c>
      <c r="O52" s="3">
        <f t="shared" si="7"/>
        <v>344.8073</v>
      </c>
      <c r="P52" s="3" t="str">
        <f t="shared" si="8"/>
        <v>0</v>
      </c>
      <c r="Q52" s="3">
        <f t="shared" si="9"/>
        <v>344.46249269999998</v>
      </c>
      <c r="R52" s="3" t="str">
        <f t="shared" si="10"/>
        <v>0</v>
      </c>
      <c r="S52" s="3">
        <f t="shared" si="11"/>
        <v>0</v>
      </c>
      <c r="T52" s="3" t="str">
        <f t="shared" si="12"/>
        <v>0</v>
      </c>
      <c r="U52" s="3"/>
      <c r="V52" s="3"/>
      <c r="W52" s="3"/>
      <c r="X52" s="3"/>
      <c r="Y52" s="3"/>
      <c r="Z52" s="3"/>
    </row>
    <row r="53" spans="1:26" x14ac:dyDescent="0.25">
      <c r="A53" s="175">
        <v>46189</v>
      </c>
      <c r="B53" s="3" t="s">
        <v>170</v>
      </c>
      <c r="C53" s="169" t="s">
        <v>268</v>
      </c>
      <c r="D53" s="170">
        <v>404.27199999999999</v>
      </c>
      <c r="E53" s="173">
        <v>0.995</v>
      </c>
      <c r="F53" s="174">
        <f>D53*E53</f>
        <v>402.25063999999998</v>
      </c>
      <c r="G53" s="6">
        <f t="shared" si="17"/>
        <v>0</v>
      </c>
      <c r="H53" s="7"/>
      <c r="I53" s="158" t="str">
        <f t="shared" si="1"/>
        <v>0</v>
      </c>
      <c r="J53" s="3" t="str">
        <f t="shared" si="2"/>
        <v>0</v>
      </c>
      <c r="K53" s="3" t="str">
        <f t="shared" si="3"/>
        <v>0</v>
      </c>
      <c r="L53" s="3" t="str">
        <f t="shared" si="4"/>
        <v>0</v>
      </c>
      <c r="M53" s="3" t="str">
        <f t="shared" si="5"/>
        <v>0</v>
      </c>
      <c r="N53" s="3" t="str">
        <f t="shared" si="6"/>
        <v>0</v>
      </c>
      <c r="O53" s="3">
        <f t="shared" si="7"/>
        <v>404.27199999999999</v>
      </c>
      <c r="P53" s="3" t="str">
        <f t="shared" si="8"/>
        <v>0</v>
      </c>
      <c r="Q53" s="3">
        <f t="shared" si="9"/>
        <v>402.25063999999998</v>
      </c>
      <c r="R53" s="3" t="str">
        <f t="shared" si="10"/>
        <v>0</v>
      </c>
      <c r="S53" s="3">
        <f t="shared" si="11"/>
        <v>0</v>
      </c>
      <c r="T53" s="3" t="str">
        <f t="shared" si="12"/>
        <v>0</v>
      </c>
      <c r="U53" s="3"/>
      <c r="V53" s="3"/>
      <c r="W53" s="3"/>
      <c r="X53" s="3"/>
      <c r="Y53" s="3"/>
      <c r="Z53" s="3"/>
    </row>
    <row r="54" spans="1:26" x14ac:dyDescent="0.25">
      <c r="A54" s="175">
        <v>46189</v>
      </c>
      <c r="B54" s="3" t="s">
        <v>171</v>
      </c>
      <c r="C54" s="169" t="s">
        <v>268</v>
      </c>
      <c r="D54" s="4"/>
      <c r="E54" s="5"/>
      <c r="F54" s="6">
        <f>+D54*E54</f>
        <v>0</v>
      </c>
      <c r="G54" s="6" t="e">
        <f t="shared" si="17"/>
        <v>#DIV/0!</v>
      </c>
      <c r="H54" s="7"/>
      <c r="I54" s="3" t="str">
        <f t="shared" si="1"/>
        <v>0</v>
      </c>
      <c r="J54" s="3" t="str">
        <f t="shared" si="2"/>
        <v>0</v>
      </c>
      <c r="K54" s="3" t="str">
        <f t="shared" si="3"/>
        <v>0</v>
      </c>
      <c r="L54" s="3" t="str">
        <f t="shared" si="4"/>
        <v>0</v>
      </c>
      <c r="M54" s="3" t="str">
        <f t="shared" si="5"/>
        <v>0</v>
      </c>
      <c r="N54" s="3" t="str">
        <f t="shared" si="6"/>
        <v>0</v>
      </c>
      <c r="O54" s="3" t="str">
        <f t="shared" si="7"/>
        <v>0</v>
      </c>
      <c r="P54" s="3" t="str">
        <f t="shared" si="8"/>
        <v>0</v>
      </c>
      <c r="Q54" s="3" t="str">
        <f t="shared" si="9"/>
        <v>0</v>
      </c>
      <c r="R54" s="3" t="str">
        <f t="shared" si="10"/>
        <v>0</v>
      </c>
      <c r="S54" s="3" t="str">
        <f t="shared" si="11"/>
        <v>0</v>
      </c>
      <c r="T54" s="3" t="str">
        <f t="shared" si="12"/>
        <v>0</v>
      </c>
      <c r="U54" s="3">
        <v>3445</v>
      </c>
      <c r="V54" s="3"/>
      <c r="W54" s="3"/>
      <c r="X54" s="3"/>
      <c r="Y54" s="3"/>
      <c r="Z54" s="3"/>
    </row>
    <row r="55" spans="1:26" x14ac:dyDescent="0.25">
      <c r="A55" s="175">
        <v>46190</v>
      </c>
      <c r="B55" s="3" t="s">
        <v>169</v>
      </c>
      <c r="C55" s="169" t="s">
        <v>259</v>
      </c>
      <c r="D55" s="170">
        <v>354</v>
      </c>
      <c r="E55" s="171">
        <v>0.88</v>
      </c>
      <c r="F55" s="172">
        <f>+D55*E55</f>
        <v>311.52</v>
      </c>
      <c r="G55" s="172">
        <f t="shared" si="17"/>
        <v>2.3299435028248587</v>
      </c>
      <c r="H55" s="176">
        <f>51.8*6+102.8*5</f>
        <v>824.8</v>
      </c>
      <c r="I55" s="158">
        <f t="shared" si="1"/>
        <v>354</v>
      </c>
      <c r="J55" s="3" t="str">
        <f t="shared" si="2"/>
        <v>0</v>
      </c>
      <c r="K55" s="3">
        <f t="shared" si="3"/>
        <v>311.52</v>
      </c>
      <c r="L55" s="3" t="str">
        <f t="shared" si="4"/>
        <v>0</v>
      </c>
      <c r="M55" s="3">
        <f t="shared" si="5"/>
        <v>824.8</v>
      </c>
      <c r="N55" s="3" t="str">
        <f t="shared" si="6"/>
        <v>0</v>
      </c>
      <c r="O55" s="3" t="str">
        <f t="shared" si="7"/>
        <v>0</v>
      </c>
      <c r="P55" s="3" t="str">
        <f t="shared" si="8"/>
        <v>0</v>
      </c>
      <c r="Q55" s="3" t="str">
        <f t="shared" si="9"/>
        <v>0</v>
      </c>
      <c r="R55" s="3" t="str">
        <f t="shared" si="10"/>
        <v>0</v>
      </c>
      <c r="S55" s="3" t="str">
        <f t="shared" si="11"/>
        <v>0</v>
      </c>
      <c r="T55" s="3" t="str">
        <f t="shared" si="12"/>
        <v>0</v>
      </c>
      <c r="U55" s="3"/>
      <c r="V55" s="3"/>
      <c r="W55" s="3"/>
      <c r="X55" s="3"/>
      <c r="Y55" s="3"/>
      <c r="Z55" s="3"/>
    </row>
    <row r="56" spans="1:26" x14ac:dyDescent="0.25">
      <c r="A56" s="175">
        <v>46190</v>
      </c>
      <c r="B56" s="3" t="s">
        <v>170</v>
      </c>
      <c r="C56" s="169" t="s">
        <v>259</v>
      </c>
      <c r="D56" s="170">
        <v>955</v>
      </c>
      <c r="E56" s="173">
        <v>0.995</v>
      </c>
      <c r="F56" s="174">
        <f>D56*E56</f>
        <v>950.22500000000002</v>
      </c>
      <c r="G56" s="6">
        <f t="shared" si="17"/>
        <v>0</v>
      </c>
      <c r="H56" s="7"/>
      <c r="I56" s="158" t="str">
        <f t="shared" si="1"/>
        <v>0</v>
      </c>
      <c r="J56" s="3" t="str">
        <f t="shared" si="2"/>
        <v>0</v>
      </c>
      <c r="K56" s="3" t="str">
        <f t="shared" si="3"/>
        <v>0</v>
      </c>
      <c r="L56" s="3" t="str">
        <f t="shared" si="4"/>
        <v>0</v>
      </c>
      <c r="M56" s="3" t="str">
        <f t="shared" si="5"/>
        <v>0</v>
      </c>
      <c r="N56" s="3" t="str">
        <f t="shared" si="6"/>
        <v>0</v>
      </c>
      <c r="O56" s="3">
        <f t="shared" si="7"/>
        <v>955</v>
      </c>
      <c r="P56" s="3" t="str">
        <f t="shared" si="8"/>
        <v>0</v>
      </c>
      <c r="Q56" s="3">
        <f t="shared" si="9"/>
        <v>950.22500000000002</v>
      </c>
      <c r="R56" s="3" t="str">
        <f t="shared" si="10"/>
        <v>0</v>
      </c>
      <c r="S56" s="3">
        <f t="shared" si="11"/>
        <v>0</v>
      </c>
      <c r="T56" s="3" t="str">
        <f t="shared" si="12"/>
        <v>0</v>
      </c>
      <c r="U56" s="3"/>
      <c r="V56" s="3"/>
      <c r="W56" s="3"/>
      <c r="X56" s="3"/>
      <c r="Y56" s="3"/>
      <c r="Z56" s="3"/>
    </row>
    <row r="57" spans="1:26" x14ac:dyDescent="0.25">
      <c r="A57" s="175">
        <v>46190</v>
      </c>
      <c r="B57" s="3" t="s">
        <v>171</v>
      </c>
      <c r="C57" s="3" t="s">
        <v>271</v>
      </c>
      <c r="D57" s="4"/>
      <c r="E57" s="5"/>
      <c r="F57" s="6">
        <f>+D57*E57</f>
        <v>0</v>
      </c>
      <c r="G57" s="6" t="e">
        <f t="shared" si="17"/>
        <v>#DIV/0!</v>
      </c>
      <c r="H57" s="7"/>
      <c r="I57" s="3" t="str">
        <f t="shared" si="1"/>
        <v>0</v>
      </c>
      <c r="J57" s="3" t="str">
        <f t="shared" si="2"/>
        <v>0</v>
      </c>
      <c r="K57" s="3" t="str">
        <f t="shared" si="3"/>
        <v>0</v>
      </c>
      <c r="L57" s="3" t="str">
        <f t="shared" si="4"/>
        <v>0</v>
      </c>
      <c r="M57" s="3" t="str">
        <f t="shared" si="5"/>
        <v>0</v>
      </c>
      <c r="N57" s="3" t="str">
        <f t="shared" si="6"/>
        <v>0</v>
      </c>
      <c r="O57" s="3" t="str">
        <f t="shared" si="7"/>
        <v>0</v>
      </c>
      <c r="P57" s="3" t="str">
        <f t="shared" si="8"/>
        <v>0</v>
      </c>
      <c r="Q57" s="3" t="str">
        <f t="shared" si="9"/>
        <v>0</v>
      </c>
      <c r="R57" s="3" t="str">
        <f t="shared" si="10"/>
        <v>0</v>
      </c>
      <c r="S57" s="3" t="str">
        <f t="shared" si="11"/>
        <v>0</v>
      </c>
      <c r="T57" s="3" t="str">
        <f t="shared" si="12"/>
        <v>0</v>
      </c>
      <c r="U57" s="3">
        <v>825</v>
      </c>
      <c r="V57" s="3"/>
      <c r="W57" s="3"/>
      <c r="X57" s="3"/>
      <c r="Y57" s="3"/>
      <c r="Z57" s="3"/>
    </row>
    <row r="58" spans="1:26" x14ac:dyDescent="0.25">
      <c r="A58" s="175">
        <v>46191</v>
      </c>
      <c r="B58" s="3" t="s">
        <v>169</v>
      </c>
      <c r="C58" s="169" t="s">
        <v>262</v>
      </c>
      <c r="D58" s="170">
        <v>52</v>
      </c>
      <c r="E58" s="171">
        <v>0.88</v>
      </c>
      <c r="F58" s="172">
        <f>+D58*E58</f>
        <v>45.76</v>
      </c>
      <c r="G58" s="172">
        <f t="shared" si="17"/>
        <v>10.39423076923077</v>
      </c>
      <c r="H58" s="176">
        <f>59.8*3.5+55.2*6</f>
        <v>540.5</v>
      </c>
      <c r="I58" s="3">
        <f t="shared" si="1"/>
        <v>52</v>
      </c>
      <c r="J58" s="3" t="str">
        <f t="shared" si="2"/>
        <v>0</v>
      </c>
      <c r="K58" s="3">
        <f t="shared" si="3"/>
        <v>45.76</v>
      </c>
      <c r="L58" s="3" t="str">
        <f t="shared" si="4"/>
        <v>0</v>
      </c>
      <c r="M58" s="3">
        <f t="shared" si="5"/>
        <v>540.5</v>
      </c>
      <c r="N58" s="3" t="str">
        <f t="shared" si="6"/>
        <v>0</v>
      </c>
      <c r="O58" s="3" t="str">
        <f t="shared" si="7"/>
        <v>0</v>
      </c>
      <c r="P58" s="3" t="str">
        <f t="shared" si="8"/>
        <v>0</v>
      </c>
      <c r="Q58" s="3" t="str">
        <f t="shared" si="9"/>
        <v>0</v>
      </c>
      <c r="R58" s="3" t="str">
        <f t="shared" si="10"/>
        <v>0</v>
      </c>
      <c r="S58" s="3" t="str">
        <f t="shared" si="11"/>
        <v>0</v>
      </c>
      <c r="T58" s="3" t="str">
        <f t="shared" si="12"/>
        <v>0</v>
      </c>
      <c r="U58" s="3"/>
      <c r="V58" s="3"/>
      <c r="W58" s="3"/>
      <c r="X58" s="3"/>
      <c r="Y58" s="3"/>
      <c r="Z58" s="3"/>
    </row>
    <row r="59" spans="1:26" x14ac:dyDescent="0.25">
      <c r="A59" s="175">
        <v>46191</v>
      </c>
      <c r="B59" s="3" t="s">
        <v>169</v>
      </c>
      <c r="C59" s="169" t="s">
        <v>257</v>
      </c>
      <c r="D59" s="170">
        <v>700.28062719999991</v>
      </c>
      <c r="E59" s="171">
        <v>0.88</v>
      </c>
      <c r="F59" s="172">
        <f>+D59*E59</f>
        <v>616.24695193599996</v>
      </c>
      <c r="G59" s="172">
        <f t="shared" si="17"/>
        <v>2.57896610280525</v>
      </c>
      <c r="H59" s="176">
        <f>258*7</f>
        <v>1806</v>
      </c>
      <c r="I59" s="3">
        <f t="shared" si="1"/>
        <v>700.28062719999991</v>
      </c>
      <c r="J59" s="3" t="str">
        <f t="shared" si="2"/>
        <v>0</v>
      </c>
      <c r="K59" s="3">
        <f t="shared" si="3"/>
        <v>616.24695193599996</v>
      </c>
      <c r="L59" s="3" t="str">
        <f t="shared" si="4"/>
        <v>0</v>
      </c>
      <c r="M59" s="3">
        <f t="shared" si="5"/>
        <v>1806</v>
      </c>
      <c r="N59" s="3" t="str">
        <f t="shared" si="6"/>
        <v>0</v>
      </c>
      <c r="O59" s="3" t="str">
        <f t="shared" si="7"/>
        <v>0</v>
      </c>
      <c r="P59" s="3" t="str">
        <f t="shared" si="8"/>
        <v>0</v>
      </c>
      <c r="Q59" s="3" t="str">
        <f t="shared" si="9"/>
        <v>0</v>
      </c>
      <c r="R59" s="3" t="str">
        <f t="shared" si="10"/>
        <v>0</v>
      </c>
      <c r="S59" s="3" t="str">
        <f t="shared" si="11"/>
        <v>0</v>
      </c>
      <c r="T59" s="3" t="str">
        <f t="shared" si="12"/>
        <v>0</v>
      </c>
      <c r="U59" s="3"/>
      <c r="V59" s="3"/>
      <c r="W59" s="3"/>
      <c r="X59" s="3"/>
      <c r="Y59" s="3"/>
      <c r="Z59" s="3"/>
    </row>
    <row r="60" spans="1:26" x14ac:dyDescent="0.25">
      <c r="A60" s="175">
        <v>46191</v>
      </c>
      <c r="B60" s="3" t="s">
        <v>170</v>
      </c>
      <c r="C60" s="169" t="s">
        <v>262</v>
      </c>
      <c r="D60" s="170">
        <v>42</v>
      </c>
      <c r="E60" s="173">
        <v>0.995</v>
      </c>
      <c r="F60" s="174">
        <f>D60*E60</f>
        <v>41.79</v>
      </c>
      <c r="G60" s="6">
        <f t="shared" si="17"/>
        <v>0</v>
      </c>
      <c r="H60" s="7"/>
      <c r="I60" s="3" t="str">
        <f t="shared" si="1"/>
        <v>0</v>
      </c>
      <c r="J60" s="3" t="str">
        <f t="shared" si="2"/>
        <v>0</v>
      </c>
      <c r="K60" s="3" t="str">
        <f t="shared" si="3"/>
        <v>0</v>
      </c>
      <c r="L60" s="3" t="str">
        <f t="shared" si="4"/>
        <v>0</v>
      </c>
      <c r="M60" s="3" t="str">
        <f t="shared" si="5"/>
        <v>0</v>
      </c>
      <c r="N60" s="3" t="str">
        <f t="shared" si="6"/>
        <v>0</v>
      </c>
      <c r="O60" s="3">
        <f t="shared" si="7"/>
        <v>42</v>
      </c>
      <c r="P60" s="3" t="str">
        <f t="shared" si="8"/>
        <v>0</v>
      </c>
      <c r="Q60" s="3">
        <f t="shared" si="9"/>
        <v>41.79</v>
      </c>
      <c r="R60" s="3" t="str">
        <f t="shared" si="10"/>
        <v>0</v>
      </c>
      <c r="S60" s="3">
        <f t="shared" si="11"/>
        <v>0</v>
      </c>
      <c r="T60" s="3" t="str">
        <f t="shared" si="12"/>
        <v>0</v>
      </c>
      <c r="U60" s="3"/>
      <c r="V60" s="3"/>
      <c r="W60" s="3"/>
      <c r="X60" s="3"/>
      <c r="Y60" s="3"/>
      <c r="Z60" s="3"/>
    </row>
    <row r="61" spans="1:26" x14ac:dyDescent="0.25">
      <c r="A61" s="175">
        <v>46191</v>
      </c>
      <c r="B61" s="3" t="s">
        <v>170</v>
      </c>
      <c r="C61" s="169" t="s">
        <v>257</v>
      </c>
      <c r="D61" s="170">
        <v>696.77922406399989</v>
      </c>
      <c r="E61" s="173">
        <v>0.995</v>
      </c>
      <c r="F61" s="174">
        <f>D61*E61</f>
        <v>693.29532794367992</v>
      </c>
      <c r="G61" s="6">
        <f t="shared" si="17"/>
        <v>0</v>
      </c>
      <c r="H61" s="7"/>
      <c r="I61" s="3" t="str">
        <f t="shared" si="1"/>
        <v>0</v>
      </c>
      <c r="J61" s="3" t="str">
        <f t="shared" si="2"/>
        <v>0</v>
      </c>
      <c r="K61" s="3" t="str">
        <f t="shared" si="3"/>
        <v>0</v>
      </c>
      <c r="L61" s="3" t="str">
        <f t="shared" si="4"/>
        <v>0</v>
      </c>
      <c r="M61" s="3" t="str">
        <f t="shared" si="5"/>
        <v>0</v>
      </c>
      <c r="N61" s="3" t="str">
        <f t="shared" si="6"/>
        <v>0</v>
      </c>
      <c r="O61" s="3">
        <f t="shared" si="7"/>
        <v>696.77922406399989</v>
      </c>
      <c r="P61" s="3" t="str">
        <f t="shared" si="8"/>
        <v>0</v>
      </c>
      <c r="Q61" s="3">
        <f t="shared" si="9"/>
        <v>693.29532794367992</v>
      </c>
      <c r="R61" s="3" t="str">
        <f t="shared" si="10"/>
        <v>0</v>
      </c>
      <c r="S61" s="3">
        <f t="shared" si="11"/>
        <v>0</v>
      </c>
      <c r="T61" s="3" t="str">
        <f t="shared" si="12"/>
        <v>0</v>
      </c>
      <c r="U61" s="3"/>
      <c r="V61" s="3"/>
      <c r="W61" s="3"/>
      <c r="X61" s="3"/>
      <c r="Y61" s="3"/>
      <c r="Z61" s="3"/>
    </row>
    <row r="62" spans="1:26" x14ac:dyDescent="0.25">
      <c r="A62" s="175">
        <v>46191</v>
      </c>
      <c r="B62" s="3" t="s">
        <v>171</v>
      </c>
      <c r="C62" s="3" t="s">
        <v>273</v>
      </c>
      <c r="D62" s="4"/>
      <c r="E62" s="5"/>
      <c r="F62" s="6">
        <f>+D62*E62</f>
        <v>0</v>
      </c>
      <c r="G62" s="6" t="e">
        <f t="shared" si="17"/>
        <v>#DIV/0!</v>
      </c>
      <c r="H62" s="7"/>
      <c r="I62" s="3" t="str">
        <f t="shared" si="1"/>
        <v>0</v>
      </c>
      <c r="J62" s="3" t="str">
        <f t="shared" si="2"/>
        <v>0</v>
      </c>
      <c r="K62" s="3" t="str">
        <f t="shared" si="3"/>
        <v>0</v>
      </c>
      <c r="L62" s="3" t="str">
        <f t="shared" si="4"/>
        <v>0</v>
      </c>
      <c r="M62" s="3" t="str">
        <f t="shared" si="5"/>
        <v>0</v>
      </c>
      <c r="N62" s="3" t="str">
        <f t="shared" si="6"/>
        <v>0</v>
      </c>
      <c r="O62" s="3" t="str">
        <f t="shared" si="7"/>
        <v>0</v>
      </c>
      <c r="P62" s="3" t="str">
        <f t="shared" si="8"/>
        <v>0</v>
      </c>
      <c r="Q62" s="3" t="str">
        <f t="shared" si="9"/>
        <v>0</v>
      </c>
      <c r="R62" s="3" t="str">
        <f t="shared" si="10"/>
        <v>0</v>
      </c>
      <c r="S62" s="3" t="str">
        <f t="shared" si="11"/>
        <v>0</v>
      </c>
      <c r="T62" s="3" t="str">
        <f t="shared" si="12"/>
        <v>0</v>
      </c>
      <c r="U62" s="3">
        <v>540</v>
      </c>
      <c r="V62" s="3"/>
      <c r="W62" s="3"/>
      <c r="X62" s="3"/>
      <c r="Y62" s="3"/>
      <c r="Z62" s="3"/>
    </row>
    <row r="63" spans="1:26" x14ac:dyDescent="0.25">
      <c r="A63" s="175">
        <v>46193</v>
      </c>
      <c r="B63" s="3" t="s">
        <v>170</v>
      </c>
      <c r="C63" s="169" t="s">
        <v>257</v>
      </c>
      <c r="D63" s="170">
        <v>227.04</v>
      </c>
      <c r="E63" s="173">
        <v>0.995</v>
      </c>
      <c r="F63" s="174">
        <f>D63*E63</f>
        <v>225.90479999999999</v>
      </c>
      <c r="G63" s="6">
        <f t="shared" si="17"/>
        <v>0</v>
      </c>
      <c r="H63" s="7"/>
      <c r="I63" s="3" t="str">
        <f t="shared" si="1"/>
        <v>0</v>
      </c>
      <c r="J63" s="3" t="str">
        <f t="shared" si="2"/>
        <v>0</v>
      </c>
      <c r="K63" s="3" t="str">
        <f t="shared" si="3"/>
        <v>0</v>
      </c>
      <c r="L63" s="3" t="str">
        <f t="shared" si="4"/>
        <v>0</v>
      </c>
      <c r="M63" s="3" t="str">
        <f t="shared" si="5"/>
        <v>0</v>
      </c>
      <c r="N63" s="3" t="str">
        <f t="shared" si="6"/>
        <v>0</v>
      </c>
      <c r="O63" s="3">
        <f t="shared" si="7"/>
        <v>227.04</v>
      </c>
      <c r="P63" s="3" t="str">
        <f t="shared" si="8"/>
        <v>0</v>
      </c>
      <c r="Q63" s="3">
        <f t="shared" si="9"/>
        <v>225.90479999999999</v>
      </c>
      <c r="R63" s="3" t="str">
        <f t="shared" si="10"/>
        <v>0</v>
      </c>
      <c r="S63" s="3">
        <f t="shared" si="11"/>
        <v>0</v>
      </c>
      <c r="T63" s="3" t="str">
        <f t="shared" si="12"/>
        <v>0</v>
      </c>
      <c r="U63" s="3"/>
      <c r="V63" s="3"/>
      <c r="W63" s="3"/>
      <c r="X63" s="3"/>
      <c r="Y63" s="3"/>
      <c r="Z63" s="3"/>
    </row>
    <row r="64" spans="1:26" x14ac:dyDescent="0.25">
      <c r="A64" s="197">
        <v>46176</v>
      </c>
      <c r="B64" s="198" t="s">
        <v>171</v>
      </c>
      <c r="C64" s="169" t="s">
        <v>268</v>
      </c>
      <c r="D64" s="4"/>
      <c r="I64" s="198" t="str">
        <f t="shared" si="1"/>
        <v>0</v>
      </c>
      <c r="J64" s="198" t="str">
        <f t="shared" si="2"/>
        <v>0</v>
      </c>
      <c r="K64" s="198" t="str">
        <f t="shared" si="3"/>
        <v>0</v>
      </c>
      <c r="L64" s="198" t="str">
        <f t="shared" si="4"/>
        <v>0</v>
      </c>
      <c r="M64" s="198" t="str">
        <f t="shared" si="5"/>
        <v>0</v>
      </c>
      <c r="N64" s="198" t="str">
        <f t="shared" si="6"/>
        <v>0</v>
      </c>
      <c r="O64" s="198" t="str">
        <f t="shared" si="7"/>
        <v>0</v>
      </c>
      <c r="P64" s="198" t="str">
        <f t="shared" si="8"/>
        <v>0</v>
      </c>
      <c r="Q64" s="198" t="str">
        <f t="shared" si="9"/>
        <v>0</v>
      </c>
      <c r="R64" s="198" t="str">
        <f t="shared" si="10"/>
        <v>0</v>
      </c>
      <c r="S64" s="198" t="str">
        <f t="shared" si="11"/>
        <v>0</v>
      </c>
      <c r="T64" s="198" t="str">
        <f t="shared" si="12"/>
        <v>0</v>
      </c>
      <c r="U64">
        <v>4535</v>
      </c>
    </row>
    <row r="65" spans="1:26" x14ac:dyDescent="0.25">
      <c r="A65" s="2">
        <v>46196</v>
      </c>
      <c r="B65" s="3" t="s">
        <v>169</v>
      </c>
      <c r="C65" s="169" t="s">
        <v>255</v>
      </c>
      <c r="D65" s="170">
        <v>201.69645</v>
      </c>
      <c r="E65" s="171">
        <v>0.88</v>
      </c>
      <c r="F65" s="172">
        <f>+D65*E65</f>
        <v>177.492876</v>
      </c>
      <c r="G65" s="172">
        <f t="shared" ref="G65:G84" si="18">+H65/D65</f>
        <v>26.440723175841718</v>
      </c>
      <c r="H65" s="176">
        <f>250*5+544.4*7.5</f>
        <v>5333</v>
      </c>
      <c r="I65" s="158">
        <f t="shared" si="1"/>
        <v>201.69645</v>
      </c>
      <c r="J65" s="3" t="str">
        <f t="shared" si="2"/>
        <v>0</v>
      </c>
      <c r="K65" s="3">
        <f t="shared" si="3"/>
        <v>177.492876</v>
      </c>
      <c r="L65" s="3" t="str">
        <f t="shared" si="4"/>
        <v>0</v>
      </c>
      <c r="M65" s="3">
        <f t="shared" si="5"/>
        <v>5333</v>
      </c>
      <c r="N65" s="3" t="str">
        <f t="shared" si="6"/>
        <v>0</v>
      </c>
      <c r="O65" s="3" t="str">
        <f t="shared" si="7"/>
        <v>0</v>
      </c>
      <c r="P65" s="3" t="str">
        <f t="shared" si="8"/>
        <v>0</v>
      </c>
      <c r="Q65" s="3" t="str">
        <f t="shared" si="9"/>
        <v>0</v>
      </c>
      <c r="R65" s="3" t="str">
        <f t="shared" si="10"/>
        <v>0</v>
      </c>
      <c r="S65" s="3" t="str">
        <f t="shared" si="11"/>
        <v>0</v>
      </c>
      <c r="T65" s="3" t="str">
        <f t="shared" si="12"/>
        <v>0</v>
      </c>
      <c r="U65" s="3"/>
      <c r="V65" s="3"/>
      <c r="W65" s="3"/>
      <c r="X65" s="3"/>
      <c r="Y65" s="3"/>
      <c r="Z65" s="3"/>
    </row>
    <row r="66" spans="1:26" x14ac:dyDescent="0.25">
      <c r="A66" s="2">
        <v>46196</v>
      </c>
      <c r="B66" s="3" t="s">
        <v>170</v>
      </c>
      <c r="C66" s="169" t="s">
        <v>255</v>
      </c>
      <c r="D66" s="170">
        <v>379.03505164799998</v>
      </c>
      <c r="E66" s="173">
        <v>0.995</v>
      </c>
      <c r="F66" s="174">
        <f>D66*E66</f>
        <v>377.13987638975999</v>
      </c>
      <c r="G66" s="6">
        <f t="shared" si="18"/>
        <v>0</v>
      </c>
      <c r="H66" s="7"/>
      <c r="I66" s="158" t="str">
        <f t="shared" ref="I66:I129" si="19">IF(B66="SALES",D66,"0")</f>
        <v>0</v>
      </c>
      <c r="J66" s="3" t="str">
        <f t="shared" ref="J66:J129" si="20">IF(B66="SALES RETURN",D66,"0")</f>
        <v>0</v>
      </c>
      <c r="K66" s="3" t="str">
        <f t="shared" ref="K66:K129" si="21">IF(B66="SALES",F66,"0")</f>
        <v>0</v>
      </c>
      <c r="L66" s="3" t="str">
        <f t="shared" ref="L66:L129" si="22">IF(B66="SALES RETURN",F66,"0")</f>
        <v>0</v>
      </c>
      <c r="M66" s="3" t="str">
        <f t="shared" ref="M66:M129" si="23">IF(B66="SALES",H66,"0")</f>
        <v>0</v>
      </c>
      <c r="N66" s="3" t="str">
        <f t="shared" ref="N66:N129" si="24">IF(B66="SALES RETURN",H66,"0")</f>
        <v>0</v>
      </c>
      <c r="O66" s="3">
        <f t="shared" ref="O66:O129" si="25">IF(B66="PURCHASE",D66,"0")</f>
        <v>379.03505164799998</v>
      </c>
      <c r="P66" s="3" t="str">
        <f t="shared" ref="P66:P129" si="26">IF(B66="METAL PAYMENT",D66,"0")</f>
        <v>0</v>
      </c>
      <c r="Q66" s="3">
        <f t="shared" ref="Q66:Q129" si="27">IF(B66="PURCHASE",F66,"0")</f>
        <v>377.13987638975999</v>
      </c>
      <c r="R66" s="3" t="str">
        <f t="shared" ref="R66:R129" si="28">IF(B66="METAL PAYMENT",F66,"0")</f>
        <v>0</v>
      </c>
      <c r="S66" s="3">
        <f t="shared" ref="S66:S129" si="29">IF(B66="PURCHASE",H66,"0")</f>
        <v>0</v>
      </c>
      <c r="T66" s="3" t="str">
        <f t="shared" ref="T66:T129" si="30">IF(B66="METAL PAYMENT",H66,"0")</f>
        <v>0</v>
      </c>
      <c r="U66" s="3"/>
      <c r="V66" s="3"/>
      <c r="W66" s="3"/>
      <c r="X66" s="3"/>
      <c r="Y66" s="3"/>
      <c r="Z66" s="3"/>
    </row>
    <row r="67" spans="1:26" x14ac:dyDescent="0.25">
      <c r="A67" s="2">
        <v>46196</v>
      </c>
      <c r="B67" s="3" t="s">
        <v>171</v>
      </c>
      <c r="C67" s="169" t="s">
        <v>255</v>
      </c>
      <c r="D67" s="4"/>
      <c r="E67" s="5"/>
      <c r="F67" s="6">
        <f>+D67*E67</f>
        <v>0</v>
      </c>
      <c r="G67" s="6" t="e">
        <f t="shared" si="18"/>
        <v>#DIV/0!</v>
      </c>
      <c r="H67" s="7"/>
      <c r="I67" s="3" t="str">
        <f t="shared" si="19"/>
        <v>0</v>
      </c>
      <c r="J67" s="3" t="str">
        <f t="shared" si="20"/>
        <v>0</v>
      </c>
      <c r="K67" s="3" t="str">
        <f t="shared" si="21"/>
        <v>0</v>
      </c>
      <c r="L67" s="3" t="str">
        <f t="shared" si="22"/>
        <v>0</v>
      </c>
      <c r="M67" s="3" t="str">
        <f t="shared" si="23"/>
        <v>0</v>
      </c>
      <c r="N67" s="3" t="str">
        <f t="shared" si="24"/>
        <v>0</v>
      </c>
      <c r="O67" s="3" t="str">
        <f t="shared" si="25"/>
        <v>0</v>
      </c>
      <c r="P67" s="3" t="str">
        <f t="shared" si="26"/>
        <v>0</v>
      </c>
      <c r="Q67" s="3" t="str">
        <f t="shared" si="27"/>
        <v>0</v>
      </c>
      <c r="R67" s="3" t="str">
        <f t="shared" si="28"/>
        <v>0</v>
      </c>
      <c r="S67" s="3" t="str">
        <f t="shared" si="29"/>
        <v>0</v>
      </c>
      <c r="T67" s="3" t="str">
        <f t="shared" si="30"/>
        <v>0</v>
      </c>
      <c r="U67" s="3">
        <v>5333</v>
      </c>
      <c r="V67" s="3"/>
      <c r="W67" s="3"/>
      <c r="X67" s="3"/>
      <c r="Y67" s="3"/>
      <c r="Z67" s="3"/>
    </row>
    <row r="68" spans="1:26" x14ac:dyDescent="0.25">
      <c r="A68" s="2">
        <v>46198</v>
      </c>
      <c r="B68" s="3" t="s">
        <v>169</v>
      </c>
      <c r="C68" s="169" t="s">
        <v>259</v>
      </c>
      <c r="D68" s="170">
        <v>2685</v>
      </c>
      <c r="E68" s="171">
        <v>0.88</v>
      </c>
      <c r="F68" s="172">
        <f>+D68*E68</f>
        <v>2362.8000000000002</v>
      </c>
      <c r="G68" s="172">
        <f t="shared" si="18"/>
        <v>0.6121415270018622</v>
      </c>
      <c r="H68" s="176">
        <f>234.8*7</f>
        <v>1643.6000000000001</v>
      </c>
      <c r="I68" s="158">
        <f t="shared" si="19"/>
        <v>2685</v>
      </c>
      <c r="J68" s="3" t="str">
        <f t="shared" si="20"/>
        <v>0</v>
      </c>
      <c r="K68" s="3">
        <f t="shared" si="21"/>
        <v>2362.8000000000002</v>
      </c>
      <c r="L68" s="3" t="str">
        <f t="shared" si="22"/>
        <v>0</v>
      </c>
      <c r="M68" s="3">
        <f t="shared" si="23"/>
        <v>1643.6000000000001</v>
      </c>
      <c r="N68" s="3" t="str">
        <f t="shared" si="24"/>
        <v>0</v>
      </c>
      <c r="O68" s="3" t="str">
        <f t="shared" si="25"/>
        <v>0</v>
      </c>
      <c r="P68" s="3" t="str">
        <f t="shared" si="26"/>
        <v>0</v>
      </c>
      <c r="Q68" s="3" t="str">
        <f t="shared" si="27"/>
        <v>0</v>
      </c>
      <c r="R68" s="3" t="str">
        <f t="shared" si="28"/>
        <v>0</v>
      </c>
      <c r="S68" s="3" t="str">
        <f t="shared" si="29"/>
        <v>0</v>
      </c>
      <c r="T68" s="3" t="str">
        <f t="shared" si="30"/>
        <v>0</v>
      </c>
      <c r="U68" s="3"/>
      <c r="V68" s="3"/>
      <c r="W68" s="3"/>
      <c r="X68" s="3"/>
      <c r="Y68" s="3"/>
      <c r="Z68" s="3"/>
    </row>
    <row r="69" spans="1:26" x14ac:dyDescent="0.25">
      <c r="A69" s="2">
        <v>46198</v>
      </c>
      <c r="B69" s="3" t="s">
        <v>170</v>
      </c>
      <c r="C69" s="3" t="s">
        <v>263</v>
      </c>
      <c r="D69" s="170">
        <v>62</v>
      </c>
      <c r="E69" s="173">
        <v>0.995</v>
      </c>
      <c r="F69" s="174">
        <f>D69*E69</f>
        <v>61.69</v>
      </c>
      <c r="G69" s="6">
        <f t="shared" si="18"/>
        <v>0</v>
      </c>
      <c r="H69" s="7"/>
      <c r="I69" s="158" t="str">
        <f t="shared" si="19"/>
        <v>0</v>
      </c>
      <c r="J69" s="3" t="str">
        <f t="shared" si="20"/>
        <v>0</v>
      </c>
      <c r="K69" s="3" t="str">
        <f t="shared" si="21"/>
        <v>0</v>
      </c>
      <c r="L69" s="3" t="str">
        <f t="shared" si="22"/>
        <v>0</v>
      </c>
      <c r="M69" s="3" t="str">
        <f t="shared" si="23"/>
        <v>0</v>
      </c>
      <c r="N69" s="3" t="str">
        <f t="shared" si="24"/>
        <v>0</v>
      </c>
      <c r="O69" s="3">
        <f t="shared" si="25"/>
        <v>62</v>
      </c>
      <c r="P69" s="3" t="str">
        <f t="shared" si="26"/>
        <v>0</v>
      </c>
      <c r="Q69" s="3">
        <f t="shared" si="27"/>
        <v>61.69</v>
      </c>
      <c r="R69" s="3" t="str">
        <f t="shared" si="28"/>
        <v>0</v>
      </c>
      <c r="S69" s="3">
        <f t="shared" si="29"/>
        <v>0</v>
      </c>
      <c r="T69" s="3" t="str">
        <f t="shared" si="30"/>
        <v>0</v>
      </c>
      <c r="U69" s="3"/>
      <c r="V69" s="3"/>
      <c r="W69" s="3"/>
      <c r="X69" s="3"/>
      <c r="Y69" s="3"/>
      <c r="Z69" s="3"/>
    </row>
    <row r="70" spans="1:26" x14ac:dyDescent="0.25">
      <c r="A70" s="2">
        <v>46198</v>
      </c>
      <c r="B70" s="3" t="s">
        <v>170</v>
      </c>
      <c r="C70" s="169" t="s">
        <v>259</v>
      </c>
      <c r="D70" s="170">
        <v>652</v>
      </c>
      <c r="E70" s="173">
        <v>0.995</v>
      </c>
      <c r="F70" s="174">
        <f>D70*E70</f>
        <v>648.74</v>
      </c>
      <c r="G70" s="6">
        <f t="shared" si="18"/>
        <v>0</v>
      </c>
      <c r="H70" s="7"/>
      <c r="I70" s="158" t="str">
        <f t="shared" si="19"/>
        <v>0</v>
      </c>
      <c r="J70" s="3" t="str">
        <f t="shared" si="20"/>
        <v>0</v>
      </c>
      <c r="K70" s="3" t="str">
        <f t="shared" si="21"/>
        <v>0</v>
      </c>
      <c r="L70" s="3" t="str">
        <f t="shared" si="22"/>
        <v>0</v>
      </c>
      <c r="M70" s="3" t="str">
        <f t="shared" si="23"/>
        <v>0</v>
      </c>
      <c r="N70" s="3" t="str">
        <f t="shared" si="24"/>
        <v>0</v>
      </c>
      <c r="O70" s="3">
        <f t="shared" si="25"/>
        <v>652</v>
      </c>
      <c r="P70" s="3" t="str">
        <f t="shared" si="26"/>
        <v>0</v>
      </c>
      <c r="Q70" s="3">
        <f t="shared" si="27"/>
        <v>648.74</v>
      </c>
      <c r="R70" s="3" t="str">
        <f t="shared" si="28"/>
        <v>0</v>
      </c>
      <c r="S70" s="3">
        <f t="shared" si="29"/>
        <v>0</v>
      </c>
      <c r="T70" s="3" t="str">
        <f t="shared" si="30"/>
        <v>0</v>
      </c>
      <c r="U70" s="3"/>
      <c r="V70" s="3"/>
      <c r="W70" s="3"/>
      <c r="X70" s="3"/>
      <c r="Y70" s="3"/>
      <c r="Z70" s="3"/>
    </row>
    <row r="71" spans="1:26" x14ac:dyDescent="0.25">
      <c r="A71" s="199">
        <v>46198</v>
      </c>
      <c r="B71" s="200" t="s">
        <v>170</v>
      </c>
      <c r="C71" s="169" t="s">
        <v>270</v>
      </c>
      <c r="D71" s="201">
        <v>62</v>
      </c>
      <c r="E71" s="202">
        <v>0.99990000000000001</v>
      </c>
      <c r="F71" s="203">
        <f>D71*E71</f>
        <v>61.9938</v>
      </c>
      <c r="G71" s="204">
        <f t="shared" si="18"/>
        <v>0</v>
      </c>
      <c r="H71" s="205"/>
      <c r="I71" s="206" t="str">
        <f t="shared" si="19"/>
        <v>0</v>
      </c>
      <c r="J71" s="200" t="str">
        <f t="shared" si="20"/>
        <v>0</v>
      </c>
      <c r="K71" s="200" t="str">
        <f t="shared" si="21"/>
        <v>0</v>
      </c>
      <c r="L71" s="200" t="str">
        <f t="shared" si="22"/>
        <v>0</v>
      </c>
      <c r="M71" s="200" t="str">
        <f t="shared" si="23"/>
        <v>0</v>
      </c>
      <c r="N71" s="200" t="str">
        <f t="shared" si="24"/>
        <v>0</v>
      </c>
      <c r="O71" s="200">
        <f t="shared" si="25"/>
        <v>62</v>
      </c>
      <c r="P71" s="200" t="str">
        <f t="shared" si="26"/>
        <v>0</v>
      </c>
      <c r="Q71" s="200">
        <f t="shared" si="27"/>
        <v>61.9938</v>
      </c>
      <c r="R71" s="200" t="str">
        <f t="shared" si="28"/>
        <v>0</v>
      </c>
      <c r="S71" s="200">
        <f t="shared" si="29"/>
        <v>0</v>
      </c>
      <c r="T71" s="200" t="str">
        <f t="shared" si="30"/>
        <v>0</v>
      </c>
      <c r="U71" s="200"/>
      <c r="V71" s="200"/>
      <c r="W71" s="200"/>
      <c r="X71" s="200"/>
      <c r="Y71" s="200"/>
      <c r="Z71" s="200"/>
    </row>
    <row r="72" spans="1:26" x14ac:dyDescent="0.25">
      <c r="A72" s="199">
        <v>46198</v>
      </c>
      <c r="B72" s="200" t="s">
        <v>209</v>
      </c>
      <c r="C72" s="169" t="s">
        <v>270</v>
      </c>
      <c r="D72" s="201">
        <v>541</v>
      </c>
      <c r="E72" s="202">
        <v>0.995</v>
      </c>
      <c r="F72" s="203">
        <f>+D72*E72</f>
        <v>538.29499999999996</v>
      </c>
      <c r="G72" s="204">
        <f t="shared" si="18"/>
        <v>0</v>
      </c>
      <c r="H72" s="205"/>
      <c r="I72" s="206" t="str">
        <f t="shared" si="19"/>
        <v>0</v>
      </c>
      <c r="J72" s="200" t="str">
        <f t="shared" si="20"/>
        <v>0</v>
      </c>
      <c r="K72" s="200" t="str">
        <f t="shared" si="21"/>
        <v>0</v>
      </c>
      <c r="L72" s="200" t="str">
        <f t="shared" si="22"/>
        <v>0</v>
      </c>
      <c r="M72" s="200" t="str">
        <f t="shared" si="23"/>
        <v>0</v>
      </c>
      <c r="N72" s="200" t="str">
        <f t="shared" si="24"/>
        <v>0</v>
      </c>
      <c r="O72" s="200" t="str">
        <f t="shared" si="25"/>
        <v>0</v>
      </c>
      <c r="P72" s="200">
        <f t="shared" si="26"/>
        <v>541</v>
      </c>
      <c r="Q72" s="200" t="str">
        <f t="shared" si="27"/>
        <v>0</v>
      </c>
      <c r="R72" s="200">
        <f t="shared" si="28"/>
        <v>538.29499999999996</v>
      </c>
      <c r="S72" s="200" t="str">
        <f t="shared" si="29"/>
        <v>0</v>
      </c>
      <c r="T72" s="200">
        <f t="shared" si="30"/>
        <v>0</v>
      </c>
      <c r="U72" s="200"/>
      <c r="V72" s="200"/>
      <c r="W72" s="200"/>
      <c r="X72" s="200"/>
      <c r="Y72" s="200"/>
      <c r="Z72" s="200"/>
    </row>
    <row r="73" spans="1:26" x14ac:dyDescent="0.25">
      <c r="A73" s="2">
        <v>46198</v>
      </c>
      <c r="B73" s="3" t="s">
        <v>171</v>
      </c>
      <c r="C73" s="3" t="s">
        <v>271</v>
      </c>
      <c r="D73" s="4"/>
      <c r="E73" s="5"/>
      <c r="F73" s="6">
        <f>+D73*E73</f>
        <v>0</v>
      </c>
      <c r="G73" s="6" t="e">
        <f t="shared" si="18"/>
        <v>#DIV/0!</v>
      </c>
      <c r="H73" s="7"/>
      <c r="I73" s="3" t="str">
        <f t="shared" si="19"/>
        <v>0</v>
      </c>
      <c r="J73" s="3" t="str">
        <f t="shared" si="20"/>
        <v>0</v>
      </c>
      <c r="K73" s="3" t="str">
        <f t="shared" si="21"/>
        <v>0</v>
      </c>
      <c r="L73" s="3" t="str">
        <f t="shared" si="22"/>
        <v>0</v>
      </c>
      <c r="M73" s="3" t="str">
        <f t="shared" si="23"/>
        <v>0</v>
      </c>
      <c r="N73" s="3" t="str">
        <f t="shared" si="24"/>
        <v>0</v>
      </c>
      <c r="O73" s="3" t="str">
        <f t="shared" si="25"/>
        <v>0</v>
      </c>
      <c r="P73" s="3" t="str">
        <f t="shared" si="26"/>
        <v>0</v>
      </c>
      <c r="Q73" s="3" t="str">
        <f t="shared" si="27"/>
        <v>0</v>
      </c>
      <c r="R73" s="3" t="str">
        <f t="shared" si="28"/>
        <v>0</v>
      </c>
      <c r="S73" s="3" t="str">
        <f t="shared" si="29"/>
        <v>0</v>
      </c>
      <c r="T73" s="3" t="str">
        <f t="shared" si="30"/>
        <v>0</v>
      </c>
      <c r="U73" s="3">
        <v>1645</v>
      </c>
      <c r="V73" s="3"/>
      <c r="W73" s="3"/>
      <c r="X73" s="3"/>
      <c r="Y73" s="3"/>
      <c r="Z73" s="3"/>
    </row>
    <row r="74" spans="1:26" x14ac:dyDescent="0.25">
      <c r="A74" s="2">
        <v>46198</v>
      </c>
      <c r="B74" s="3" t="s">
        <v>171</v>
      </c>
      <c r="C74" s="3" t="s">
        <v>274</v>
      </c>
      <c r="D74" s="4"/>
      <c r="E74" s="5"/>
      <c r="F74" s="6">
        <f>+D74*E74</f>
        <v>0</v>
      </c>
      <c r="G74" s="6" t="e">
        <f t="shared" si="18"/>
        <v>#DIV/0!</v>
      </c>
      <c r="H74" s="7"/>
      <c r="I74" s="3" t="str">
        <f t="shared" si="19"/>
        <v>0</v>
      </c>
      <c r="J74" s="3" t="str">
        <f t="shared" si="20"/>
        <v>0</v>
      </c>
      <c r="K74" s="3" t="str">
        <f t="shared" si="21"/>
        <v>0</v>
      </c>
      <c r="L74" s="3" t="str">
        <f t="shared" si="22"/>
        <v>0</v>
      </c>
      <c r="M74" s="3" t="str">
        <f t="shared" si="23"/>
        <v>0</v>
      </c>
      <c r="N74" s="3" t="str">
        <f t="shared" si="24"/>
        <v>0</v>
      </c>
      <c r="O74" s="3" t="str">
        <f t="shared" si="25"/>
        <v>0</v>
      </c>
      <c r="P74" s="3" t="str">
        <f t="shared" si="26"/>
        <v>0</v>
      </c>
      <c r="Q74" s="3" t="str">
        <f t="shared" si="27"/>
        <v>0</v>
      </c>
      <c r="R74" s="3" t="str">
        <f t="shared" si="28"/>
        <v>0</v>
      </c>
      <c r="S74" s="3" t="str">
        <f t="shared" si="29"/>
        <v>0</v>
      </c>
      <c r="T74" s="3" t="str">
        <f t="shared" si="30"/>
        <v>0</v>
      </c>
      <c r="U74" s="3">
        <v>885</v>
      </c>
      <c r="V74" s="3"/>
      <c r="W74" s="3"/>
      <c r="X74" s="3"/>
      <c r="Y74" s="3"/>
      <c r="Z74" s="3"/>
    </row>
    <row r="75" spans="1:26" x14ac:dyDescent="0.25">
      <c r="A75" s="199">
        <v>46200</v>
      </c>
      <c r="B75" s="200" t="s">
        <v>169</v>
      </c>
      <c r="C75" s="169" t="s">
        <v>270</v>
      </c>
      <c r="D75" s="201">
        <v>245</v>
      </c>
      <c r="E75" s="202">
        <v>0.88</v>
      </c>
      <c r="F75" s="203">
        <f>+D75*E75</f>
        <v>215.6</v>
      </c>
      <c r="G75" s="203">
        <f t="shared" si="18"/>
        <v>23.205551020408162</v>
      </c>
      <c r="H75" s="208">
        <f>947.56*6</f>
        <v>5685.36</v>
      </c>
      <c r="I75" s="206">
        <f t="shared" si="19"/>
        <v>245</v>
      </c>
      <c r="J75" s="200" t="str">
        <f t="shared" si="20"/>
        <v>0</v>
      </c>
      <c r="K75" s="200">
        <f t="shared" si="21"/>
        <v>215.6</v>
      </c>
      <c r="L75" s="200" t="str">
        <f t="shared" si="22"/>
        <v>0</v>
      </c>
      <c r="M75" s="200">
        <f t="shared" si="23"/>
        <v>5685.36</v>
      </c>
      <c r="N75" s="200" t="str">
        <f t="shared" si="24"/>
        <v>0</v>
      </c>
      <c r="O75" s="200" t="str">
        <f t="shared" si="25"/>
        <v>0</v>
      </c>
      <c r="P75" s="200" t="str">
        <f t="shared" si="26"/>
        <v>0</v>
      </c>
      <c r="Q75" s="200" t="str">
        <f t="shared" si="27"/>
        <v>0</v>
      </c>
      <c r="R75" s="200" t="str">
        <f t="shared" si="28"/>
        <v>0</v>
      </c>
      <c r="S75" s="200" t="str">
        <f t="shared" si="29"/>
        <v>0</v>
      </c>
      <c r="T75" s="200" t="str">
        <f t="shared" si="30"/>
        <v>0</v>
      </c>
      <c r="U75" s="200"/>
      <c r="V75" s="200"/>
      <c r="W75" s="200"/>
      <c r="X75" s="200"/>
      <c r="Y75" s="200"/>
      <c r="Z75" s="200"/>
    </row>
    <row r="76" spans="1:26" x14ac:dyDescent="0.25">
      <c r="A76" s="2">
        <v>46200</v>
      </c>
      <c r="B76" s="3" t="s">
        <v>169</v>
      </c>
      <c r="C76" s="169" t="s">
        <v>255</v>
      </c>
      <c r="D76" s="170">
        <v>538.91189999999995</v>
      </c>
      <c r="E76" s="171">
        <v>0.88</v>
      </c>
      <c r="F76" s="172">
        <f>+D76*E76</f>
        <v>474.24247199999996</v>
      </c>
      <c r="G76" s="172">
        <f t="shared" si="18"/>
        <v>8.9491436355367178</v>
      </c>
      <c r="H76" s="176">
        <f>364.2*8+159.1*12</f>
        <v>4822.7999999999993</v>
      </c>
      <c r="I76" s="158">
        <f t="shared" si="19"/>
        <v>538.91189999999995</v>
      </c>
      <c r="J76" s="3" t="str">
        <f t="shared" si="20"/>
        <v>0</v>
      </c>
      <c r="K76" s="3">
        <f t="shared" si="21"/>
        <v>474.24247199999996</v>
      </c>
      <c r="L76" s="3" t="str">
        <f t="shared" si="22"/>
        <v>0</v>
      </c>
      <c r="M76" s="3">
        <f t="shared" si="23"/>
        <v>4822.7999999999993</v>
      </c>
      <c r="N76" s="3" t="str">
        <f t="shared" si="24"/>
        <v>0</v>
      </c>
      <c r="O76" s="3" t="str">
        <f t="shared" si="25"/>
        <v>0</v>
      </c>
      <c r="P76" s="3" t="str">
        <f t="shared" si="26"/>
        <v>0</v>
      </c>
      <c r="Q76" s="3" t="str">
        <f t="shared" si="27"/>
        <v>0</v>
      </c>
      <c r="R76" s="3" t="str">
        <f t="shared" si="28"/>
        <v>0</v>
      </c>
      <c r="S76" s="3" t="str">
        <f t="shared" si="29"/>
        <v>0</v>
      </c>
      <c r="T76" s="3" t="str">
        <f t="shared" si="30"/>
        <v>0</v>
      </c>
      <c r="U76" s="3"/>
      <c r="V76" s="3"/>
      <c r="W76" s="3"/>
      <c r="X76" s="3"/>
      <c r="Y76" s="3"/>
      <c r="Z76" s="3"/>
    </row>
    <row r="77" spans="1:26" x14ac:dyDescent="0.25">
      <c r="A77" s="199">
        <v>46200</v>
      </c>
      <c r="B77" s="200" t="s">
        <v>170</v>
      </c>
      <c r="C77" s="169" t="s">
        <v>270</v>
      </c>
      <c r="D77" s="201">
        <v>242.70400000000001</v>
      </c>
      <c r="E77" s="202">
        <v>0.995</v>
      </c>
      <c r="F77" s="203">
        <f>D77*E77</f>
        <v>241.49048000000002</v>
      </c>
      <c r="G77" s="204">
        <f t="shared" si="18"/>
        <v>0</v>
      </c>
      <c r="H77" s="205"/>
      <c r="I77" s="206" t="str">
        <f t="shared" si="19"/>
        <v>0</v>
      </c>
      <c r="J77" s="200" t="str">
        <f t="shared" si="20"/>
        <v>0</v>
      </c>
      <c r="K77" s="200" t="str">
        <f t="shared" si="21"/>
        <v>0</v>
      </c>
      <c r="L77" s="200" t="str">
        <f t="shared" si="22"/>
        <v>0</v>
      </c>
      <c r="M77" s="200" t="str">
        <f t="shared" si="23"/>
        <v>0</v>
      </c>
      <c r="N77" s="200" t="str">
        <f t="shared" si="24"/>
        <v>0</v>
      </c>
      <c r="O77" s="200">
        <f t="shared" si="25"/>
        <v>242.70400000000001</v>
      </c>
      <c r="P77" s="200" t="str">
        <f t="shared" si="26"/>
        <v>0</v>
      </c>
      <c r="Q77" s="200">
        <f t="shared" si="27"/>
        <v>241.49048000000002</v>
      </c>
      <c r="R77" s="200" t="str">
        <f t="shared" si="28"/>
        <v>0</v>
      </c>
      <c r="S77" s="200">
        <f t="shared" si="29"/>
        <v>0</v>
      </c>
      <c r="T77" s="200" t="str">
        <f t="shared" si="30"/>
        <v>0</v>
      </c>
      <c r="U77" s="200"/>
      <c r="V77" s="200"/>
      <c r="W77" s="200"/>
      <c r="X77" s="200"/>
      <c r="Y77" s="200"/>
      <c r="Z77" s="200"/>
    </row>
    <row r="78" spans="1:26" x14ac:dyDescent="0.25">
      <c r="A78" s="2">
        <v>46200</v>
      </c>
      <c r="B78" s="3" t="s">
        <v>170</v>
      </c>
      <c r="C78" s="169" t="s">
        <v>255</v>
      </c>
      <c r="D78" s="170">
        <v>242.69045</v>
      </c>
      <c r="E78" s="173">
        <v>0.995</v>
      </c>
      <c r="F78" s="174">
        <f>D78*E78</f>
        <v>241.47699775000001</v>
      </c>
      <c r="G78" s="6">
        <f t="shared" si="18"/>
        <v>0</v>
      </c>
      <c r="H78" s="7"/>
      <c r="I78" s="158" t="str">
        <f t="shared" si="19"/>
        <v>0</v>
      </c>
      <c r="J78" s="3" t="str">
        <f t="shared" si="20"/>
        <v>0</v>
      </c>
      <c r="K78" s="3" t="str">
        <f t="shared" si="21"/>
        <v>0</v>
      </c>
      <c r="L78" s="3" t="str">
        <f t="shared" si="22"/>
        <v>0</v>
      </c>
      <c r="M78" s="3" t="str">
        <f t="shared" si="23"/>
        <v>0</v>
      </c>
      <c r="N78" s="3" t="str">
        <f t="shared" si="24"/>
        <v>0</v>
      </c>
      <c r="O78" s="3">
        <f t="shared" si="25"/>
        <v>242.69045</v>
      </c>
      <c r="P78" s="3" t="str">
        <f t="shared" si="26"/>
        <v>0</v>
      </c>
      <c r="Q78" s="3">
        <f t="shared" si="27"/>
        <v>241.47699775000001</v>
      </c>
      <c r="R78" s="3" t="str">
        <f t="shared" si="28"/>
        <v>0</v>
      </c>
      <c r="S78" s="3">
        <f t="shared" si="29"/>
        <v>0</v>
      </c>
      <c r="T78" s="3" t="str">
        <f t="shared" si="30"/>
        <v>0</v>
      </c>
      <c r="U78" s="3"/>
      <c r="V78" s="3"/>
      <c r="W78" s="3"/>
      <c r="X78" s="3"/>
      <c r="Y78" s="3"/>
      <c r="Z78" s="3"/>
    </row>
    <row r="79" spans="1:26" x14ac:dyDescent="0.25">
      <c r="A79" s="2">
        <v>46200</v>
      </c>
      <c r="B79" s="3" t="s">
        <v>171</v>
      </c>
      <c r="C79" s="169" t="s">
        <v>255</v>
      </c>
      <c r="D79" s="4"/>
      <c r="E79" s="5"/>
      <c r="F79" s="6">
        <f t="shared" ref="F79:F84" si="31">+D79*E79</f>
        <v>0</v>
      </c>
      <c r="G79" s="6" t="e">
        <f t="shared" si="18"/>
        <v>#DIV/0!</v>
      </c>
      <c r="H79" s="7"/>
      <c r="I79" s="158" t="str">
        <f t="shared" si="19"/>
        <v>0</v>
      </c>
      <c r="J79" s="3" t="str">
        <f t="shared" si="20"/>
        <v>0</v>
      </c>
      <c r="K79" s="3" t="str">
        <f t="shared" si="21"/>
        <v>0</v>
      </c>
      <c r="L79" s="3" t="str">
        <f t="shared" si="22"/>
        <v>0</v>
      </c>
      <c r="M79" s="3" t="str">
        <f t="shared" si="23"/>
        <v>0</v>
      </c>
      <c r="N79" s="3" t="str">
        <f t="shared" si="24"/>
        <v>0</v>
      </c>
      <c r="O79" s="3" t="str">
        <f t="shared" si="25"/>
        <v>0</v>
      </c>
      <c r="P79" s="3" t="str">
        <f t="shared" si="26"/>
        <v>0</v>
      </c>
      <c r="Q79" s="3" t="str">
        <f t="shared" si="27"/>
        <v>0</v>
      </c>
      <c r="R79" s="3" t="str">
        <f t="shared" si="28"/>
        <v>0</v>
      </c>
      <c r="S79" s="3" t="str">
        <f t="shared" si="29"/>
        <v>0</v>
      </c>
      <c r="T79" s="3" t="str">
        <f t="shared" si="30"/>
        <v>0</v>
      </c>
      <c r="U79" s="3">
        <v>4820</v>
      </c>
      <c r="V79" s="3"/>
      <c r="W79" s="3"/>
      <c r="X79" s="3"/>
      <c r="Y79" s="3"/>
      <c r="Z79" s="3"/>
    </row>
    <row r="80" spans="1:26" x14ac:dyDescent="0.25">
      <c r="A80" s="199">
        <v>46200</v>
      </c>
      <c r="B80" s="200" t="s">
        <v>171</v>
      </c>
      <c r="C80" s="169" t="s">
        <v>270</v>
      </c>
      <c r="D80" s="4"/>
      <c r="E80" s="207"/>
      <c r="F80" s="204">
        <f t="shared" si="31"/>
        <v>0</v>
      </c>
      <c r="G80" s="204" t="e">
        <f t="shared" si="18"/>
        <v>#DIV/0!</v>
      </c>
      <c r="H80" s="205"/>
      <c r="I80" s="200" t="str">
        <f t="shared" si="19"/>
        <v>0</v>
      </c>
      <c r="J80" s="200" t="str">
        <f t="shared" si="20"/>
        <v>0</v>
      </c>
      <c r="K80" s="200" t="str">
        <f t="shared" si="21"/>
        <v>0</v>
      </c>
      <c r="L80" s="200" t="str">
        <f t="shared" si="22"/>
        <v>0</v>
      </c>
      <c r="M80" s="200" t="str">
        <f t="shared" si="23"/>
        <v>0</v>
      </c>
      <c r="N80" s="200" t="str">
        <f t="shared" si="24"/>
        <v>0</v>
      </c>
      <c r="O80" s="200" t="str">
        <f t="shared" si="25"/>
        <v>0</v>
      </c>
      <c r="P80" s="200" t="str">
        <f t="shared" si="26"/>
        <v>0</v>
      </c>
      <c r="Q80" s="200" t="str">
        <f t="shared" si="27"/>
        <v>0</v>
      </c>
      <c r="R80" s="200" t="str">
        <f t="shared" si="28"/>
        <v>0</v>
      </c>
      <c r="S80" s="200" t="str">
        <f t="shared" si="29"/>
        <v>0</v>
      </c>
      <c r="T80" s="200" t="str">
        <f t="shared" si="30"/>
        <v>0</v>
      </c>
      <c r="U80" s="200">
        <v>5685</v>
      </c>
      <c r="V80" s="200"/>
      <c r="W80" s="200"/>
      <c r="X80" s="200"/>
      <c r="Y80" s="200"/>
      <c r="Z80" s="200"/>
    </row>
    <row r="81" spans="1:26" x14ac:dyDescent="0.25">
      <c r="A81" s="2">
        <v>46202</v>
      </c>
      <c r="B81" s="3" t="s">
        <v>169</v>
      </c>
      <c r="C81" s="169" t="s">
        <v>268</v>
      </c>
      <c r="D81" s="170">
        <v>455.57600000000002</v>
      </c>
      <c r="E81" s="171">
        <v>0.88</v>
      </c>
      <c r="F81" s="172">
        <f t="shared" si="31"/>
        <v>400.90688</v>
      </c>
      <c r="G81" s="172">
        <f t="shared" si="18"/>
        <v>4.9913516076351696</v>
      </c>
      <c r="H81" s="176">
        <f>252.66*9</f>
        <v>2273.94</v>
      </c>
      <c r="I81" s="158">
        <f t="shared" si="19"/>
        <v>455.57600000000002</v>
      </c>
      <c r="J81" s="3" t="str">
        <f t="shared" si="20"/>
        <v>0</v>
      </c>
      <c r="K81" s="3">
        <f t="shared" si="21"/>
        <v>400.90688</v>
      </c>
      <c r="L81" s="3" t="str">
        <f t="shared" si="22"/>
        <v>0</v>
      </c>
      <c r="M81" s="3">
        <f t="shared" si="23"/>
        <v>2273.94</v>
      </c>
      <c r="N81" s="3" t="str">
        <f t="shared" si="24"/>
        <v>0</v>
      </c>
      <c r="O81" s="3" t="str">
        <f t="shared" si="25"/>
        <v>0</v>
      </c>
      <c r="P81" s="3" t="str">
        <f t="shared" si="26"/>
        <v>0</v>
      </c>
      <c r="Q81" s="3" t="str">
        <f t="shared" si="27"/>
        <v>0</v>
      </c>
      <c r="R81" s="3" t="str">
        <f t="shared" si="28"/>
        <v>0</v>
      </c>
      <c r="S81" s="3" t="str">
        <f t="shared" si="29"/>
        <v>0</v>
      </c>
      <c r="T81" s="3" t="str">
        <f t="shared" si="30"/>
        <v>0</v>
      </c>
      <c r="U81" s="3"/>
      <c r="V81" s="3"/>
      <c r="W81" s="3"/>
      <c r="X81" s="3"/>
      <c r="Y81" s="3"/>
      <c r="Z81" s="3"/>
    </row>
    <row r="82" spans="1:26" x14ac:dyDescent="0.25">
      <c r="A82" s="2">
        <v>46202</v>
      </c>
      <c r="B82" s="3" t="s">
        <v>170</v>
      </c>
      <c r="C82" s="169" t="s">
        <v>268</v>
      </c>
      <c r="D82" s="170">
        <v>455.56075000000004</v>
      </c>
      <c r="E82" s="173">
        <v>0.995</v>
      </c>
      <c r="F82" s="172">
        <f t="shared" si="31"/>
        <v>453.28294625000007</v>
      </c>
      <c r="G82" s="6">
        <f t="shared" si="18"/>
        <v>0</v>
      </c>
      <c r="H82" s="7"/>
      <c r="I82" s="158" t="str">
        <f t="shared" si="19"/>
        <v>0</v>
      </c>
      <c r="J82" s="3" t="str">
        <f t="shared" si="20"/>
        <v>0</v>
      </c>
      <c r="K82" s="3" t="str">
        <f t="shared" si="21"/>
        <v>0</v>
      </c>
      <c r="L82" s="3" t="str">
        <f t="shared" si="22"/>
        <v>0</v>
      </c>
      <c r="M82" s="3" t="str">
        <f t="shared" si="23"/>
        <v>0</v>
      </c>
      <c r="N82" s="3" t="str">
        <f t="shared" si="24"/>
        <v>0</v>
      </c>
      <c r="O82" s="3">
        <f t="shared" si="25"/>
        <v>455.56075000000004</v>
      </c>
      <c r="P82" s="3" t="str">
        <f t="shared" si="26"/>
        <v>0</v>
      </c>
      <c r="Q82" s="3">
        <f t="shared" si="27"/>
        <v>453.28294625000007</v>
      </c>
      <c r="R82" s="3" t="str">
        <f t="shared" si="28"/>
        <v>0</v>
      </c>
      <c r="S82" s="3">
        <f t="shared" si="29"/>
        <v>0</v>
      </c>
      <c r="T82" s="3" t="str">
        <f t="shared" si="30"/>
        <v>0</v>
      </c>
      <c r="U82" s="3"/>
      <c r="V82" s="3"/>
      <c r="W82" s="3"/>
      <c r="X82" s="3"/>
      <c r="Y82" s="3"/>
      <c r="Z82" s="3"/>
    </row>
    <row r="83" spans="1:26" x14ac:dyDescent="0.25">
      <c r="A83" s="2">
        <v>46202</v>
      </c>
      <c r="B83" s="3" t="s">
        <v>171</v>
      </c>
      <c r="C83" s="169" t="s">
        <v>268</v>
      </c>
      <c r="D83" s="4"/>
      <c r="E83" s="5"/>
      <c r="F83" s="6">
        <f t="shared" si="31"/>
        <v>0</v>
      </c>
      <c r="G83" s="6" t="e">
        <f t="shared" si="18"/>
        <v>#DIV/0!</v>
      </c>
      <c r="H83" s="7"/>
      <c r="I83" s="3" t="str">
        <f t="shared" si="19"/>
        <v>0</v>
      </c>
      <c r="J83" s="3" t="str">
        <f t="shared" si="20"/>
        <v>0</v>
      </c>
      <c r="K83" s="3" t="str">
        <f t="shared" si="21"/>
        <v>0</v>
      </c>
      <c r="L83" s="3" t="str">
        <f t="shared" si="22"/>
        <v>0</v>
      </c>
      <c r="M83" s="3" t="str">
        <f t="shared" si="23"/>
        <v>0</v>
      </c>
      <c r="N83" s="3" t="str">
        <f t="shared" si="24"/>
        <v>0</v>
      </c>
      <c r="O83" s="3" t="str">
        <f t="shared" si="25"/>
        <v>0</v>
      </c>
      <c r="P83" s="3" t="str">
        <f t="shared" si="26"/>
        <v>0</v>
      </c>
      <c r="Q83" s="3" t="str">
        <f t="shared" si="27"/>
        <v>0</v>
      </c>
      <c r="R83" s="3" t="str">
        <f t="shared" si="28"/>
        <v>0</v>
      </c>
      <c r="S83" s="3" t="str">
        <f t="shared" si="29"/>
        <v>0</v>
      </c>
      <c r="T83" s="3" t="str">
        <f t="shared" si="30"/>
        <v>0</v>
      </c>
      <c r="U83" s="3">
        <v>2275</v>
      </c>
      <c r="V83" s="3"/>
      <c r="W83" s="3"/>
      <c r="X83" s="3"/>
      <c r="Y83" s="3"/>
      <c r="Z83" s="3"/>
    </row>
    <row r="84" spans="1:26" x14ac:dyDescent="0.25">
      <c r="A84" s="2">
        <v>46143</v>
      </c>
      <c r="B84" s="3" t="s">
        <v>169</v>
      </c>
      <c r="C84" s="169" t="s">
        <v>258</v>
      </c>
      <c r="D84" s="172">
        <v>113.32879360000001</v>
      </c>
      <c r="E84" s="5">
        <v>0.88</v>
      </c>
      <c r="F84" s="6">
        <f t="shared" si="31"/>
        <v>99.729338368000015</v>
      </c>
      <c r="G84" s="6">
        <f t="shared" si="18"/>
        <v>24.110377541334735</v>
      </c>
      <c r="H84" s="7">
        <f>303.6*9</f>
        <v>2732.4</v>
      </c>
      <c r="I84" s="3">
        <f t="shared" si="19"/>
        <v>113.32879360000001</v>
      </c>
      <c r="J84" s="3" t="str">
        <f t="shared" si="20"/>
        <v>0</v>
      </c>
      <c r="K84" s="3">
        <f t="shared" si="21"/>
        <v>99.729338368000015</v>
      </c>
      <c r="L84" s="3" t="str">
        <f t="shared" si="22"/>
        <v>0</v>
      </c>
      <c r="M84" s="3">
        <f t="shared" si="23"/>
        <v>2732.4</v>
      </c>
      <c r="N84" s="3" t="str">
        <f t="shared" si="24"/>
        <v>0</v>
      </c>
      <c r="O84" s="3" t="str">
        <f t="shared" si="25"/>
        <v>0</v>
      </c>
      <c r="P84" s="3" t="str">
        <f t="shared" si="26"/>
        <v>0</v>
      </c>
      <c r="Q84" s="3" t="str">
        <f t="shared" si="27"/>
        <v>0</v>
      </c>
      <c r="R84" s="3" t="str">
        <f t="shared" si="28"/>
        <v>0</v>
      </c>
      <c r="S84" s="3" t="str">
        <f t="shared" si="29"/>
        <v>0</v>
      </c>
      <c r="T84" s="3" t="str">
        <f t="shared" si="30"/>
        <v>0</v>
      </c>
      <c r="U84" s="3"/>
      <c r="V84" s="3"/>
      <c r="W84" s="3"/>
      <c r="X84" s="3"/>
      <c r="Y84" s="3"/>
      <c r="Z84" s="3"/>
    </row>
    <row r="85" spans="1:26" x14ac:dyDescent="0.25">
      <c r="A85" s="2">
        <v>46143</v>
      </c>
      <c r="B85" s="3" t="s">
        <v>170</v>
      </c>
      <c r="C85" s="169" t="s">
        <v>258</v>
      </c>
      <c r="D85" s="6">
        <v>502.11282000000006</v>
      </c>
      <c r="E85" s="209">
        <v>0.995</v>
      </c>
      <c r="F85" s="184">
        <f>D85*E85</f>
        <v>499.60225590000005</v>
      </c>
      <c r="G85" s="6"/>
      <c r="H85" s="210"/>
      <c r="I85" s="3" t="str">
        <f t="shared" si="19"/>
        <v>0</v>
      </c>
      <c r="J85" s="3" t="str">
        <f t="shared" si="20"/>
        <v>0</v>
      </c>
      <c r="K85" s="3" t="str">
        <f t="shared" si="21"/>
        <v>0</v>
      </c>
      <c r="L85" s="3" t="str">
        <f t="shared" si="22"/>
        <v>0</v>
      </c>
      <c r="M85" s="3" t="str">
        <f t="shared" si="23"/>
        <v>0</v>
      </c>
      <c r="N85" s="3" t="str">
        <f t="shared" si="24"/>
        <v>0</v>
      </c>
      <c r="O85" s="3">
        <f t="shared" si="25"/>
        <v>502.11282000000006</v>
      </c>
      <c r="P85" s="3" t="str">
        <f t="shared" si="26"/>
        <v>0</v>
      </c>
      <c r="Q85" s="3">
        <f t="shared" si="27"/>
        <v>499.60225590000005</v>
      </c>
      <c r="R85" s="3" t="str">
        <f t="shared" si="28"/>
        <v>0</v>
      </c>
      <c r="S85" s="3">
        <f t="shared" si="29"/>
        <v>0</v>
      </c>
      <c r="T85" s="3" t="str">
        <f t="shared" si="30"/>
        <v>0</v>
      </c>
      <c r="U85" s="3"/>
      <c r="V85" s="3"/>
      <c r="W85" s="3"/>
      <c r="X85" s="3"/>
      <c r="Y85" s="3"/>
      <c r="Z85" s="3"/>
    </row>
    <row r="86" spans="1:26" x14ac:dyDescent="0.25">
      <c r="A86" s="2">
        <v>46143</v>
      </c>
      <c r="B86" s="3" t="s">
        <v>170</v>
      </c>
      <c r="C86" s="169" t="s">
        <v>256</v>
      </c>
      <c r="D86" s="184">
        <v>1174.0044800000001</v>
      </c>
      <c r="E86" s="209">
        <v>0.88</v>
      </c>
      <c r="F86" s="184">
        <f>D86*E86</f>
        <v>1033.1239424</v>
      </c>
      <c r="G86" s="6">
        <f>H86/D86</f>
        <v>1.3822136351643224</v>
      </c>
      <c r="H86" s="210">
        <v>1622.7250000000001</v>
      </c>
      <c r="I86" s="3" t="str">
        <f t="shared" si="19"/>
        <v>0</v>
      </c>
      <c r="J86" s="3" t="str">
        <f t="shared" si="20"/>
        <v>0</v>
      </c>
      <c r="K86" s="3" t="str">
        <f t="shared" si="21"/>
        <v>0</v>
      </c>
      <c r="L86" s="3" t="str">
        <f t="shared" si="22"/>
        <v>0</v>
      </c>
      <c r="M86" s="3" t="str">
        <f t="shared" si="23"/>
        <v>0</v>
      </c>
      <c r="N86" s="3" t="str">
        <f t="shared" si="24"/>
        <v>0</v>
      </c>
      <c r="O86" s="3">
        <f t="shared" si="25"/>
        <v>1174.0044800000001</v>
      </c>
      <c r="P86" s="3" t="str">
        <f t="shared" si="26"/>
        <v>0</v>
      </c>
      <c r="Q86" s="3">
        <f t="shared" si="27"/>
        <v>1033.1239424</v>
      </c>
      <c r="R86" s="3" t="str">
        <f t="shared" si="28"/>
        <v>0</v>
      </c>
      <c r="S86" s="3">
        <f t="shared" si="29"/>
        <v>1622.7250000000001</v>
      </c>
      <c r="T86" s="3" t="str">
        <f t="shared" si="30"/>
        <v>0</v>
      </c>
      <c r="U86" s="3"/>
      <c r="V86" s="3"/>
      <c r="W86" s="3"/>
      <c r="X86" s="3"/>
      <c r="Y86" s="3"/>
      <c r="Z86" s="3"/>
    </row>
    <row r="87" spans="1:26" x14ac:dyDescent="0.25">
      <c r="A87" s="2">
        <v>46143</v>
      </c>
      <c r="B87" s="3" t="s">
        <v>209</v>
      </c>
      <c r="C87" s="169" t="s">
        <v>267</v>
      </c>
      <c r="D87" s="6">
        <v>454</v>
      </c>
      <c r="E87" s="209">
        <v>0.995</v>
      </c>
      <c r="F87" s="184">
        <f t="shared" ref="F87:F92" si="32">+D87*E87</f>
        <v>451.73</v>
      </c>
      <c r="G87" s="6">
        <f t="shared" ref="G87:G92" si="33">+H87/D87</f>
        <v>0</v>
      </c>
      <c r="H87" s="3"/>
      <c r="I87" s="3" t="str">
        <f t="shared" si="19"/>
        <v>0</v>
      </c>
      <c r="J87" s="3" t="str">
        <f t="shared" si="20"/>
        <v>0</v>
      </c>
      <c r="K87" s="3" t="str">
        <f t="shared" si="21"/>
        <v>0</v>
      </c>
      <c r="L87" s="3" t="str">
        <f t="shared" si="22"/>
        <v>0</v>
      </c>
      <c r="M87" s="3" t="str">
        <f t="shared" si="23"/>
        <v>0</v>
      </c>
      <c r="N87" s="3" t="str">
        <f t="shared" si="24"/>
        <v>0</v>
      </c>
      <c r="O87" s="3" t="str">
        <f t="shared" si="25"/>
        <v>0</v>
      </c>
      <c r="P87" s="3">
        <f t="shared" si="26"/>
        <v>454</v>
      </c>
      <c r="Q87" s="3" t="str">
        <f t="shared" si="27"/>
        <v>0</v>
      </c>
      <c r="R87" s="3">
        <f t="shared" si="28"/>
        <v>451.73</v>
      </c>
      <c r="S87" s="3" t="str">
        <f t="shared" si="29"/>
        <v>0</v>
      </c>
      <c r="T87" s="3">
        <f t="shared" si="30"/>
        <v>0</v>
      </c>
      <c r="U87" s="3"/>
      <c r="V87" s="3"/>
      <c r="W87" s="3"/>
      <c r="X87" s="3"/>
      <c r="Y87" s="3"/>
      <c r="Z87" s="3"/>
    </row>
    <row r="88" spans="1:26" x14ac:dyDescent="0.25">
      <c r="A88" s="2">
        <v>46143</v>
      </c>
      <c r="B88" s="3" t="s">
        <v>171</v>
      </c>
      <c r="C88" s="3" t="s">
        <v>269</v>
      </c>
      <c r="D88" s="4"/>
      <c r="E88" s="3"/>
      <c r="F88" s="6">
        <f t="shared" si="32"/>
        <v>0</v>
      </c>
      <c r="G88" s="6" t="e">
        <f t="shared" si="33"/>
        <v>#DIV/0!</v>
      </c>
      <c r="H88" s="3"/>
      <c r="I88" s="3" t="str">
        <f t="shared" si="19"/>
        <v>0</v>
      </c>
      <c r="J88" s="3" t="str">
        <f t="shared" si="20"/>
        <v>0</v>
      </c>
      <c r="K88" s="3" t="str">
        <f t="shared" si="21"/>
        <v>0</v>
      </c>
      <c r="L88" s="3" t="str">
        <f t="shared" si="22"/>
        <v>0</v>
      </c>
      <c r="M88" s="3" t="str">
        <f t="shared" si="23"/>
        <v>0</v>
      </c>
      <c r="N88" s="3" t="str">
        <f t="shared" si="24"/>
        <v>0</v>
      </c>
      <c r="O88" s="3" t="str">
        <f t="shared" si="25"/>
        <v>0</v>
      </c>
      <c r="P88" s="3" t="str">
        <f t="shared" si="26"/>
        <v>0</v>
      </c>
      <c r="Q88" s="3" t="str">
        <f t="shared" si="27"/>
        <v>0</v>
      </c>
      <c r="R88" s="3" t="str">
        <f t="shared" si="28"/>
        <v>0</v>
      </c>
      <c r="S88" s="3" t="str">
        <f t="shared" si="29"/>
        <v>0</v>
      </c>
      <c r="T88" s="3" t="str">
        <f t="shared" si="30"/>
        <v>0</v>
      </c>
      <c r="U88" s="3">
        <v>2730</v>
      </c>
      <c r="V88" s="3"/>
      <c r="W88" s="3"/>
      <c r="X88" s="3"/>
      <c r="Y88" s="3"/>
      <c r="Z88" s="3"/>
    </row>
    <row r="89" spans="1:26" x14ac:dyDescent="0.25">
      <c r="A89" s="2">
        <v>46143</v>
      </c>
      <c r="B89" s="3" t="s">
        <v>211</v>
      </c>
      <c r="C89" s="169" t="s">
        <v>267</v>
      </c>
      <c r="D89" s="4"/>
      <c r="E89" s="3"/>
      <c r="F89" s="6">
        <f t="shared" si="32"/>
        <v>0</v>
      </c>
      <c r="G89" s="6" t="e">
        <f t="shared" si="33"/>
        <v>#DIV/0!</v>
      </c>
      <c r="H89" s="3"/>
      <c r="I89" s="3" t="str">
        <f t="shared" si="19"/>
        <v>0</v>
      </c>
      <c r="J89" s="3" t="str">
        <f t="shared" si="20"/>
        <v>0</v>
      </c>
      <c r="K89" s="3" t="str">
        <f t="shared" si="21"/>
        <v>0</v>
      </c>
      <c r="L89" s="3" t="str">
        <f t="shared" si="22"/>
        <v>0</v>
      </c>
      <c r="M89" s="3" t="str">
        <f t="shared" si="23"/>
        <v>0</v>
      </c>
      <c r="N89" s="3" t="str">
        <f t="shared" si="24"/>
        <v>0</v>
      </c>
      <c r="O89" s="3" t="str">
        <f t="shared" si="25"/>
        <v>0</v>
      </c>
      <c r="P89" s="3" t="str">
        <f t="shared" si="26"/>
        <v>0</v>
      </c>
      <c r="Q89" s="3" t="str">
        <f t="shared" si="27"/>
        <v>0</v>
      </c>
      <c r="R89" s="3" t="str">
        <f t="shared" si="28"/>
        <v>0</v>
      </c>
      <c r="S89" s="3" t="str">
        <f t="shared" si="29"/>
        <v>0</v>
      </c>
      <c r="T89" s="3" t="str">
        <f t="shared" si="30"/>
        <v>0</v>
      </c>
      <c r="U89" s="3"/>
      <c r="V89" s="3"/>
      <c r="W89" s="3">
        <v>1620</v>
      </c>
      <c r="X89" s="3"/>
      <c r="Y89" s="3"/>
      <c r="Z89" s="3"/>
    </row>
    <row r="90" spans="1:26" x14ac:dyDescent="0.25">
      <c r="A90" s="2">
        <v>46144</v>
      </c>
      <c r="B90" s="3" t="s">
        <v>169</v>
      </c>
      <c r="C90" s="3" t="s">
        <v>261</v>
      </c>
      <c r="D90" s="4">
        <v>545</v>
      </c>
      <c r="E90" s="5">
        <v>0.88</v>
      </c>
      <c r="F90" s="6">
        <f t="shared" si="32"/>
        <v>479.6</v>
      </c>
      <c r="G90" s="6">
        <f t="shared" si="33"/>
        <v>32.753761467889909</v>
      </c>
      <c r="H90" s="7">
        <v>17850.8</v>
      </c>
      <c r="I90" s="3">
        <f t="shared" si="19"/>
        <v>545</v>
      </c>
      <c r="J90" s="3" t="str">
        <f t="shared" si="20"/>
        <v>0</v>
      </c>
      <c r="K90" s="3">
        <f t="shared" si="21"/>
        <v>479.6</v>
      </c>
      <c r="L90" s="3" t="str">
        <f t="shared" si="22"/>
        <v>0</v>
      </c>
      <c r="M90" s="3">
        <f t="shared" si="23"/>
        <v>17850.8</v>
      </c>
      <c r="N90" s="3" t="str">
        <f t="shared" si="24"/>
        <v>0</v>
      </c>
      <c r="O90" s="3" t="str">
        <f t="shared" si="25"/>
        <v>0</v>
      </c>
      <c r="P90" s="3" t="str">
        <f t="shared" si="26"/>
        <v>0</v>
      </c>
      <c r="Q90" s="3" t="str">
        <f t="shared" si="27"/>
        <v>0</v>
      </c>
      <c r="R90" s="3" t="str">
        <f t="shared" si="28"/>
        <v>0</v>
      </c>
      <c r="S90" s="3" t="str">
        <f t="shared" si="29"/>
        <v>0</v>
      </c>
      <c r="T90" s="3" t="str">
        <f t="shared" si="30"/>
        <v>0</v>
      </c>
      <c r="U90" s="3"/>
      <c r="V90" s="3"/>
      <c r="W90" s="3"/>
      <c r="X90" s="3"/>
      <c r="Y90" s="3"/>
      <c r="Z90" s="3"/>
    </row>
    <row r="91" spans="1:26" x14ac:dyDescent="0.25">
      <c r="A91" s="2">
        <v>46144</v>
      </c>
      <c r="B91" s="3" t="s">
        <v>169</v>
      </c>
      <c r="C91" s="169" t="s">
        <v>257</v>
      </c>
      <c r="D91" s="4">
        <v>700.28062719999991</v>
      </c>
      <c r="E91" s="5">
        <v>0.88</v>
      </c>
      <c r="F91" s="6">
        <f t="shared" si="32"/>
        <v>616.24695193599996</v>
      </c>
      <c r="G91" s="6">
        <f t="shared" si="33"/>
        <v>2.8197267256917207</v>
      </c>
      <c r="H91" s="7">
        <v>1974.6000000000001</v>
      </c>
      <c r="I91" s="3">
        <f t="shared" si="19"/>
        <v>700.28062719999991</v>
      </c>
      <c r="J91" s="3" t="str">
        <f t="shared" si="20"/>
        <v>0</v>
      </c>
      <c r="K91" s="3">
        <f t="shared" si="21"/>
        <v>616.24695193599996</v>
      </c>
      <c r="L91" s="3" t="str">
        <f t="shared" si="22"/>
        <v>0</v>
      </c>
      <c r="M91" s="3">
        <f t="shared" si="23"/>
        <v>1974.6000000000001</v>
      </c>
      <c r="N91" s="3" t="str">
        <f t="shared" si="24"/>
        <v>0</v>
      </c>
      <c r="O91" s="3" t="str">
        <f t="shared" si="25"/>
        <v>0</v>
      </c>
      <c r="P91" s="3" t="str">
        <f t="shared" si="26"/>
        <v>0</v>
      </c>
      <c r="Q91" s="3" t="str">
        <f t="shared" si="27"/>
        <v>0</v>
      </c>
      <c r="R91" s="3" t="str">
        <f t="shared" si="28"/>
        <v>0</v>
      </c>
      <c r="S91" s="3" t="str">
        <f t="shared" si="29"/>
        <v>0</v>
      </c>
      <c r="T91" s="3" t="str">
        <f t="shared" si="30"/>
        <v>0</v>
      </c>
      <c r="U91" s="3"/>
      <c r="V91" s="3"/>
      <c r="W91" s="3"/>
      <c r="X91" s="3"/>
      <c r="Y91" s="3"/>
      <c r="Z91" s="3"/>
    </row>
    <row r="92" spans="1:26" x14ac:dyDescent="0.25">
      <c r="A92" s="2">
        <v>46145</v>
      </c>
      <c r="B92" s="3" t="s">
        <v>218</v>
      </c>
      <c r="C92" s="3"/>
      <c r="D92" s="4"/>
      <c r="E92" s="3"/>
      <c r="F92" s="6">
        <f t="shared" si="32"/>
        <v>0</v>
      </c>
      <c r="G92" s="6" t="e">
        <f t="shared" si="33"/>
        <v>#DIV/0!</v>
      </c>
      <c r="H92" s="3"/>
      <c r="I92" s="3" t="str">
        <f t="shared" si="19"/>
        <v>0</v>
      </c>
      <c r="J92" s="3" t="str">
        <f t="shared" si="20"/>
        <v>0</v>
      </c>
      <c r="K92" s="3" t="str">
        <f t="shared" si="21"/>
        <v>0</v>
      </c>
      <c r="L92" s="3" t="str">
        <f t="shared" si="22"/>
        <v>0</v>
      </c>
      <c r="M92" s="3" t="str">
        <f t="shared" si="23"/>
        <v>0</v>
      </c>
      <c r="N92" s="3" t="str">
        <f t="shared" si="24"/>
        <v>0</v>
      </c>
      <c r="O92" s="3" t="str">
        <f t="shared" si="25"/>
        <v>0</v>
      </c>
      <c r="P92" s="3" t="str">
        <f t="shared" si="26"/>
        <v>0</v>
      </c>
      <c r="Q92" s="3" t="str">
        <f t="shared" si="27"/>
        <v>0</v>
      </c>
      <c r="R92" s="3" t="str">
        <f t="shared" si="28"/>
        <v>0</v>
      </c>
      <c r="S92" s="3" t="str">
        <f t="shared" si="29"/>
        <v>0</v>
      </c>
      <c r="T92" s="3" t="str">
        <f t="shared" si="30"/>
        <v>0</v>
      </c>
      <c r="U92" s="3"/>
      <c r="V92" s="3"/>
      <c r="W92" s="3"/>
      <c r="X92" s="3"/>
      <c r="Y92" s="3"/>
      <c r="Z92" s="3"/>
    </row>
    <row r="93" spans="1:26" x14ac:dyDescent="0.25">
      <c r="A93" s="2">
        <v>46146</v>
      </c>
      <c r="B93" s="3" t="s">
        <v>170</v>
      </c>
      <c r="C93" s="169" t="s">
        <v>256</v>
      </c>
      <c r="D93" s="4">
        <v>696.77922406399989</v>
      </c>
      <c r="E93" s="209">
        <v>0.88</v>
      </c>
      <c r="F93" s="184">
        <f>D93*E93</f>
        <v>613.16571717631996</v>
      </c>
      <c r="G93" s="6">
        <f>H93/D93</f>
        <v>2.2934093681490451</v>
      </c>
      <c r="H93" s="210">
        <v>1598</v>
      </c>
      <c r="I93" s="3" t="str">
        <f t="shared" si="19"/>
        <v>0</v>
      </c>
      <c r="J93" s="3" t="str">
        <f t="shared" si="20"/>
        <v>0</v>
      </c>
      <c r="K93" s="3" t="str">
        <f t="shared" si="21"/>
        <v>0</v>
      </c>
      <c r="L93" s="3" t="str">
        <f t="shared" si="22"/>
        <v>0</v>
      </c>
      <c r="M93" s="3" t="str">
        <f t="shared" si="23"/>
        <v>0</v>
      </c>
      <c r="N93" s="3" t="str">
        <f t="shared" si="24"/>
        <v>0</v>
      </c>
      <c r="O93" s="3">
        <f t="shared" si="25"/>
        <v>696.77922406399989</v>
      </c>
      <c r="P93" s="3" t="str">
        <f t="shared" si="26"/>
        <v>0</v>
      </c>
      <c r="Q93" s="3">
        <f t="shared" si="27"/>
        <v>613.16571717631996</v>
      </c>
      <c r="R93" s="3" t="str">
        <f t="shared" si="28"/>
        <v>0</v>
      </c>
      <c r="S93" s="3">
        <f t="shared" si="29"/>
        <v>1598</v>
      </c>
      <c r="T93" s="3" t="str">
        <f t="shared" si="30"/>
        <v>0</v>
      </c>
      <c r="U93" s="3"/>
      <c r="V93" s="3"/>
      <c r="W93" s="3"/>
      <c r="X93" s="3"/>
      <c r="Y93" s="3"/>
      <c r="Z93" s="3"/>
    </row>
    <row r="94" spans="1:26" x14ac:dyDescent="0.25">
      <c r="A94" s="2">
        <v>46146</v>
      </c>
      <c r="B94" s="3" t="s">
        <v>209</v>
      </c>
      <c r="C94" s="169" t="s">
        <v>267</v>
      </c>
      <c r="D94" s="4">
        <v>455</v>
      </c>
      <c r="E94" s="209">
        <v>0.995</v>
      </c>
      <c r="F94" s="184">
        <f>+D94*E94</f>
        <v>452.72500000000002</v>
      </c>
      <c r="G94" s="6">
        <f>+H94/D94</f>
        <v>0</v>
      </c>
      <c r="H94" s="3"/>
      <c r="I94" s="3" t="str">
        <f t="shared" si="19"/>
        <v>0</v>
      </c>
      <c r="J94" s="3" t="str">
        <f t="shared" si="20"/>
        <v>0</v>
      </c>
      <c r="K94" s="3" t="str">
        <f t="shared" si="21"/>
        <v>0</v>
      </c>
      <c r="L94" s="3" t="str">
        <f t="shared" si="22"/>
        <v>0</v>
      </c>
      <c r="M94" s="3" t="str">
        <f t="shared" si="23"/>
        <v>0</v>
      </c>
      <c r="N94" s="3" t="str">
        <f t="shared" si="24"/>
        <v>0</v>
      </c>
      <c r="O94" s="3" t="str">
        <f t="shared" si="25"/>
        <v>0</v>
      </c>
      <c r="P94" s="3">
        <f t="shared" si="26"/>
        <v>455</v>
      </c>
      <c r="Q94" s="3" t="str">
        <f t="shared" si="27"/>
        <v>0</v>
      </c>
      <c r="R94" s="3">
        <f t="shared" si="28"/>
        <v>452.72500000000002</v>
      </c>
      <c r="S94" s="3" t="str">
        <f t="shared" si="29"/>
        <v>0</v>
      </c>
      <c r="T94" s="3">
        <f t="shared" si="30"/>
        <v>0</v>
      </c>
      <c r="U94" s="3"/>
      <c r="V94" s="3"/>
      <c r="W94" s="3"/>
      <c r="X94" s="3"/>
      <c r="Y94" s="3"/>
      <c r="Z94" s="3"/>
    </row>
    <row r="95" spans="1:26" x14ac:dyDescent="0.25">
      <c r="A95" s="2">
        <v>46146</v>
      </c>
      <c r="B95" s="3" t="s">
        <v>211</v>
      </c>
      <c r="C95" s="169" t="s">
        <v>267</v>
      </c>
      <c r="D95" s="4"/>
      <c r="E95" s="3"/>
      <c r="F95" s="6">
        <f>+D95*E95</f>
        <v>0</v>
      </c>
      <c r="G95" s="6" t="e">
        <f>+H95/D95</f>
        <v>#DIV/0!</v>
      </c>
      <c r="H95" s="3"/>
      <c r="I95" s="3" t="str">
        <f t="shared" si="19"/>
        <v>0</v>
      </c>
      <c r="J95" s="3" t="str">
        <f t="shared" si="20"/>
        <v>0</v>
      </c>
      <c r="K95" s="3" t="str">
        <f t="shared" si="21"/>
        <v>0</v>
      </c>
      <c r="L95" s="3" t="str">
        <f t="shared" si="22"/>
        <v>0</v>
      </c>
      <c r="M95" s="3" t="str">
        <f t="shared" si="23"/>
        <v>0</v>
      </c>
      <c r="N95" s="3" t="str">
        <f t="shared" si="24"/>
        <v>0</v>
      </c>
      <c r="O95" s="3" t="str">
        <f t="shared" si="25"/>
        <v>0</v>
      </c>
      <c r="P95" s="3" t="str">
        <f t="shared" si="26"/>
        <v>0</v>
      </c>
      <c r="Q95" s="3" t="str">
        <f t="shared" si="27"/>
        <v>0</v>
      </c>
      <c r="R95" s="3" t="str">
        <f t="shared" si="28"/>
        <v>0</v>
      </c>
      <c r="S95" s="3" t="str">
        <f t="shared" si="29"/>
        <v>0</v>
      </c>
      <c r="T95" s="3" t="str">
        <f t="shared" si="30"/>
        <v>0</v>
      </c>
      <c r="U95" s="3"/>
      <c r="V95" s="3"/>
      <c r="W95" s="3">
        <v>1600</v>
      </c>
      <c r="X95" s="3"/>
      <c r="Y95" s="3"/>
      <c r="Z95" s="3"/>
    </row>
    <row r="96" spans="1:26" x14ac:dyDescent="0.25">
      <c r="A96" s="2">
        <v>46147</v>
      </c>
      <c r="B96" s="3" t="s">
        <v>169</v>
      </c>
      <c r="C96" s="169" t="s">
        <v>268</v>
      </c>
      <c r="D96" s="4">
        <v>610.09988859043835</v>
      </c>
      <c r="E96" s="5">
        <v>0.88</v>
      </c>
      <c r="F96" s="6">
        <f>+D96*E96</f>
        <v>536.88790195958575</v>
      </c>
      <c r="G96" s="6">
        <f>+H96/D96</f>
        <v>17.823130610829647</v>
      </c>
      <c r="H96" s="7">
        <v>10873.89</v>
      </c>
      <c r="I96" s="3">
        <f t="shared" si="19"/>
        <v>610.09988859043835</v>
      </c>
      <c r="J96" s="3" t="str">
        <f t="shared" si="20"/>
        <v>0</v>
      </c>
      <c r="K96" s="3">
        <f t="shared" si="21"/>
        <v>536.88790195958575</v>
      </c>
      <c r="L96" s="3" t="str">
        <f t="shared" si="22"/>
        <v>0</v>
      </c>
      <c r="M96" s="3">
        <f t="shared" si="23"/>
        <v>10873.89</v>
      </c>
      <c r="N96" s="3" t="str">
        <f t="shared" si="24"/>
        <v>0</v>
      </c>
      <c r="O96" s="3" t="str">
        <f t="shared" si="25"/>
        <v>0</v>
      </c>
      <c r="P96" s="3" t="str">
        <f t="shared" si="26"/>
        <v>0</v>
      </c>
      <c r="Q96" s="3" t="str">
        <f t="shared" si="27"/>
        <v>0</v>
      </c>
      <c r="R96" s="3" t="str">
        <f t="shared" si="28"/>
        <v>0</v>
      </c>
      <c r="S96" s="3" t="str">
        <f t="shared" si="29"/>
        <v>0</v>
      </c>
      <c r="T96" s="3" t="str">
        <f t="shared" si="30"/>
        <v>0</v>
      </c>
      <c r="U96" s="3"/>
      <c r="V96" s="3"/>
      <c r="W96" s="3"/>
      <c r="X96" s="3"/>
      <c r="Y96" s="3"/>
      <c r="Z96" s="3"/>
    </row>
    <row r="97" spans="1:26" x14ac:dyDescent="0.25">
      <c r="A97" s="2">
        <v>46147</v>
      </c>
      <c r="B97" s="3" t="s">
        <v>170</v>
      </c>
      <c r="C97" s="3" t="s">
        <v>261</v>
      </c>
      <c r="D97" s="4">
        <v>46</v>
      </c>
      <c r="E97" s="209">
        <v>0.995</v>
      </c>
      <c r="F97" s="184">
        <f>D97*E97</f>
        <v>45.77</v>
      </c>
      <c r="G97" s="6"/>
      <c r="H97" s="210"/>
      <c r="I97" s="3" t="str">
        <f t="shared" si="19"/>
        <v>0</v>
      </c>
      <c r="J97" s="3" t="str">
        <f t="shared" si="20"/>
        <v>0</v>
      </c>
      <c r="K97" s="3" t="str">
        <f t="shared" si="21"/>
        <v>0</v>
      </c>
      <c r="L97" s="3" t="str">
        <f t="shared" si="22"/>
        <v>0</v>
      </c>
      <c r="M97" s="3" t="str">
        <f t="shared" si="23"/>
        <v>0</v>
      </c>
      <c r="N97" s="3" t="str">
        <f t="shared" si="24"/>
        <v>0</v>
      </c>
      <c r="O97" s="3">
        <f t="shared" si="25"/>
        <v>46</v>
      </c>
      <c r="P97" s="3" t="str">
        <f t="shared" si="26"/>
        <v>0</v>
      </c>
      <c r="Q97" s="3">
        <f t="shared" si="27"/>
        <v>45.77</v>
      </c>
      <c r="R97" s="3" t="str">
        <f t="shared" si="28"/>
        <v>0</v>
      </c>
      <c r="S97" s="3">
        <f t="shared" si="29"/>
        <v>0</v>
      </c>
      <c r="T97" s="3" t="str">
        <f t="shared" si="30"/>
        <v>0</v>
      </c>
      <c r="U97" s="3"/>
      <c r="V97" s="3"/>
      <c r="W97" s="3"/>
      <c r="X97" s="3"/>
      <c r="Y97" s="3"/>
      <c r="Z97" s="3"/>
    </row>
    <row r="98" spans="1:26" x14ac:dyDescent="0.25">
      <c r="A98" s="2">
        <v>46147</v>
      </c>
      <c r="B98" s="3" t="s">
        <v>170</v>
      </c>
      <c r="C98" s="169" t="s">
        <v>256</v>
      </c>
      <c r="D98" s="4">
        <v>379.03505164799998</v>
      </c>
      <c r="E98" s="209">
        <v>0.88</v>
      </c>
      <c r="F98" s="184">
        <f>D98*E98</f>
        <v>333.55084545023999</v>
      </c>
      <c r="G98" s="6">
        <f>H98/D98</f>
        <v>2.0344292609542594</v>
      </c>
      <c r="H98" s="210">
        <f>257.04*3</f>
        <v>771.12000000000012</v>
      </c>
      <c r="I98" s="3" t="str">
        <f t="shared" si="19"/>
        <v>0</v>
      </c>
      <c r="J98" s="3" t="str">
        <f t="shared" si="20"/>
        <v>0</v>
      </c>
      <c r="K98" s="3" t="str">
        <f t="shared" si="21"/>
        <v>0</v>
      </c>
      <c r="L98" s="3" t="str">
        <f t="shared" si="22"/>
        <v>0</v>
      </c>
      <c r="M98" s="3" t="str">
        <f t="shared" si="23"/>
        <v>0</v>
      </c>
      <c r="N98" s="3" t="str">
        <f t="shared" si="24"/>
        <v>0</v>
      </c>
      <c r="O98" s="3">
        <f t="shared" si="25"/>
        <v>379.03505164799998</v>
      </c>
      <c r="P98" s="3" t="str">
        <f t="shared" si="26"/>
        <v>0</v>
      </c>
      <c r="Q98" s="3">
        <f t="shared" si="27"/>
        <v>333.55084545023999</v>
      </c>
      <c r="R98" s="3" t="str">
        <f t="shared" si="28"/>
        <v>0</v>
      </c>
      <c r="S98" s="3">
        <f t="shared" si="29"/>
        <v>771.12000000000012</v>
      </c>
      <c r="T98" s="3" t="str">
        <f t="shared" si="30"/>
        <v>0</v>
      </c>
      <c r="U98" s="3"/>
      <c r="V98" s="3"/>
      <c r="W98" s="3"/>
      <c r="X98" s="3"/>
      <c r="Y98" s="3"/>
      <c r="Z98" s="3"/>
    </row>
    <row r="99" spans="1:26" x14ac:dyDescent="0.25">
      <c r="A99" s="2">
        <v>46147</v>
      </c>
      <c r="B99" s="3" t="s">
        <v>170</v>
      </c>
      <c r="C99" s="169" t="s">
        <v>268</v>
      </c>
      <c r="D99" s="4">
        <v>146.34400000000002</v>
      </c>
      <c r="E99" s="209">
        <v>0.995</v>
      </c>
      <c r="F99" s="184">
        <f>D99*E99</f>
        <v>145.61228000000003</v>
      </c>
      <c r="G99" s="6"/>
      <c r="H99" s="210"/>
      <c r="I99" s="3" t="str">
        <f t="shared" si="19"/>
        <v>0</v>
      </c>
      <c r="J99" s="3" t="str">
        <f t="shared" si="20"/>
        <v>0</v>
      </c>
      <c r="K99" s="3" t="str">
        <f t="shared" si="21"/>
        <v>0</v>
      </c>
      <c r="L99" s="3" t="str">
        <f t="shared" si="22"/>
        <v>0</v>
      </c>
      <c r="M99" s="3" t="str">
        <f t="shared" si="23"/>
        <v>0</v>
      </c>
      <c r="N99" s="3" t="str">
        <f t="shared" si="24"/>
        <v>0</v>
      </c>
      <c r="O99" s="3">
        <f t="shared" si="25"/>
        <v>146.34400000000002</v>
      </c>
      <c r="P99" s="3" t="str">
        <f t="shared" si="26"/>
        <v>0</v>
      </c>
      <c r="Q99" s="3">
        <f t="shared" si="27"/>
        <v>145.61228000000003</v>
      </c>
      <c r="R99" s="3" t="str">
        <f t="shared" si="28"/>
        <v>0</v>
      </c>
      <c r="S99" s="3">
        <f t="shared" si="29"/>
        <v>0</v>
      </c>
      <c r="T99" s="3" t="str">
        <f t="shared" si="30"/>
        <v>0</v>
      </c>
      <c r="U99" s="3"/>
      <c r="V99" s="3"/>
      <c r="W99" s="3"/>
      <c r="X99" s="3"/>
      <c r="Y99" s="3"/>
      <c r="Z99" s="3"/>
    </row>
    <row r="100" spans="1:26" x14ac:dyDescent="0.25">
      <c r="A100" s="2">
        <v>46147</v>
      </c>
      <c r="B100" s="3" t="s">
        <v>209</v>
      </c>
      <c r="C100" s="169" t="s">
        <v>267</v>
      </c>
      <c r="D100" s="4">
        <v>654</v>
      </c>
      <c r="E100" s="209">
        <v>0.995</v>
      </c>
      <c r="F100" s="184">
        <f t="shared" ref="F100:F105" si="34">+D100*E100</f>
        <v>650.73</v>
      </c>
      <c r="G100" s="6">
        <f t="shared" ref="G100:G105" si="35">+H100/D100</f>
        <v>0</v>
      </c>
      <c r="H100" s="3"/>
      <c r="I100" s="3" t="str">
        <f t="shared" si="19"/>
        <v>0</v>
      </c>
      <c r="J100" s="3" t="str">
        <f t="shared" si="20"/>
        <v>0</v>
      </c>
      <c r="K100" s="3" t="str">
        <f t="shared" si="21"/>
        <v>0</v>
      </c>
      <c r="L100" s="3" t="str">
        <f t="shared" si="22"/>
        <v>0</v>
      </c>
      <c r="M100" s="3" t="str">
        <f t="shared" si="23"/>
        <v>0</v>
      </c>
      <c r="N100" s="3" t="str">
        <f t="shared" si="24"/>
        <v>0</v>
      </c>
      <c r="O100" s="3" t="str">
        <f t="shared" si="25"/>
        <v>0</v>
      </c>
      <c r="P100" s="3">
        <f t="shared" si="26"/>
        <v>654</v>
      </c>
      <c r="Q100" s="3" t="str">
        <f t="shared" si="27"/>
        <v>0</v>
      </c>
      <c r="R100" s="3">
        <f t="shared" si="28"/>
        <v>650.73</v>
      </c>
      <c r="S100" s="3" t="str">
        <f t="shared" si="29"/>
        <v>0</v>
      </c>
      <c r="T100" s="3">
        <f t="shared" si="30"/>
        <v>0</v>
      </c>
      <c r="U100" s="3"/>
      <c r="V100" s="3"/>
      <c r="W100" s="3"/>
      <c r="X100" s="3"/>
      <c r="Y100" s="3"/>
      <c r="Z100" s="3"/>
    </row>
    <row r="101" spans="1:26" x14ac:dyDescent="0.25">
      <c r="A101" s="2">
        <v>46147</v>
      </c>
      <c r="B101" s="3" t="s">
        <v>171</v>
      </c>
      <c r="C101" s="169" t="s">
        <v>268</v>
      </c>
      <c r="D101" s="4"/>
      <c r="E101" s="3"/>
      <c r="F101" s="6">
        <f t="shared" si="34"/>
        <v>0</v>
      </c>
      <c r="G101" s="6" t="e">
        <f t="shared" si="35"/>
        <v>#DIV/0!</v>
      </c>
      <c r="H101" s="3"/>
      <c r="I101" s="3" t="str">
        <f t="shared" si="19"/>
        <v>0</v>
      </c>
      <c r="J101" s="3" t="str">
        <f t="shared" si="20"/>
        <v>0</v>
      </c>
      <c r="K101" s="3" t="str">
        <f t="shared" si="21"/>
        <v>0</v>
      </c>
      <c r="L101" s="3" t="str">
        <f t="shared" si="22"/>
        <v>0</v>
      </c>
      <c r="M101" s="3" t="str">
        <f t="shared" si="23"/>
        <v>0</v>
      </c>
      <c r="N101" s="3" t="str">
        <f t="shared" si="24"/>
        <v>0</v>
      </c>
      <c r="O101" s="3" t="str">
        <f t="shared" si="25"/>
        <v>0</v>
      </c>
      <c r="P101" s="3" t="str">
        <f t="shared" si="26"/>
        <v>0</v>
      </c>
      <c r="Q101" s="3" t="str">
        <f t="shared" si="27"/>
        <v>0</v>
      </c>
      <c r="R101" s="3" t="str">
        <f t="shared" si="28"/>
        <v>0</v>
      </c>
      <c r="S101" s="3" t="str">
        <f t="shared" si="29"/>
        <v>0</v>
      </c>
      <c r="T101" s="3" t="str">
        <f t="shared" si="30"/>
        <v>0</v>
      </c>
      <c r="U101" s="3">
        <v>10870</v>
      </c>
      <c r="V101" s="3"/>
      <c r="W101" s="3"/>
      <c r="X101" s="3"/>
      <c r="Y101" s="3"/>
      <c r="Z101" s="3"/>
    </row>
    <row r="102" spans="1:26" x14ac:dyDescent="0.25">
      <c r="A102" s="2">
        <v>46147</v>
      </c>
      <c r="B102" s="3" t="s">
        <v>211</v>
      </c>
      <c r="C102" s="169" t="s">
        <v>267</v>
      </c>
      <c r="D102" s="4"/>
      <c r="E102" s="3"/>
      <c r="F102" s="6">
        <f t="shared" si="34"/>
        <v>0</v>
      </c>
      <c r="G102" s="6" t="e">
        <f t="shared" si="35"/>
        <v>#DIV/0!</v>
      </c>
      <c r="H102" s="3"/>
      <c r="I102" s="3" t="str">
        <f t="shared" si="19"/>
        <v>0</v>
      </c>
      <c r="J102" s="3" t="str">
        <f t="shared" si="20"/>
        <v>0</v>
      </c>
      <c r="K102" s="3" t="str">
        <f t="shared" si="21"/>
        <v>0</v>
      </c>
      <c r="L102" s="3" t="str">
        <f t="shared" si="22"/>
        <v>0</v>
      </c>
      <c r="M102" s="3" t="str">
        <f t="shared" si="23"/>
        <v>0</v>
      </c>
      <c r="N102" s="3" t="str">
        <f t="shared" si="24"/>
        <v>0</v>
      </c>
      <c r="O102" s="3" t="str">
        <f t="shared" si="25"/>
        <v>0</v>
      </c>
      <c r="P102" s="3" t="str">
        <f t="shared" si="26"/>
        <v>0</v>
      </c>
      <c r="Q102" s="3" t="str">
        <f t="shared" si="27"/>
        <v>0</v>
      </c>
      <c r="R102" s="3" t="str">
        <f t="shared" si="28"/>
        <v>0</v>
      </c>
      <c r="S102" s="3" t="str">
        <f t="shared" si="29"/>
        <v>0</v>
      </c>
      <c r="T102" s="3" t="str">
        <f t="shared" si="30"/>
        <v>0</v>
      </c>
      <c r="U102" s="3"/>
      <c r="V102" s="3"/>
      <c r="W102" s="3">
        <v>770</v>
      </c>
      <c r="X102" s="3"/>
      <c r="Y102" s="3"/>
      <c r="Z102" s="3"/>
    </row>
    <row r="103" spans="1:26" x14ac:dyDescent="0.25">
      <c r="A103" s="2">
        <v>46148</v>
      </c>
      <c r="B103" s="3" t="s">
        <v>169</v>
      </c>
      <c r="C103" s="169" t="s">
        <v>272</v>
      </c>
      <c r="D103" s="4">
        <v>285.7</v>
      </c>
      <c r="E103" s="5">
        <v>0.88</v>
      </c>
      <c r="F103" s="6">
        <f t="shared" si="34"/>
        <v>251.416</v>
      </c>
      <c r="G103" s="6">
        <f t="shared" si="35"/>
        <v>12</v>
      </c>
      <c r="H103" s="7">
        <v>3428.3999999999996</v>
      </c>
      <c r="I103" s="3">
        <f t="shared" si="19"/>
        <v>285.7</v>
      </c>
      <c r="J103" s="3" t="str">
        <f t="shared" si="20"/>
        <v>0</v>
      </c>
      <c r="K103" s="3">
        <f t="shared" si="21"/>
        <v>251.416</v>
      </c>
      <c r="L103" s="3" t="str">
        <f t="shared" si="22"/>
        <v>0</v>
      </c>
      <c r="M103" s="3">
        <f t="shared" si="23"/>
        <v>3428.3999999999996</v>
      </c>
      <c r="N103" s="3" t="str">
        <f t="shared" si="24"/>
        <v>0</v>
      </c>
      <c r="O103" s="3" t="str">
        <f t="shared" si="25"/>
        <v>0</v>
      </c>
      <c r="P103" s="3" t="str">
        <f t="shared" si="26"/>
        <v>0</v>
      </c>
      <c r="Q103" s="3" t="str">
        <f t="shared" si="27"/>
        <v>0</v>
      </c>
      <c r="R103" s="3" t="str">
        <f t="shared" si="28"/>
        <v>0</v>
      </c>
      <c r="S103" s="3" t="str">
        <f t="shared" si="29"/>
        <v>0</v>
      </c>
      <c r="T103" s="3" t="str">
        <f t="shared" si="30"/>
        <v>0</v>
      </c>
      <c r="U103" s="3"/>
      <c r="V103" s="3"/>
      <c r="W103" s="3"/>
      <c r="X103" s="3"/>
      <c r="Y103" s="3"/>
      <c r="Z103" s="3"/>
    </row>
    <row r="104" spans="1:26" x14ac:dyDescent="0.25">
      <c r="A104" s="2">
        <v>46148</v>
      </c>
      <c r="B104" s="3" t="s">
        <v>169</v>
      </c>
      <c r="C104" s="169" t="s">
        <v>257</v>
      </c>
      <c r="D104" s="4">
        <v>700.28062719999991</v>
      </c>
      <c r="E104" s="5">
        <v>0.88</v>
      </c>
      <c r="F104" s="6">
        <f t="shared" si="34"/>
        <v>616.24695193599996</v>
      </c>
      <c r="G104" s="6">
        <f t="shared" si="35"/>
        <v>2.2105423738330714</v>
      </c>
      <c r="H104" s="7">
        <v>1548</v>
      </c>
      <c r="I104" s="3">
        <f t="shared" si="19"/>
        <v>700.28062719999991</v>
      </c>
      <c r="J104" s="3" t="str">
        <f t="shared" si="20"/>
        <v>0</v>
      </c>
      <c r="K104" s="3">
        <f t="shared" si="21"/>
        <v>616.24695193599996</v>
      </c>
      <c r="L104" s="3" t="str">
        <f t="shared" si="22"/>
        <v>0</v>
      </c>
      <c r="M104" s="3">
        <f t="shared" si="23"/>
        <v>1548</v>
      </c>
      <c r="N104" s="3" t="str">
        <f t="shared" si="24"/>
        <v>0</v>
      </c>
      <c r="O104" s="3" t="str">
        <f t="shared" si="25"/>
        <v>0</v>
      </c>
      <c r="P104" s="3" t="str">
        <f t="shared" si="26"/>
        <v>0</v>
      </c>
      <c r="Q104" s="3" t="str">
        <f t="shared" si="27"/>
        <v>0</v>
      </c>
      <c r="R104" s="3" t="str">
        <f t="shared" si="28"/>
        <v>0</v>
      </c>
      <c r="S104" s="3" t="str">
        <f t="shared" si="29"/>
        <v>0</v>
      </c>
      <c r="T104" s="3" t="str">
        <f t="shared" si="30"/>
        <v>0</v>
      </c>
      <c r="U104" s="3"/>
      <c r="V104" s="3"/>
      <c r="W104" s="3"/>
      <c r="X104" s="3"/>
      <c r="Y104" s="3"/>
      <c r="Z104" s="3"/>
    </row>
    <row r="105" spans="1:26" x14ac:dyDescent="0.25">
      <c r="A105" s="2">
        <v>46148</v>
      </c>
      <c r="B105" s="3" t="s">
        <v>169</v>
      </c>
      <c r="C105" s="169" t="s">
        <v>268</v>
      </c>
      <c r="D105" s="4">
        <v>343.08326349999999</v>
      </c>
      <c r="E105" s="5">
        <v>0.88</v>
      </c>
      <c r="F105" s="6">
        <f t="shared" si="34"/>
        <v>301.91327187999997</v>
      </c>
      <c r="G105" s="6">
        <f t="shared" si="35"/>
        <v>9.0002495851856104</v>
      </c>
      <c r="H105" s="7">
        <v>3087.835</v>
      </c>
      <c r="I105" s="3">
        <f t="shared" si="19"/>
        <v>343.08326349999999</v>
      </c>
      <c r="J105" s="3" t="str">
        <f t="shared" si="20"/>
        <v>0</v>
      </c>
      <c r="K105" s="3">
        <f t="shared" si="21"/>
        <v>301.91327187999997</v>
      </c>
      <c r="L105" s="3" t="str">
        <f t="shared" si="22"/>
        <v>0</v>
      </c>
      <c r="M105" s="3">
        <f t="shared" si="23"/>
        <v>3087.835</v>
      </c>
      <c r="N105" s="3" t="str">
        <f t="shared" si="24"/>
        <v>0</v>
      </c>
      <c r="O105" s="3" t="str">
        <f t="shared" si="25"/>
        <v>0</v>
      </c>
      <c r="P105" s="3" t="str">
        <f t="shared" si="26"/>
        <v>0</v>
      </c>
      <c r="Q105" s="3" t="str">
        <f t="shared" si="27"/>
        <v>0</v>
      </c>
      <c r="R105" s="3" t="str">
        <f t="shared" si="28"/>
        <v>0</v>
      </c>
      <c r="S105" s="3" t="str">
        <f t="shared" si="29"/>
        <v>0</v>
      </c>
      <c r="T105" s="3" t="str">
        <f t="shared" si="30"/>
        <v>0</v>
      </c>
      <c r="U105" s="3"/>
      <c r="V105" s="3"/>
      <c r="W105" s="3"/>
      <c r="X105" s="3"/>
      <c r="Y105" s="3"/>
      <c r="Z105" s="3"/>
    </row>
    <row r="106" spans="1:26" x14ac:dyDescent="0.25">
      <c r="A106" s="2">
        <v>46148</v>
      </c>
      <c r="B106" s="3" t="s">
        <v>170</v>
      </c>
      <c r="C106" s="169" t="s">
        <v>256</v>
      </c>
      <c r="D106" s="4">
        <v>696.77922406399989</v>
      </c>
      <c r="E106" s="209">
        <v>0.88</v>
      </c>
      <c r="F106" s="184">
        <f>D106*E106</f>
        <v>613.16571717631996</v>
      </c>
      <c r="G106" s="6">
        <f>H106/D106</f>
        <v>2.4573493882514641</v>
      </c>
      <c r="H106" s="210">
        <v>1712.23</v>
      </c>
      <c r="I106" s="3" t="str">
        <f t="shared" si="19"/>
        <v>0</v>
      </c>
      <c r="J106" s="3" t="str">
        <f t="shared" si="20"/>
        <v>0</v>
      </c>
      <c r="K106" s="3" t="str">
        <f t="shared" si="21"/>
        <v>0</v>
      </c>
      <c r="L106" s="3" t="str">
        <f t="shared" si="22"/>
        <v>0</v>
      </c>
      <c r="M106" s="3" t="str">
        <f t="shared" si="23"/>
        <v>0</v>
      </c>
      <c r="N106" s="3" t="str">
        <f t="shared" si="24"/>
        <v>0</v>
      </c>
      <c r="O106" s="3">
        <f t="shared" si="25"/>
        <v>696.77922406399989</v>
      </c>
      <c r="P106" s="3" t="str">
        <f t="shared" si="26"/>
        <v>0</v>
      </c>
      <c r="Q106" s="3">
        <f t="shared" si="27"/>
        <v>613.16571717631996</v>
      </c>
      <c r="R106" s="3" t="str">
        <f t="shared" si="28"/>
        <v>0</v>
      </c>
      <c r="S106" s="3">
        <f t="shared" si="29"/>
        <v>1712.23</v>
      </c>
      <c r="T106" s="3" t="str">
        <f t="shared" si="30"/>
        <v>0</v>
      </c>
      <c r="U106" s="3"/>
      <c r="V106" s="3"/>
      <c r="W106" s="3"/>
      <c r="X106" s="3"/>
      <c r="Y106" s="3"/>
      <c r="Z106" s="3"/>
    </row>
    <row r="107" spans="1:26" x14ac:dyDescent="0.25">
      <c r="A107" s="2">
        <v>46148</v>
      </c>
      <c r="B107" s="3" t="s">
        <v>170</v>
      </c>
      <c r="C107" s="169" t="s">
        <v>272</v>
      </c>
      <c r="D107" s="4">
        <v>377.13987638975999</v>
      </c>
      <c r="E107" s="209">
        <v>0.995</v>
      </c>
      <c r="F107" s="184">
        <f>D107*E107</f>
        <v>375.25417700781117</v>
      </c>
      <c r="G107" s="6"/>
      <c r="H107" s="210"/>
      <c r="I107" s="3" t="str">
        <f t="shared" si="19"/>
        <v>0</v>
      </c>
      <c r="J107" s="3" t="str">
        <f t="shared" si="20"/>
        <v>0</v>
      </c>
      <c r="K107" s="3" t="str">
        <f t="shared" si="21"/>
        <v>0</v>
      </c>
      <c r="L107" s="3" t="str">
        <f t="shared" si="22"/>
        <v>0</v>
      </c>
      <c r="M107" s="3" t="str">
        <f t="shared" si="23"/>
        <v>0</v>
      </c>
      <c r="N107" s="3" t="str">
        <f t="shared" si="24"/>
        <v>0</v>
      </c>
      <c r="O107" s="3">
        <f t="shared" si="25"/>
        <v>377.13987638975999</v>
      </c>
      <c r="P107" s="3" t="str">
        <f t="shared" si="26"/>
        <v>0</v>
      </c>
      <c r="Q107" s="3">
        <f t="shared" si="27"/>
        <v>375.25417700781117</v>
      </c>
      <c r="R107" s="3" t="str">
        <f t="shared" si="28"/>
        <v>0</v>
      </c>
      <c r="S107" s="3">
        <f t="shared" si="29"/>
        <v>0</v>
      </c>
      <c r="T107" s="3" t="str">
        <f t="shared" si="30"/>
        <v>0</v>
      </c>
      <c r="U107" s="3"/>
      <c r="V107" s="3"/>
      <c r="W107" s="3"/>
      <c r="X107" s="3"/>
      <c r="Y107" s="3"/>
      <c r="Z107" s="3"/>
    </row>
    <row r="108" spans="1:26" x14ac:dyDescent="0.25">
      <c r="A108" s="2">
        <v>46148</v>
      </c>
      <c r="B108" s="3" t="s">
        <v>170</v>
      </c>
      <c r="C108" s="169" t="s">
        <v>268</v>
      </c>
      <c r="D108" s="4">
        <v>616.24695193599996</v>
      </c>
      <c r="E108" s="209">
        <v>0.995</v>
      </c>
      <c r="F108" s="184">
        <f>D108*E108</f>
        <v>613.16571717631996</v>
      </c>
      <c r="G108" s="6"/>
      <c r="H108" s="210"/>
      <c r="I108" s="3" t="str">
        <f t="shared" si="19"/>
        <v>0</v>
      </c>
      <c r="J108" s="3" t="str">
        <f t="shared" si="20"/>
        <v>0</v>
      </c>
      <c r="K108" s="3" t="str">
        <f t="shared" si="21"/>
        <v>0</v>
      </c>
      <c r="L108" s="3" t="str">
        <f t="shared" si="22"/>
        <v>0</v>
      </c>
      <c r="M108" s="3" t="str">
        <f t="shared" si="23"/>
        <v>0</v>
      </c>
      <c r="N108" s="3" t="str">
        <f t="shared" si="24"/>
        <v>0</v>
      </c>
      <c r="O108" s="3">
        <f t="shared" si="25"/>
        <v>616.24695193599996</v>
      </c>
      <c r="P108" s="3" t="str">
        <f t="shared" si="26"/>
        <v>0</v>
      </c>
      <c r="Q108" s="3">
        <f t="shared" si="27"/>
        <v>613.16571717631996</v>
      </c>
      <c r="R108" s="3" t="str">
        <f t="shared" si="28"/>
        <v>0</v>
      </c>
      <c r="S108" s="3">
        <f t="shared" si="29"/>
        <v>0</v>
      </c>
      <c r="T108" s="3" t="str">
        <f t="shared" si="30"/>
        <v>0</v>
      </c>
      <c r="U108" s="3"/>
      <c r="V108" s="3"/>
      <c r="W108" s="3"/>
      <c r="X108" s="3"/>
      <c r="Y108" s="3"/>
      <c r="Z108" s="3"/>
    </row>
    <row r="109" spans="1:26" x14ac:dyDescent="0.25">
      <c r="A109" s="2">
        <v>46148</v>
      </c>
      <c r="B109" s="3" t="s">
        <v>209</v>
      </c>
      <c r="C109" s="169" t="s">
        <v>267</v>
      </c>
      <c r="D109" s="4">
        <v>625</v>
      </c>
      <c r="E109" s="209">
        <v>0.995</v>
      </c>
      <c r="F109" s="184">
        <f>+D109*E109</f>
        <v>621.875</v>
      </c>
      <c r="G109" s="6">
        <f>+H109/D109</f>
        <v>0</v>
      </c>
      <c r="H109" s="3"/>
      <c r="I109" s="3" t="str">
        <f t="shared" si="19"/>
        <v>0</v>
      </c>
      <c r="J109" s="3" t="str">
        <f t="shared" si="20"/>
        <v>0</v>
      </c>
      <c r="K109" s="3" t="str">
        <f t="shared" si="21"/>
        <v>0</v>
      </c>
      <c r="L109" s="3" t="str">
        <f t="shared" si="22"/>
        <v>0</v>
      </c>
      <c r="M109" s="3" t="str">
        <f t="shared" si="23"/>
        <v>0</v>
      </c>
      <c r="N109" s="3" t="str">
        <f t="shared" si="24"/>
        <v>0</v>
      </c>
      <c r="O109" s="3" t="str">
        <f t="shared" si="25"/>
        <v>0</v>
      </c>
      <c r="P109" s="3">
        <f t="shared" si="26"/>
        <v>625</v>
      </c>
      <c r="Q109" s="3" t="str">
        <f t="shared" si="27"/>
        <v>0</v>
      </c>
      <c r="R109" s="3">
        <f t="shared" si="28"/>
        <v>621.875</v>
      </c>
      <c r="S109" s="3" t="str">
        <f t="shared" si="29"/>
        <v>0</v>
      </c>
      <c r="T109" s="3">
        <f t="shared" si="30"/>
        <v>0</v>
      </c>
      <c r="U109" s="3"/>
      <c r="V109" s="3"/>
      <c r="W109" s="3"/>
      <c r="X109" s="3"/>
      <c r="Y109" s="3"/>
      <c r="Z109" s="3"/>
    </row>
    <row r="110" spans="1:26" x14ac:dyDescent="0.25">
      <c r="A110" s="2">
        <v>46148</v>
      </c>
      <c r="B110" s="3" t="s">
        <v>171</v>
      </c>
      <c r="C110" s="169" t="s">
        <v>268</v>
      </c>
      <c r="D110" s="4"/>
      <c r="E110" s="3"/>
      <c r="F110" s="6">
        <f>+D110*E110</f>
        <v>0</v>
      </c>
      <c r="G110" s="6" t="e">
        <f>+H110/D110</f>
        <v>#DIV/0!</v>
      </c>
      <c r="H110" s="3"/>
      <c r="I110" s="3" t="str">
        <f t="shared" si="19"/>
        <v>0</v>
      </c>
      <c r="J110" s="3" t="str">
        <f t="shared" si="20"/>
        <v>0</v>
      </c>
      <c r="K110" s="3" t="str">
        <f t="shared" si="21"/>
        <v>0</v>
      </c>
      <c r="L110" s="3" t="str">
        <f t="shared" si="22"/>
        <v>0</v>
      </c>
      <c r="M110" s="3" t="str">
        <f t="shared" si="23"/>
        <v>0</v>
      </c>
      <c r="N110" s="3" t="str">
        <f t="shared" si="24"/>
        <v>0</v>
      </c>
      <c r="O110" s="3" t="str">
        <f t="shared" si="25"/>
        <v>0</v>
      </c>
      <c r="P110" s="3" t="str">
        <f t="shared" si="26"/>
        <v>0</v>
      </c>
      <c r="Q110" s="3" t="str">
        <f t="shared" si="27"/>
        <v>0</v>
      </c>
      <c r="R110" s="3" t="str">
        <f t="shared" si="28"/>
        <v>0</v>
      </c>
      <c r="S110" s="3" t="str">
        <f t="shared" si="29"/>
        <v>0</v>
      </c>
      <c r="T110" s="3" t="str">
        <f t="shared" si="30"/>
        <v>0</v>
      </c>
      <c r="U110" s="3">
        <v>3085</v>
      </c>
      <c r="V110" s="3"/>
      <c r="W110" s="3"/>
      <c r="X110" s="3"/>
      <c r="Y110" s="3"/>
      <c r="Z110" s="3"/>
    </row>
    <row r="111" spans="1:26" x14ac:dyDescent="0.25">
      <c r="A111" s="2">
        <v>46148</v>
      </c>
      <c r="B111" s="3" t="s">
        <v>211</v>
      </c>
      <c r="C111" s="169" t="s">
        <v>267</v>
      </c>
      <c r="D111" s="4"/>
      <c r="E111" s="3"/>
      <c r="F111" s="6">
        <f>+D111*E111</f>
        <v>0</v>
      </c>
      <c r="G111" s="6" t="e">
        <f>+H111/D111</f>
        <v>#DIV/0!</v>
      </c>
      <c r="H111" s="3"/>
      <c r="I111" s="3" t="str">
        <f t="shared" si="19"/>
        <v>0</v>
      </c>
      <c r="J111" s="3" t="str">
        <f t="shared" si="20"/>
        <v>0</v>
      </c>
      <c r="K111" s="3" t="str">
        <f t="shared" si="21"/>
        <v>0</v>
      </c>
      <c r="L111" s="3" t="str">
        <f t="shared" si="22"/>
        <v>0</v>
      </c>
      <c r="M111" s="3" t="str">
        <f t="shared" si="23"/>
        <v>0</v>
      </c>
      <c r="N111" s="3" t="str">
        <f t="shared" si="24"/>
        <v>0</v>
      </c>
      <c r="O111" s="3" t="str">
        <f t="shared" si="25"/>
        <v>0</v>
      </c>
      <c r="P111" s="3" t="str">
        <f t="shared" si="26"/>
        <v>0</v>
      </c>
      <c r="Q111" s="3" t="str">
        <f t="shared" si="27"/>
        <v>0</v>
      </c>
      <c r="R111" s="3" t="str">
        <f t="shared" si="28"/>
        <v>0</v>
      </c>
      <c r="S111" s="3" t="str">
        <f t="shared" si="29"/>
        <v>0</v>
      </c>
      <c r="T111" s="3" t="str">
        <f t="shared" si="30"/>
        <v>0</v>
      </c>
      <c r="U111" s="3"/>
      <c r="V111" s="3"/>
      <c r="W111" s="3">
        <v>1710</v>
      </c>
      <c r="X111" s="3"/>
      <c r="Y111" s="3"/>
      <c r="Z111" s="3"/>
    </row>
    <row r="112" spans="1:26" x14ac:dyDescent="0.25">
      <c r="A112" s="2">
        <v>46148</v>
      </c>
      <c r="B112" s="3" t="s">
        <v>170</v>
      </c>
      <c r="C112" s="169" t="s">
        <v>270</v>
      </c>
      <c r="D112" s="4">
        <v>146.34400000000002</v>
      </c>
      <c r="E112" s="209">
        <v>0.995</v>
      </c>
      <c r="F112" s="184">
        <f>D112*E112</f>
        <v>145.61228000000003</v>
      </c>
      <c r="G112" s="6">
        <f>+H112/D112</f>
        <v>0</v>
      </c>
      <c r="H112" s="3"/>
      <c r="I112" s="3" t="str">
        <f t="shared" si="19"/>
        <v>0</v>
      </c>
      <c r="J112" s="3" t="str">
        <f t="shared" si="20"/>
        <v>0</v>
      </c>
      <c r="K112" s="3" t="str">
        <f t="shared" si="21"/>
        <v>0</v>
      </c>
      <c r="L112" s="3" t="str">
        <f t="shared" si="22"/>
        <v>0</v>
      </c>
      <c r="M112" s="3" t="str">
        <f t="shared" si="23"/>
        <v>0</v>
      </c>
      <c r="N112" s="3" t="str">
        <f t="shared" si="24"/>
        <v>0</v>
      </c>
      <c r="O112" s="3">
        <f t="shared" si="25"/>
        <v>146.34400000000002</v>
      </c>
      <c r="P112" s="3" t="str">
        <f t="shared" si="26"/>
        <v>0</v>
      </c>
      <c r="Q112" s="3">
        <f t="shared" si="27"/>
        <v>145.61228000000003</v>
      </c>
      <c r="R112" s="3" t="str">
        <f t="shared" si="28"/>
        <v>0</v>
      </c>
      <c r="S112" s="3">
        <f t="shared" si="29"/>
        <v>0</v>
      </c>
      <c r="T112" s="3" t="str">
        <f t="shared" si="30"/>
        <v>0</v>
      </c>
      <c r="U112" s="3"/>
      <c r="V112" s="3"/>
      <c r="W112" s="3"/>
      <c r="X112" s="3"/>
      <c r="Y112" s="3"/>
      <c r="Z112" s="3"/>
    </row>
    <row r="113" spans="1:26" x14ac:dyDescent="0.25">
      <c r="A113" s="2">
        <v>46149</v>
      </c>
      <c r="B113" s="3" t="s">
        <v>169</v>
      </c>
      <c r="C113" s="3" t="s">
        <v>264</v>
      </c>
      <c r="D113" s="4">
        <v>252</v>
      </c>
      <c r="E113" s="5">
        <v>0.88</v>
      </c>
      <c r="F113" s="6">
        <f>+D113*E113</f>
        <v>221.76</v>
      </c>
      <c r="G113" s="6">
        <f>+H113/D113</f>
        <v>4.2190476190476183</v>
      </c>
      <c r="H113" s="7">
        <v>1063.1999999999998</v>
      </c>
      <c r="I113" s="3">
        <f t="shared" si="19"/>
        <v>252</v>
      </c>
      <c r="J113" s="3" t="str">
        <f t="shared" si="20"/>
        <v>0</v>
      </c>
      <c r="K113" s="3">
        <f t="shared" si="21"/>
        <v>221.76</v>
      </c>
      <c r="L113" s="3" t="str">
        <f t="shared" si="22"/>
        <v>0</v>
      </c>
      <c r="M113" s="3">
        <f t="shared" si="23"/>
        <v>1063.1999999999998</v>
      </c>
      <c r="N113" s="3" t="str">
        <f t="shared" si="24"/>
        <v>0</v>
      </c>
      <c r="O113" s="3" t="str">
        <f t="shared" si="25"/>
        <v>0</v>
      </c>
      <c r="P113" s="3" t="str">
        <f t="shared" si="26"/>
        <v>0</v>
      </c>
      <c r="Q113" s="3" t="str">
        <f t="shared" si="27"/>
        <v>0</v>
      </c>
      <c r="R113" s="3" t="str">
        <f t="shared" si="28"/>
        <v>0</v>
      </c>
      <c r="S113" s="3" t="str">
        <f t="shared" si="29"/>
        <v>0</v>
      </c>
      <c r="T113" s="3" t="str">
        <f t="shared" si="30"/>
        <v>0</v>
      </c>
      <c r="U113" s="3"/>
      <c r="V113" s="3"/>
      <c r="W113" s="3"/>
      <c r="X113" s="3"/>
      <c r="Y113" s="3"/>
      <c r="Z113" s="3"/>
    </row>
    <row r="114" spans="1:26" x14ac:dyDescent="0.25">
      <c r="A114" s="2">
        <v>46149</v>
      </c>
      <c r="B114" s="3" t="s">
        <v>170</v>
      </c>
      <c r="C114" s="3" t="s">
        <v>264</v>
      </c>
      <c r="D114" s="4">
        <v>421</v>
      </c>
      <c r="E114" s="209">
        <v>0.995</v>
      </c>
      <c r="F114" s="184">
        <f>D114*E114</f>
        <v>418.89499999999998</v>
      </c>
      <c r="G114" s="6"/>
      <c r="H114" s="7"/>
      <c r="I114" s="3" t="str">
        <f t="shared" si="19"/>
        <v>0</v>
      </c>
      <c r="J114" s="3" t="str">
        <f t="shared" si="20"/>
        <v>0</v>
      </c>
      <c r="K114" s="3" t="str">
        <f t="shared" si="21"/>
        <v>0</v>
      </c>
      <c r="L114" s="3" t="str">
        <f t="shared" si="22"/>
        <v>0</v>
      </c>
      <c r="M114" s="3" t="str">
        <f t="shared" si="23"/>
        <v>0</v>
      </c>
      <c r="N114" s="3" t="str">
        <f t="shared" si="24"/>
        <v>0</v>
      </c>
      <c r="O114" s="3">
        <f t="shared" si="25"/>
        <v>421</v>
      </c>
      <c r="P114" s="3" t="str">
        <f t="shared" si="26"/>
        <v>0</v>
      </c>
      <c r="Q114" s="3">
        <f t="shared" si="27"/>
        <v>418.89499999999998</v>
      </c>
      <c r="R114" s="3" t="str">
        <f t="shared" si="28"/>
        <v>0</v>
      </c>
      <c r="S114" s="3">
        <f t="shared" si="29"/>
        <v>0</v>
      </c>
      <c r="T114" s="3" t="str">
        <f t="shared" si="30"/>
        <v>0</v>
      </c>
      <c r="U114" s="3"/>
      <c r="V114" s="3"/>
      <c r="W114" s="3"/>
      <c r="X114" s="3"/>
      <c r="Y114" s="3"/>
      <c r="Z114" s="3"/>
    </row>
    <row r="115" spans="1:26" x14ac:dyDescent="0.25">
      <c r="A115" s="2">
        <v>46149</v>
      </c>
      <c r="B115" s="3" t="s">
        <v>170</v>
      </c>
      <c r="C115" s="3" t="s">
        <v>265</v>
      </c>
      <c r="D115" s="4">
        <v>652</v>
      </c>
      <c r="E115" s="209">
        <v>0.995</v>
      </c>
      <c r="F115" s="184">
        <f>D115*E115</f>
        <v>648.74</v>
      </c>
      <c r="G115" s="6"/>
      <c r="H115" s="7"/>
      <c r="I115" s="3" t="str">
        <f t="shared" si="19"/>
        <v>0</v>
      </c>
      <c r="J115" s="3" t="str">
        <f t="shared" si="20"/>
        <v>0</v>
      </c>
      <c r="K115" s="3" t="str">
        <f t="shared" si="21"/>
        <v>0</v>
      </c>
      <c r="L115" s="3" t="str">
        <f t="shared" si="22"/>
        <v>0</v>
      </c>
      <c r="M115" s="3" t="str">
        <f t="shared" si="23"/>
        <v>0</v>
      </c>
      <c r="N115" s="3" t="str">
        <f t="shared" si="24"/>
        <v>0</v>
      </c>
      <c r="O115" s="3">
        <f t="shared" si="25"/>
        <v>652</v>
      </c>
      <c r="P115" s="3" t="str">
        <f t="shared" si="26"/>
        <v>0</v>
      </c>
      <c r="Q115" s="3">
        <f t="shared" si="27"/>
        <v>648.74</v>
      </c>
      <c r="R115" s="3" t="str">
        <f t="shared" si="28"/>
        <v>0</v>
      </c>
      <c r="S115" s="3">
        <f t="shared" si="29"/>
        <v>0</v>
      </c>
      <c r="T115" s="3" t="str">
        <f t="shared" si="30"/>
        <v>0</v>
      </c>
      <c r="U115" s="3"/>
      <c r="V115" s="3"/>
      <c r="W115" s="3"/>
      <c r="X115" s="3"/>
      <c r="Y115" s="3"/>
      <c r="Z115" s="3"/>
    </row>
    <row r="116" spans="1:26" x14ac:dyDescent="0.25">
      <c r="A116" s="2">
        <v>46149</v>
      </c>
      <c r="B116" s="3" t="s">
        <v>170</v>
      </c>
      <c r="C116" s="169" t="s">
        <v>256</v>
      </c>
      <c r="D116" s="4">
        <v>471.8713472</v>
      </c>
      <c r="E116" s="209">
        <v>0.88</v>
      </c>
      <c r="F116" s="184">
        <f>D116*E116</f>
        <v>415.246785536</v>
      </c>
      <c r="G116" s="6">
        <f>H116/D116</f>
        <v>2.3212471079235724</v>
      </c>
      <c r="H116" s="7">
        <v>1095.33</v>
      </c>
      <c r="I116" s="3" t="str">
        <f t="shared" si="19"/>
        <v>0</v>
      </c>
      <c r="J116" s="3" t="str">
        <f t="shared" si="20"/>
        <v>0</v>
      </c>
      <c r="K116" s="3" t="str">
        <f t="shared" si="21"/>
        <v>0</v>
      </c>
      <c r="L116" s="3" t="str">
        <f t="shared" si="22"/>
        <v>0</v>
      </c>
      <c r="M116" s="3" t="str">
        <f t="shared" si="23"/>
        <v>0</v>
      </c>
      <c r="N116" s="3" t="str">
        <f t="shared" si="24"/>
        <v>0</v>
      </c>
      <c r="O116" s="3">
        <f t="shared" si="25"/>
        <v>471.8713472</v>
      </c>
      <c r="P116" s="3" t="str">
        <f t="shared" si="26"/>
        <v>0</v>
      </c>
      <c r="Q116" s="3">
        <f t="shared" si="27"/>
        <v>415.246785536</v>
      </c>
      <c r="R116" s="3" t="str">
        <f t="shared" si="28"/>
        <v>0</v>
      </c>
      <c r="S116" s="3">
        <f t="shared" si="29"/>
        <v>1095.33</v>
      </c>
      <c r="T116" s="3" t="str">
        <f t="shared" si="30"/>
        <v>0</v>
      </c>
      <c r="U116" s="3"/>
      <c r="V116" s="3"/>
      <c r="W116" s="3"/>
      <c r="X116" s="3"/>
      <c r="Y116" s="3"/>
      <c r="Z116" s="3"/>
    </row>
    <row r="117" spans="1:26" x14ac:dyDescent="0.25">
      <c r="A117" s="2">
        <v>46149</v>
      </c>
      <c r="B117" s="3" t="s">
        <v>209</v>
      </c>
      <c r="C117" s="169" t="s">
        <v>267</v>
      </c>
      <c r="D117" s="4">
        <v>634</v>
      </c>
      <c r="E117" s="209">
        <v>0.995</v>
      </c>
      <c r="F117" s="184">
        <f>+D117*E117</f>
        <v>630.83000000000004</v>
      </c>
      <c r="G117" s="6">
        <f>+H117/D117</f>
        <v>0</v>
      </c>
      <c r="H117" s="3"/>
      <c r="I117" s="3" t="str">
        <f t="shared" si="19"/>
        <v>0</v>
      </c>
      <c r="J117" s="3" t="str">
        <f t="shared" si="20"/>
        <v>0</v>
      </c>
      <c r="K117" s="3" t="str">
        <f t="shared" si="21"/>
        <v>0</v>
      </c>
      <c r="L117" s="3" t="str">
        <f t="shared" si="22"/>
        <v>0</v>
      </c>
      <c r="M117" s="3" t="str">
        <f t="shared" si="23"/>
        <v>0</v>
      </c>
      <c r="N117" s="3" t="str">
        <f t="shared" si="24"/>
        <v>0</v>
      </c>
      <c r="O117" s="3" t="str">
        <f t="shared" si="25"/>
        <v>0</v>
      </c>
      <c r="P117" s="3">
        <f t="shared" si="26"/>
        <v>634</v>
      </c>
      <c r="Q117" s="3" t="str">
        <f t="shared" si="27"/>
        <v>0</v>
      </c>
      <c r="R117" s="3">
        <f t="shared" si="28"/>
        <v>630.83000000000004</v>
      </c>
      <c r="S117" s="3" t="str">
        <f t="shared" si="29"/>
        <v>0</v>
      </c>
      <c r="T117" s="3">
        <f t="shared" si="30"/>
        <v>0</v>
      </c>
      <c r="U117" s="3"/>
      <c r="V117" s="3"/>
      <c r="W117" s="3"/>
      <c r="X117" s="3"/>
      <c r="Y117" s="3"/>
      <c r="Z117" s="3"/>
    </row>
    <row r="118" spans="1:26" x14ac:dyDescent="0.25">
      <c r="A118" s="2">
        <v>46149</v>
      </c>
      <c r="B118" s="3" t="s">
        <v>171</v>
      </c>
      <c r="C118" s="3" t="s">
        <v>275</v>
      </c>
      <c r="D118" s="4"/>
      <c r="E118" s="3"/>
      <c r="F118" s="6">
        <f>+D118*E118</f>
        <v>0</v>
      </c>
      <c r="G118" s="6" t="e">
        <f>+H118/D118</f>
        <v>#DIV/0!</v>
      </c>
      <c r="H118" s="3"/>
      <c r="I118" s="3" t="str">
        <f t="shared" si="19"/>
        <v>0</v>
      </c>
      <c r="J118" s="3" t="str">
        <f t="shared" si="20"/>
        <v>0</v>
      </c>
      <c r="K118" s="3" t="str">
        <f t="shared" si="21"/>
        <v>0</v>
      </c>
      <c r="L118" s="3" t="str">
        <f t="shared" si="22"/>
        <v>0</v>
      </c>
      <c r="M118" s="3" t="str">
        <f t="shared" si="23"/>
        <v>0</v>
      </c>
      <c r="N118" s="3" t="str">
        <f t="shared" si="24"/>
        <v>0</v>
      </c>
      <c r="O118" s="3" t="str">
        <f t="shared" si="25"/>
        <v>0</v>
      </c>
      <c r="P118" s="3" t="str">
        <f t="shared" si="26"/>
        <v>0</v>
      </c>
      <c r="Q118" s="3" t="str">
        <f t="shared" si="27"/>
        <v>0</v>
      </c>
      <c r="R118" s="3" t="str">
        <f t="shared" si="28"/>
        <v>0</v>
      </c>
      <c r="S118" s="3" t="str">
        <f t="shared" si="29"/>
        <v>0</v>
      </c>
      <c r="T118" s="3" t="str">
        <f t="shared" si="30"/>
        <v>0</v>
      </c>
      <c r="U118" s="3">
        <v>1060</v>
      </c>
      <c r="V118" s="3"/>
      <c r="W118" s="3"/>
      <c r="X118" s="3"/>
      <c r="Y118" s="3"/>
      <c r="Z118" s="3"/>
    </row>
    <row r="119" spans="1:26" x14ac:dyDescent="0.25">
      <c r="A119" s="2">
        <v>46149</v>
      </c>
      <c r="B119" s="3" t="s">
        <v>211</v>
      </c>
      <c r="C119" s="169" t="s">
        <v>267</v>
      </c>
      <c r="D119" s="4"/>
      <c r="E119" s="3"/>
      <c r="F119" s="6">
        <f>+D119*E119</f>
        <v>0</v>
      </c>
      <c r="G119" s="6" t="e">
        <f>+H119/D119</f>
        <v>#DIV/0!</v>
      </c>
      <c r="H119" s="3"/>
      <c r="I119" s="3" t="str">
        <f t="shared" si="19"/>
        <v>0</v>
      </c>
      <c r="J119" s="3" t="str">
        <f t="shared" si="20"/>
        <v>0</v>
      </c>
      <c r="K119" s="3" t="str">
        <f t="shared" si="21"/>
        <v>0</v>
      </c>
      <c r="L119" s="3" t="str">
        <f t="shared" si="22"/>
        <v>0</v>
      </c>
      <c r="M119" s="3" t="str">
        <f t="shared" si="23"/>
        <v>0</v>
      </c>
      <c r="N119" s="3" t="str">
        <f t="shared" si="24"/>
        <v>0</v>
      </c>
      <c r="O119" s="3" t="str">
        <f t="shared" si="25"/>
        <v>0</v>
      </c>
      <c r="P119" s="3" t="str">
        <f t="shared" si="26"/>
        <v>0</v>
      </c>
      <c r="Q119" s="3" t="str">
        <f t="shared" si="27"/>
        <v>0</v>
      </c>
      <c r="R119" s="3" t="str">
        <f t="shared" si="28"/>
        <v>0</v>
      </c>
      <c r="S119" s="3" t="str">
        <f t="shared" si="29"/>
        <v>0</v>
      </c>
      <c r="T119" s="3" t="str">
        <f t="shared" si="30"/>
        <v>0</v>
      </c>
      <c r="U119" s="3"/>
      <c r="V119" s="3"/>
      <c r="W119" s="3">
        <v>1090</v>
      </c>
      <c r="X119" s="3"/>
      <c r="Y119" s="3"/>
      <c r="Z119" s="3"/>
    </row>
    <row r="120" spans="1:26" x14ac:dyDescent="0.25">
      <c r="A120" s="2">
        <v>46150</v>
      </c>
      <c r="B120" s="3" t="s">
        <v>219</v>
      </c>
      <c r="C120" s="3"/>
      <c r="D120" s="4"/>
      <c r="E120" s="3"/>
      <c r="F120" s="6">
        <f>+D120*E120</f>
        <v>0</v>
      </c>
      <c r="G120" s="6" t="e">
        <f>+H120/D120</f>
        <v>#DIV/0!</v>
      </c>
      <c r="H120" s="3"/>
      <c r="I120" s="3" t="str">
        <f t="shared" si="19"/>
        <v>0</v>
      </c>
      <c r="J120" s="3" t="str">
        <f t="shared" si="20"/>
        <v>0</v>
      </c>
      <c r="K120" s="3" t="str">
        <f t="shared" si="21"/>
        <v>0</v>
      </c>
      <c r="L120" s="3" t="str">
        <f t="shared" si="22"/>
        <v>0</v>
      </c>
      <c r="M120" s="3" t="str">
        <f t="shared" si="23"/>
        <v>0</v>
      </c>
      <c r="N120" s="3" t="str">
        <f t="shared" si="24"/>
        <v>0</v>
      </c>
      <c r="O120" s="3" t="str">
        <f t="shared" si="25"/>
        <v>0</v>
      </c>
      <c r="P120" s="3" t="str">
        <f t="shared" si="26"/>
        <v>0</v>
      </c>
      <c r="Q120" s="3" t="str">
        <f t="shared" si="27"/>
        <v>0</v>
      </c>
      <c r="R120" s="3" t="str">
        <f t="shared" si="28"/>
        <v>0</v>
      </c>
      <c r="S120" s="3" t="str">
        <f t="shared" si="29"/>
        <v>0</v>
      </c>
      <c r="T120" s="3" t="str">
        <f t="shared" si="30"/>
        <v>0</v>
      </c>
      <c r="U120" s="3"/>
      <c r="V120" s="3"/>
      <c r="W120" s="3"/>
      <c r="X120" s="3"/>
      <c r="Y120" s="3"/>
      <c r="Z120" s="3"/>
    </row>
    <row r="121" spans="1:26" x14ac:dyDescent="0.25">
      <c r="A121" s="2">
        <v>46151</v>
      </c>
      <c r="B121" s="3" t="s">
        <v>170</v>
      </c>
      <c r="C121" s="3" t="s">
        <v>276</v>
      </c>
      <c r="D121" s="4">
        <v>208.1</v>
      </c>
      <c r="E121" s="209">
        <v>0.995</v>
      </c>
      <c r="F121" s="184">
        <f>D121*E121</f>
        <v>207.05949999999999</v>
      </c>
      <c r="G121" s="6"/>
      <c r="H121" s="7"/>
      <c r="I121" s="3" t="str">
        <f t="shared" si="19"/>
        <v>0</v>
      </c>
      <c r="J121" s="3" t="str">
        <f t="shared" si="20"/>
        <v>0</v>
      </c>
      <c r="K121" s="3" t="str">
        <f t="shared" si="21"/>
        <v>0</v>
      </c>
      <c r="L121" s="3" t="str">
        <f t="shared" si="22"/>
        <v>0</v>
      </c>
      <c r="M121" s="3" t="str">
        <f t="shared" si="23"/>
        <v>0</v>
      </c>
      <c r="N121" s="3" t="str">
        <f t="shared" si="24"/>
        <v>0</v>
      </c>
      <c r="O121" s="3">
        <f t="shared" si="25"/>
        <v>208.1</v>
      </c>
      <c r="P121" s="3" t="str">
        <f t="shared" si="26"/>
        <v>0</v>
      </c>
      <c r="Q121" s="3">
        <f t="shared" si="27"/>
        <v>207.05949999999999</v>
      </c>
      <c r="R121" s="3" t="str">
        <f t="shared" si="28"/>
        <v>0</v>
      </c>
      <c r="S121" s="3">
        <f t="shared" si="29"/>
        <v>0</v>
      </c>
      <c r="T121" s="3" t="str">
        <f t="shared" si="30"/>
        <v>0</v>
      </c>
      <c r="U121" s="3"/>
      <c r="V121" s="3"/>
      <c r="W121" s="3"/>
      <c r="X121" s="3"/>
      <c r="Y121" s="3"/>
      <c r="Z121" s="3"/>
    </row>
    <row r="122" spans="1:26" x14ac:dyDescent="0.25">
      <c r="A122" s="2">
        <v>46151</v>
      </c>
      <c r="B122" s="3" t="s">
        <v>170</v>
      </c>
      <c r="C122" s="169" t="s">
        <v>260</v>
      </c>
      <c r="D122" s="4">
        <v>498.37040000000002</v>
      </c>
      <c r="E122" s="209">
        <v>0.88</v>
      </c>
      <c r="F122" s="184">
        <f>D122*E122</f>
        <v>438.56595200000004</v>
      </c>
      <c r="G122" s="6">
        <f>H122/D122</f>
        <v>3.9772727272727275</v>
      </c>
      <c r="H122" s="7">
        <v>1982.1550000000002</v>
      </c>
      <c r="I122" s="3" t="str">
        <f t="shared" si="19"/>
        <v>0</v>
      </c>
      <c r="J122" s="3" t="str">
        <f t="shared" si="20"/>
        <v>0</v>
      </c>
      <c r="K122" s="3" t="str">
        <f t="shared" si="21"/>
        <v>0</v>
      </c>
      <c r="L122" s="3" t="str">
        <f t="shared" si="22"/>
        <v>0</v>
      </c>
      <c r="M122" s="3" t="str">
        <f t="shared" si="23"/>
        <v>0</v>
      </c>
      <c r="N122" s="3" t="str">
        <f t="shared" si="24"/>
        <v>0</v>
      </c>
      <c r="O122" s="3">
        <f t="shared" si="25"/>
        <v>498.37040000000002</v>
      </c>
      <c r="P122" s="3" t="str">
        <f t="shared" si="26"/>
        <v>0</v>
      </c>
      <c r="Q122" s="3">
        <f t="shared" si="27"/>
        <v>438.56595200000004</v>
      </c>
      <c r="R122" s="3" t="str">
        <f t="shared" si="28"/>
        <v>0</v>
      </c>
      <c r="S122" s="3">
        <f t="shared" si="29"/>
        <v>1982.1550000000002</v>
      </c>
      <c r="T122" s="3" t="str">
        <f t="shared" si="30"/>
        <v>0</v>
      </c>
      <c r="U122" s="3"/>
      <c r="V122" s="3"/>
      <c r="W122" s="3"/>
      <c r="X122" s="3"/>
      <c r="Y122" s="3"/>
      <c r="Z122" s="3"/>
    </row>
    <row r="123" spans="1:26" x14ac:dyDescent="0.25">
      <c r="A123" s="2">
        <v>46151</v>
      </c>
      <c r="B123" s="3" t="s">
        <v>209</v>
      </c>
      <c r="C123" s="169" t="s">
        <v>266</v>
      </c>
      <c r="D123" s="4">
        <v>500.9</v>
      </c>
      <c r="E123" s="209">
        <v>0.995</v>
      </c>
      <c r="F123" s="184">
        <f>+D123*E123</f>
        <v>498.39549999999997</v>
      </c>
      <c r="G123" s="6">
        <f>+H123/D123</f>
        <v>0</v>
      </c>
      <c r="H123" s="3"/>
      <c r="I123" s="3" t="str">
        <f t="shared" si="19"/>
        <v>0</v>
      </c>
      <c r="J123" s="3" t="str">
        <f t="shared" si="20"/>
        <v>0</v>
      </c>
      <c r="K123" s="3" t="str">
        <f t="shared" si="21"/>
        <v>0</v>
      </c>
      <c r="L123" s="3" t="str">
        <f t="shared" si="22"/>
        <v>0</v>
      </c>
      <c r="M123" s="3" t="str">
        <f t="shared" si="23"/>
        <v>0</v>
      </c>
      <c r="N123" s="3" t="str">
        <f t="shared" si="24"/>
        <v>0</v>
      </c>
      <c r="O123" s="3" t="str">
        <f t="shared" si="25"/>
        <v>0</v>
      </c>
      <c r="P123" s="3">
        <f t="shared" si="26"/>
        <v>500.9</v>
      </c>
      <c r="Q123" s="3" t="str">
        <f t="shared" si="27"/>
        <v>0</v>
      </c>
      <c r="R123" s="3">
        <f t="shared" si="28"/>
        <v>498.39549999999997</v>
      </c>
      <c r="S123" s="3" t="str">
        <f t="shared" si="29"/>
        <v>0</v>
      </c>
      <c r="T123" s="3">
        <f t="shared" si="30"/>
        <v>0</v>
      </c>
      <c r="U123" s="3"/>
      <c r="V123" s="3"/>
      <c r="W123" s="3"/>
      <c r="X123" s="3"/>
      <c r="Y123" s="3"/>
      <c r="Z123" s="3"/>
    </row>
    <row r="124" spans="1:26" x14ac:dyDescent="0.25">
      <c r="A124" s="2">
        <v>46152</v>
      </c>
      <c r="B124" s="3" t="s">
        <v>218</v>
      </c>
      <c r="C124" s="3"/>
      <c r="D124" s="4"/>
      <c r="E124" s="3"/>
      <c r="F124" s="6">
        <f>+D124*E124</f>
        <v>0</v>
      </c>
      <c r="G124" s="6" t="e">
        <f>+H124/D124</f>
        <v>#DIV/0!</v>
      </c>
      <c r="H124" s="3"/>
      <c r="I124" s="3" t="str">
        <f t="shared" si="19"/>
        <v>0</v>
      </c>
      <c r="J124" s="3" t="str">
        <f t="shared" si="20"/>
        <v>0</v>
      </c>
      <c r="K124" s="3" t="str">
        <f t="shared" si="21"/>
        <v>0</v>
      </c>
      <c r="L124" s="3" t="str">
        <f t="shared" si="22"/>
        <v>0</v>
      </c>
      <c r="M124" s="3" t="str">
        <f t="shared" si="23"/>
        <v>0</v>
      </c>
      <c r="N124" s="3" t="str">
        <f t="shared" si="24"/>
        <v>0</v>
      </c>
      <c r="O124" s="3" t="str">
        <f t="shared" si="25"/>
        <v>0</v>
      </c>
      <c r="P124" s="3" t="str">
        <f t="shared" si="26"/>
        <v>0</v>
      </c>
      <c r="Q124" s="3" t="str">
        <f t="shared" si="27"/>
        <v>0</v>
      </c>
      <c r="R124" s="3" t="str">
        <f t="shared" si="28"/>
        <v>0</v>
      </c>
      <c r="S124" s="3" t="str">
        <f t="shared" si="29"/>
        <v>0</v>
      </c>
      <c r="T124" s="3" t="str">
        <f t="shared" si="30"/>
        <v>0</v>
      </c>
      <c r="U124" s="3"/>
      <c r="V124" s="3"/>
      <c r="W124" s="3"/>
      <c r="X124" s="3"/>
      <c r="Y124" s="3"/>
      <c r="Z124" s="3"/>
    </row>
    <row r="125" spans="1:26" x14ac:dyDescent="0.25">
      <c r="A125" s="2">
        <v>46153</v>
      </c>
      <c r="B125" s="3" t="s">
        <v>169</v>
      </c>
      <c r="C125" s="3" t="s">
        <v>277</v>
      </c>
      <c r="D125" s="4">
        <v>1278.2</v>
      </c>
      <c r="E125" s="5">
        <v>0.88</v>
      </c>
      <c r="F125" s="6">
        <f>+D125*E125</f>
        <v>1124.816</v>
      </c>
      <c r="G125" s="6">
        <f>+H125/D125</f>
        <v>4.0646221248630887</v>
      </c>
      <c r="H125" s="7">
        <v>5195.3999999999996</v>
      </c>
      <c r="I125" s="3">
        <f t="shared" si="19"/>
        <v>1278.2</v>
      </c>
      <c r="J125" s="3" t="str">
        <f t="shared" si="20"/>
        <v>0</v>
      </c>
      <c r="K125" s="3">
        <f t="shared" si="21"/>
        <v>1124.816</v>
      </c>
      <c r="L125" s="3" t="str">
        <f t="shared" si="22"/>
        <v>0</v>
      </c>
      <c r="M125" s="3">
        <f t="shared" si="23"/>
        <v>5195.3999999999996</v>
      </c>
      <c r="N125" s="3" t="str">
        <f t="shared" si="24"/>
        <v>0</v>
      </c>
      <c r="O125" s="3" t="str">
        <f t="shared" si="25"/>
        <v>0</v>
      </c>
      <c r="P125" s="3" t="str">
        <f t="shared" si="26"/>
        <v>0</v>
      </c>
      <c r="Q125" s="3" t="str">
        <f t="shared" si="27"/>
        <v>0</v>
      </c>
      <c r="R125" s="3" t="str">
        <f t="shared" si="28"/>
        <v>0</v>
      </c>
      <c r="S125" s="3" t="str">
        <f t="shared" si="29"/>
        <v>0</v>
      </c>
      <c r="T125" s="3" t="str">
        <f t="shared" si="30"/>
        <v>0</v>
      </c>
      <c r="U125" s="3"/>
      <c r="V125" s="3"/>
      <c r="W125" s="3"/>
      <c r="X125" s="3"/>
      <c r="Y125" s="3"/>
      <c r="Z125" s="3"/>
    </row>
    <row r="126" spans="1:26" x14ac:dyDescent="0.25">
      <c r="A126" s="2">
        <v>46153</v>
      </c>
      <c r="B126" s="3" t="s">
        <v>169</v>
      </c>
      <c r="C126" s="3" t="s">
        <v>263</v>
      </c>
      <c r="D126" s="4">
        <v>541</v>
      </c>
      <c r="E126" s="5">
        <v>0.92</v>
      </c>
      <c r="F126" s="6">
        <f>+D126*E126</f>
        <v>497.72</v>
      </c>
      <c r="G126" s="6">
        <f>+H126/D126</f>
        <v>1.6348428835489832</v>
      </c>
      <c r="H126" s="7">
        <v>884.44999999999993</v>
      </c>
      <c r="I126" s="3">
        <f t="shared" si="19"/>
        <v>541</v>
      </c>
      <c r="J126" s="3" t="str">
        <f t="shared" si="20"/>
        <v>0</v>
      </c>
      <c r="K126" s="3">
        <f t="shared" si="21"/>
        <v>497.72</v>
      </c>
      <c r="L126" s="3" t="str">
        <f t="shared" si="22"/>
        <v>0</v>
      </c>
      <c r="M126" s="3">
        <f t="shared" si="23"/>
        <v>884.44999999999993</v>
      </c>
      <c r="N126" s="3" t="str">
        <f t="shared" si="24"/>
        <v>0</v>
      </c>
      <c r="O126" s="3" t="str">
        <f t="shared" si="25"/>
        <v>0</v>
      </c>
      <c r="P126" s="3" t="str">
        <f t="shared" si="26"/>
        <v>0</v>
      </c>
      <c r="Q126" s="3" t="str">
        <f t="shared" si="27"/>
        <v>0</v>
      </c>
      <c r="R126" s="3" t="str">
        <f t="shared" si="28"/>
        <v>0</v>
      </c>
      <c r="S126" s="3" t="str">
        <f t="shared" si="29"/>
        <v>0</v>
      </c>
      <c r="T126" s="3" t="str">
        <f t="shared" si="30"/>
        <v>0</v>
      </c>
      <c r="U126" s="3"/>
      <c r="V126" s="3"/>
      <c r="W126" s="3"/>
      <c r="X126" s="3"/>
      <c r="Y126" s="3"/>
      <c r="Z126" s="3"/>
    </row>
    <row r="127" spans="1:26" x14ac:dyDescent="0.25">
      <c r="A127" s="2">
        <v>46153</v>
      </c>
      <c r="B127" s="3" t="s">
        <v>169</v>
      </c>
      <c r="C127" s="169" t="s">
        <v>268</v>
      </c>
      <c r="D127" s="4">
        <v>452.56</v>
      </c>
      <c r="E127" s="5">
        <v>0.88</v>
      </c>
      <c r="F127" s="6">
        <f>+D127*E127</f>
        <v>398.25279999999998</v>
      </c>
      <c r="G127" s="6">
        <f>+H127/D127</f>
        <v>4.872856637793884</v>
      </c>
      <c r="H127" s="7">
        <v>2205.2600000000002</v>
      </c>
      <c r="I127" s="3">
        <f t="shared" si="19"/>
        <v>452.56</v>
      </c>
      <c r="J127" s="3" t="str">
        <f t="shared" si="20"/>
        <v>0</v>
      </c>
      <c r="K127" s="3">
        <f t="shared" si="21"/>
        <v>398.25279999999998</v>
      </c>
      <c r="L127" s="3" t="str">
        <f t="shared" si="22"/>
        <v>0</v>
      </c>
      <c r="M127" s="3">
        <f t="shared" si="23"/>
        <v>2205.2600000000002</v>
      </c>
      <c r="N127" s="3" t="str">
        <f t="shared" si="24"/>
        <v>0</v>
      </c>
      <c r="O127" s="3" t="str">
        <f t="shared" si="25"/>
        <v>0</v>
      </c>
      <c r="P127" s="3" t="str">
        <f t="shared" si="26"/>
        <v>0</v>
      </c>
      <c r="Q127" s="3" t="str">
        <f t="shared" si="27"/>
        <v>0</v>
      </c>
      <c r="R127" s="3" t="str">
        <f t="shared" si="28"/>
        <v>0</v>
      </c>
      <c r="S127" s="3" t="str">
        <f t="shared" si="29"/>
        <v>0</v>
      </c>
      <c r="T127" s="3" t="str">
        <f t="shared" si="30"/>
        <v>0</v>
      </c>
      <c r="U127" s="3"/>
      <c r="V127" s="3"/>
      <c r="W127" s="3"/>
      <c r="X127" s="3"/>
      <c r="Y127" s="3"/>
      <c r="Z127" s="3"/>
    </row>
    <row r="128" spans="1:26" x14ac:dyDescent="0.25">
      <c r="A128" s="2">
        <v>46153</v>
      </c>
      <c r="B128" s="3" t="s">
        <v>170</v>
      </c>
      <c r="C128" s="3" t="s">
        <v>277</v>
      </c>
      <c r="D128" s="4">
        <v>1129.6600000000001</v>
      </c>
      <c r="E128" s="209">
        <v>0.995</v>
      </c>
      <c r="F128" s="184">
        <f t="shared" ref="F128:F133" si="36">D128*E128</f>
        <v>1124.0117</v>
      </c>
      <c r="G128" s="6"/>
      <c r="H128" s="7"/>
      <c r="I128" s="3" t="str">
        <f t="shared" si="19"/>
        <v>0</v>
      </c>
      <c r="J128" s="3" t="str">
        <f t="shared" si="20"/>
        <v>0</v>
      </c>
      <c r="K128" s="3" t="str">
        <f t="shared" si="21"/>
        <v>0</v>
      </c>
      <c r="L128" s="3" t="str">
        <f t="shared" si="22"/>
        <v>0</v>
      </c>
      <c r="M128" s="3" t="str">
        <f t="shared" si="23"/>
        <v>0</v>
      </c>
      <c r="N128" s="3" t="str">
        <f t="shared" si="24"/>
        <v>0</v>
      </c>
      <c r="O128" s="3">
        <f t="shared" si="25"/>
        <v>1129.6600000000001</v>
      </c>
      <c r="P128" s="3" t="str">
        <f t="shared" si="26"/>
        <v>0</v>
      </c>
      <c r="Q128" s="3">
        <f t="shared" si="27"/>
        <v>1124.0117</v>
      </c>
      <c r="R128" s="3" t="str">
        <f t="shared" si="28"/>
        <v>0</v>
      </c>
      <c r="S128" s="3">
        <f t="shared" si="29"/>
        <v>0</v>
      </c>
      <c r="T128" s="3" t="str">
        <f t="shared" si="30"/>
        <v>0</v>
      </c>
      <c r="U128" s="3"/>
      <c r="V128" s="3"/>
      <c r="W128" s="3"/>
      <c r="X128" s="3"/>
      <c r="Y128" s="3"/>
      <c r="Z128" s="3"/>
    </row>
    <row r="129" spans="1:26" x14ac:dyDescent="0.25">
      <c r="A129" s="2">
        <v>46153</v>
      </c>
      <c r="B129" s="3" t="s">
        <v>170</v>
      </c>
      <c r="C129" s="169" t="s">
        <v>257</v>
      </c>
      <c r="D129" s="4">
        <v>616.24695193599996</v>
      </c>
      <c r="E129" s="209">
        <v>0.995</v>
      </c>
      <c r="F129" s="184">
        <f t="shared" si="36"/>
        <v>613.16571717631996</v>
      </c>
      <c r="G129" s="6"/>
      <c r="H129" s="7"/>
      <c r="I129" s="3" t="str">
        <f t="shared" si="19"/>
        <v>0</v>
      </c>
      <c r="J129" s="3" t="str">
        <f t="shared" si="20"/>
        <v>0</v>
      </c>
      <c r="K129" s="3" t="str">
        <f t="shared" si="21"/>
        <v>0</v>
      </c>
      <c r="L129" s="3" t="str">
        <f t="shared" si="22"/>
        <v>0</v>
      </c>
      <c r="M129" s="3" t="str">
        <f t="shared" si="23"/>
        <v>0</v>
      </c>
      <c r="N129" s="3" t="str">
        <f t="shared" si="24"/>
        <v>0</v>
      </c>
      <c r="O129" s="3">
        <f t="shared" si="25"/>
        <v>616.24695193599996</v>
      </c>
      <c r="P129" s="3" t="str">
        <f t="shared" si="26"/>
        <v>0</v>
      </c>
      <c r="Q129" s="3">
        <f t="shared" si="27"/>
        <v>613.16571717631996</v>
      </c>
      <c r="R129" s="3" t="str">
        <f t="shared" si="28"/>
        <v>0</v>
      </c>
      <c r="S129" s="3">
        <f t="shared" si="29"/>
        <v>0</v>
      </c>
      <c r="T129" s="3" t="str">
        <f t="shared" si="30"/>
        <v>0</v>
      </c>
      <c r="U129" s="3"/>
      <c r="V129" s="3"/>
      <c r="W129" s="3"/>
      <c r="X129" s="3"/>
      <c r="Y129" s="3"/>
      <c r="Z129" s="3"/>
    </row>
    <row r="130" spans="1:26" x14ac:dyDescent="0.25">
      <c r="A130" s="2">
        <v>46153</v>
      </c>
      <c r="B130" s="3" t="s">
        <v>170</v>
      </c>
      <c r="C130" s="169" t="s">
        <v>268</v>
      </c>
      <c r="D130" s="4">
        <v>616.24695193599996</v>
      </c>
      <c r="E130" s="209">
        <v>0.995</v>
      </c>
      <c r="F130" s="184">
        <f t="shared" si="36"/>
        <v>613.16571717631996</v>
      </c>
      <c r="G130" s="6"/>
      <c r="H130" s="7"/>
      <c r="I130" s="3" t="str">
        <f t="shared" ref="I130:I193" si="37">IF(B130="SALES",D130,"0")</f>
        <v>0</v>
      </c>
      <c r="J130" s="3" t="str">
        <f t="shared" ref="J130:J193" si="38">IF(B130="SALES RETURN",D130,"0")</f>
        <v>0</v>
      </c>
      <c r="K130" s="3" t="str">
        <f t="shared" ref="K130:K193" si="39">IF(B130="SALES",F130,"0")</f>
        <v>0</v>
      </c>
      <c r="L130" s="3" t="str">
        <f t="shared" ref="L130:L193" si="40">IF(B130="SALES RETURN",F130,"0")</f>
        <v>0</v>
      </c>
      <c r="M130" s="3" t="str">
        <f t="shared" ref="M130:M193" si="41">IF(B130="SALES",H130,"0")</f>
        <v>0</v>
      </c>
      <c r="N130" s="3" t="str">
        <f t="shared" ref="N130:N193" si="42">IF(B130="SALES RETURN",H130,"0")</f>
        <v>0</v>
      </c>
      <c r="O130" s="3">
        <f t="shared" ref="O130:O193" si="43">IF(B130="PURCHASE",D130,"0")</f>
        <v>616.24695193599996</v>
      </c>
      <c r="P130" s="3" t="str">
        <f t="shared" ref="P130:P193" si="44">IF(B130="METAL PAYMENT",D130,"0")</f>
        <v>0</v>
      </c>
      <c r="Q130" s="3">
        <f t="shared" ref="Q130:Q193" si="45">IF(B130="PURCHASE",F130,"0")</f>
        <v>613.16571717631996</v>
      </c>
      <c r="R130" s="3" t="str">
        <f t="shared" ref="R130:R193" si="46">IF(B130="METAL PAYMENT",F130,"0")</f>
        <v>0</v>
      </c>
      <c r="S130" s="3">
        <f t="shared" ref="S130:S193" si="47">IF(B130="PURCHASE",H130,"0")</f>
        <v>0</v>
      </c>
      <c r="T130" s="3" t="str">
        <f t="shared" ref="T130:T193" si="48">IF(B130="METAL PAYMENT",H130,"0")</f>
        <v>0</v>
      </c>
      <c r="U130" s="3"/>
      <c r="V130" s="3"/>
      <c r="W130" s="3"/>
      <c r="X130" s="3"/>
      <c r="Y130" s="3"/>
      <c r="Z130" s="3"/>
    </row>
    <row r="131" spans="1:26" x14ac:dyDescent="0.25">
      <c r="A131" s="2">
        <v>46153</v>
      </c>
      <c r="B131" s="3" t="s">
        <v>170</v>
      </c>
      <c r="C131" s="3" t="s">
        <v>263</v>
      </c>
      <c r="D131" s="4">
        <v>745</v>
      </c>
      <c r="E131" s="209">
        <v>0.995</v>
      </c>
      <c r="F131" s="184">
        <f t="shared" si="36"/>
        <v>741.27499999999998</v>
      </c>
      <c r="G131" s="6"/>
      <c r="H131" s="7"/>
      <c r="I131" s="3" t="str">
        <f t="shared" si="37"/>
        <v>0</v>
      </c>
      <c r="J131" s="3" t="str">
        <f t="shared" si="38"/>
        <v>0</v>
      </c>
      <c r="K131" s="3" t="str">
        <f t="shared" si="39"/>
        <v>0</v>
      </c>
      <c r="L131" s="3" t="str">
        <f t="shared" si="40"/>
        <v>0</v>
      </c>
      <c r="M131" s="3" t="str">
        <f t="shared" si="41"/>
        <v>0</v>
      </c>
      <c r="N131" s="3" t="str">
        <f t="shared" si="42"/>
        <v>0</v>
      </c>
      <c r="O131" s="3">
        <f t="shared" si="43"/>
        <v>745</v>
      </c>
      <c r="P131" s="3" t="str">
        <f t="shared" si="44"/>
        <v>0</v>
      </c>
      <c r="Q131" s="3">
        <f t="shared" si="45"/>
        <v>741.27499999999998</v>
      </c>
      <c r="R131" s="3" t="str">
        <f t="shared" si="46"/>
        <v>0</v>
      </c>
      <c r="S131" s="3">
        <f t="shared" si="47"/>
        <v>0</v>
      </c>
      <c r="T131" s="3" t="str">
        <f t="shared" si="48"/>
        <v>0</v>
      </c>
      <c r="U131" s="3"/>
      <c r="V131" s="3"/>
      <c r="W131" s="3"/>
      <c r="X131" s="3"/>
      <c r="Y131" s="3"/>
      <c r="Z131" s="3"/>
    </row>
    <row r="132" spans="1:26" x14ac:dyDescent="0.25">
      <c r="A132" s="2">
        <v>46153</v>
      </c>
      <c r="B132" s="3" t="s">
        <v>170</v>
      </c>
      <c r="C132" s="169" t="s">
        <v>270</v>
      </c>
      <c r="D132" s="4">
        <v>227.04</v>
      </c>
      <c r="E132" s="209">
        <v>0.999</v>
      </c>
      <c r="F132" s="184">
        <f t="shared" si="36"/>
        <v>226.81296</v>
      </c>
      <c r="G132" s="6"/>
      <c r="H132" s="7"/>
      <c r="I132" s="3" t="str">
        <f t="shared" si="37"/>
        <v>0</v>
      </c>
      <c r="J132" s="3" t="str">
        <f t="shared" si="38"/>
        <v>0</v>
      </c>
      <c r="K132" s="3" t="str">
        <f t="shared" si="39"/>
        <v>0</v>
      </c>
      <c r="L132" s="3" t="str">
        <f t="shared" si="40"/>
        <v>0</v>
      </c>
      <c r="M132" s="3" t="str">
        <f t="shared" si="41"/>
        <v>0</v>
      </c>
      <c r="N132" s="3" t="str">
        <f t="shared" si="42"/>
        <v>0</v>
      </c>
      <c r="O132" s="3">
        <f t="shared" si="43"/>
        <v>227.04</v>
      </c>
      <c r="P132" s="3" t="str">
        <f t="shared" si="44"/>
        <v>0</v>
      </c>
      <c r="Q132" s="3">
        <f t="shared" si="45"/>
        <v>226.81296</v>
      </c>
      <c r="R132" s="3" t="str">
        <f t="shared" si="46"/>
        <v>0</v>
      </c>
      <c r="S132" s="3">
        <f t="shared" si="47"/>
        <v>0</v>
      </c>
      <c r="T132" s="3" t="str">
        <f t="shared" si="48"/>
        <v>0</v>
      </c>
      <c r="U132" s="3"/>
      <c r="V132" s="3"/>
      <c r="W132" s="3"/>
      <c r="X132" s="3"/>
      <c r="Y132" s="3"/>
      <c r="Z132" s="3"/>
    </row>
    <row r="133" spans="1:26" x14ac:dyDescent="0.25">
      <c r="A133" s="2">
        <v>46153</v>
      </c>
      <c r="B133" s="3" t="s">
        <v>170</v>
      </c>
      <c r="C133" s="169" t="s">
        <v>260</v>
      </c>
      <c r="D133" s="4">
        <v>700.28062719999991</v>
      </c>
      <c r="E133" s="209">
        <v>0.88</v>
      </c>
      <c r="F133" s="184">
        <f t="shared" si="36"/>
        <v>616.24695193599996</v>
      </c>
      <c r="G133" s="6">
        <f>H133/D133</f>
        <v>2.6497377307426966</v>
      </c>
      <c r="H133" s="7">
        <v>1855.56</v>
      </c>
      <c r="I133" s="3" t="str">
        <f t="shared" si="37"/>
        <v>0</v>
      </c>
      <c r="J133" s="3" t="str">
        <f t="shared" si="38"/>
        <v>0</v>
      </c>
      <c r="K133" s="3" t="str">
        <f t="shared" si="39"/>
        <v>0</v>
      </c>
      <c r="L133" s="3" t="str">
        <f t="shared" si="40"/>
        <v>0</v>
      </c>
      <c r="M133" s="3" t="str">
        <f t="shared" si="41"/>
        <v>0</v>
      </c>
      <c r="N133" s="3" t="str">
        <f t="shared" si="42"/>
        <v>0</v>
      </c>
      <c r="O133" s="3">
        <f t="shared" si="43"/>
        <v>700.28062719999991</v>
      </c>
      <c r="P133" s="3" t="str">
        <f t="shared" si="44"/>
        <v>0</v>
      </c>
      <c r="Q133" s="3">
        <f t="shared" si="45"/>
        <v>616.24695193599996</v>
      </c>
      <c r="R133" s="3" t="str">
        <f t="shared" si="46"/>
        <v>0</v>
      </c>
      <c r="S133" s="3">
        <f t="shared" si="47"/>
        <v>1855.56</v>
      </c>
      <c r="T133" s="3" t="str">
        <f t="shared" si="48"/>
        <v>0</v>
      </c>
      <c r="U133" s="3"/>
      <c r="V133" s="3"/>
      <c r="W133" s="3"/>
      <c r="X133" s="3"/>
      <c r="Y133" s="3"/>
      <c r="Z133" s="3"/>
    </row>
    <row r="134" spans="1:26" x14ac:dyDescent="0.25">
      <c r="A134" s="2">
        <v>46153</v>
      </c>
      <c r="B134" s="3" t="s">
        <v>209</v>
      </c>
      <c r="C134" s="169" t="s">
        <v>270</v>
      </c>
      <c r="D134" s="4">
        <v>700.28062719999991</v>
      </c>
      <c r="E134" s="209">
        <v>0.995</v>
      </c>
      <c r="F134" s="184">
        <f>+D134*E134</f>
        <v>696.77922406399989</v>
      </c>
      <c r="G134" s="6">
        <f t="shared" ref="G134:G142" si="49">+H134/D134</f>
        <v>0</v>
      </c>
      <c r="H134" s="3"/>
      <c r="I134" s="3" t="str">
        <f t="shared" si="37"/>
        <v>0</v>
      </c>
      <c r="J134" s="3" t="str">
        <f t="shared" si="38"/>
        <v>0</v>
      </c>
      <c r="K134" s="3" t="str">
        <f t="shared" si="39"/>
        <v>0</v>
      </c>
      <c r="L134" s="3" t="str">
        <f t="shared" si="40"/>
        <v>0</v>
      </c>
      <c r="M134" s="3" t="str">
        <f t="shared" si="41"/>
        <v>0</v>
      </c>
      <c r="N134" s="3" t="str">
        <f t="shared" si="42"/>
        <v>0</v>
      </c>
      <c r="O134" s="3" t="str">
        <f t="shared" si="43"/>
        <v>0</v>
      </c>
      <c r="P134" s="3">
        <f t="shared" si="44"/>
        <v>700.28062719999991</v>
      </c>
      <c r="Q134" s="3" t="str">
        <f t="shared" si="45"/>
        <v>0</v>
      </c>
      <c r="R134" s="3">
        <f t="shared" si="46"/>
        <v>696.77922406399989</v>
      </c>
      <c r="S134" s="3" t="str">
        <f t="shared" si="47"/>
        <v>0</v>
      </c>
      <c r="T134" s="3">
        <f t="shared" si="48"/>
        <v>0</v>
      </c>
      <c r="U134" s="3"/>
      <c r="V134" s="3"/>
      <c r="W134" s="3"/>
      <c r="X134" s="3"/>
      <c r="Y134" s="3"/>
      <c r="Z134" s="3"/>
    </row>
    <row r="135" spans="1:26" x14ac:dyDescent="0.25">
      <c r="A135" s="2">
        <v>46153</v>
      </c>
      <c r="B135" s="3" t="s">
        <v>209</v>
      </c>
      <c r="C135" s="169" t="s">
        <v>266</v>
      </c>
      <c r="D135" s="4">
        <v>466.54</v>
      </c>
      <c r="E135" s="209">
        <v>1</v>
      </c>
      <c r="F135" s="184">
        <f>+D135*E135</f>
        <v>466.54</v>
      </c>
      <c r="G135" s="6">
        <f t="shared" si="49"/>
        <v>0</v>
      </c>
      <c r="H135" s="3"/>
      <c r="I135" s="3" t="str">
        <f t="shared" si="37"/>
        <v>0</v>
      </c>
      <c r="J135" s="3" t="str">
        <f t="shared" si="38"/>
        <v>0</v>
      </c>
      <c r="K135" s="3" t="str">
        <f t="shared" si="39"/>
        <v>0</v>
      </c>
      <c r="L135" s="3" t="str">
        <f t="shared" si="40"/>
        <v>0</v>
      </c>
      <c r="M135" s="3" t="str">
        <f t="shared" si="41"/>
        <v>0</v>
      </c>
      <c r="N135" s="3" t="str">
        <f t="shared" si="42"/>
        <v>0</v>
      </c>
      <c r="O135" s="3" t="str">
        <f t="shared" si="43"/>
        <v>0</v>
      </c>
      <c r="P135" s="3">
        <f t="shared" si="44"/>
        <v>466.54</v>
      </c>
      <c r="Q135" s="3" t="str">
        <f t="shared" si="45"/>
        <v>0</v>
      </c>
      <c r="R135" s="3">
        <f t="shared" si="46"/>
        <v>466.54</v>
      </c>
      <c r="S135" s="3" t="str">
        <f t="shared" si="47"/>
        <v>0</v>
      </c>
      <c r="T135" s="3">
        <f t="shared" si="48"/>
        <v>0</v>
      </c>
      <c r="U135" s="3"/>
      <c r="V135" s="3"/>
      <c r="W135" s="3"/>
      <c r="X135" s="3"/>
      <c r="Y135" s="3"/>
      <c r="Z135" s="3"/>
    </row>
    <row r="136" spans="1:26" x14ac:dyDescent="0.25">
      <c r="A136" s="2">
        <v>46153</v>
      </c>
      <c r="B136" s="3" t="s">
        <v>171</v>
      </c>
      <c r="C136" s="3" t="s">
        <v>277</v>
      </c>
      <c r="D136" s="4"/>
      <c r="E136" s="3"/>
      <c r="F136" s="6">
        <f>+D136*E136</f>
        <v>0</v>
      </c>
      <c r="G136" s="6" t="e">
        <f t="shared" si="49"/>
        <v>#DIV/0!</v>
      </c>
      <c r="H136" s="3"/>
      <c r="I136" s="3" t="str">
        <f t="shared" si="37"/>
        <v>0</v>
      </c>
      <c r="J136" s="3" t="str">
        <f t="shared" si="38"/>
        <v>0</v>
      </c>
      <c r="K136" s="3" t="str">
        <f t="shared" si="39"/>
        <v>0</v>
      </c>
      <c r="L136" s="3" t="str">
        <f t="shared" si="40"/>
        <v>0</v>
      </c>
      <c r="M136" s="3" t="str">
        <f t="shared" si="41"/>
        <v>0</v>
      </c>
      <c r="N136" s="3" t="str">
        <f t="shared" si="42"/>
        <v>0</v>
      </c>
      <c r="O136" s="3" t="str">
        <f t="shared" si="43"/>
        <v>0</v>
      </c>
      <c r="P136" s="3" t="str">
        <f t="shared" si="44"/>
        <v>0</v>
      </c>
      <c r="Q136" s="3" t="str">
        <f t="shared" si="45"/>
        <v>0</v>
      </c>
      <c r="R136" s="3" t="str">
        <f t="shared" si="46"/>
        <v>0</v>
      </c>
      <c r="S136" s="3" t="str">
        <f t="shared" si="47"/>
        <v>0</v>
      </c>
      <c r="T136" s="3" t="str">
        <f t="shared" si="48"/>
        <v>0</v>
      </c>
      <c r="U136" s="3">
        <v>5194</v>
      </c>
      <c r="V136" s="3"/>
      <c r="W136" s="3"/>
      <c r="X136" s="3"/>
      <c r="Y136" s="3"/>
      <c r="Z136" s="3"/>
    </row>
    <row r="137" spans="1:26" x14ac:dyDescent="0.25">
      <c r="A137" s="2">
        <v>46153</v>
      </c>
      <c r="B137" s="3" t="s">
        <v>171</v>
      </c>
      <c r="C137" s="169" t="s">
        <v>268</v>
      </c>
      <c r="D137" s="4"/>
      <c r="E137" s="3"/>
      <c r="F137" s="6">
        <f>+D137*E137</f>
        <v>0</v>
      </c>
      <c r="G137" s="6" t="e">
        <f t="shared" si="49"/>
        <v>#DIV/0!</v>
      </c>
      <c r="H137" s="3"/>
      <c r="I137" s="3" t="str">
        <f t="shared" si="37"/>
        <v>0</v>
      </c>
      <c r="J137" s="3" t="str">
        <f t="shared" si="38"/>
        <v>0</v>
      </c>
      <c r="K137" s="3" t="str">
        <f t="shared" si="39"/>
        <v>0</v>
      </c>
      <c r="L137" s="3" t="str">
        <f t="shared" si="40"/>
        <v>0</v>
      </c>
      <c r="M137" s="3" t="str">
        <f t="shared" si="41"/>
        <v>0</v>
      </c>
      <c r="N137" s="3" t="str">
        <f t="shared" si="42"/>
        <v>0</v>
      </c>
      <c r="O137" s="3" t="str">
        <f t="shared" si="43"/>
        <v>0</v>
      </c>
      <c r="P137" s="3" t="str">
        <f t="shared" si="44"/>
        <v>0</v>
      </c>
      <c r="Q137" s="3" t="str">
        <f t="shared" si="45"/>
        <v>0</v>
      </c>
      <c r="R137" s="3" t="str">
        <f t="shared" si="46"/>
        <v>0</v>
      </c>
      <c r="S137" s="3" t="str">
        <f t="shared" si="47"/>
        <v>0</v>
      </c>
      <c r="T137" s="3" t="str">
        <f t="shared" si="48"/>
        <v>0</v>
      </c>
      <c r="U137" s="3">
        <v>2205</v>
      </c>
      <c r="V137" s="3"/>
      <c r="W137" s="3"/>
      <c r="X137" s="3"/>
      <c r="Y137" s="3"/>
      <c r="Z137" s="3"/>
    </row>
    <row r="138" spans="1:26" x14ac:dyDescent="0.25">
      <c r="A138" s="2">
        <v>46153</v>
      </c>
      <c r="B138" s="3" t="s">
        <v>211</v>
      </c>
      <c r="C138" s="169" t="s">
        <v>266</v>
      </c>
      <c r="D138" s="4"/>
      <c r="E138" s="3"/>
      <c r="F138" s="6">
        <f>+D138*E138</f>
        <v>0</v>
      </c>
      <c r="G138" s="6" t="e">
        <f t="shared" si="49"/>
        <v>#DIV/0!</v>
      </c>
      <c r="H138" s="3"/>
      <c r="I138" s="3" t="str">
        <f t="shared" si="37"/>
        <v>0</v>
      </c>
      <c r="J138" s="3" t="str">
        <f t="shared" si="38"/>
        <v>0</v>
      </c>
      <c r="K138" s="3" t="str">
        <f t="shared" si="39"/>
        <v>0</v>
      </c>
      <c r="L138" s="3" t="str">
        <f t="shared" si="40"/>
        <v>0</v>
      </c>
      <c r="M138" s="3" t="str">
        <f t="shared" si="41"/>
        <v>0</v>
      </c>
      <c r="N138" s="3" t="str">
        <f t="shared" si="42"/>
        <v>0</v>
      </c>
      <c r="O138" s="3" t="str">
        <f t="shared" si="43"/>
        <v>0</v>
      </c>
      <c r="P138" s="3" t="str">
        <f t="shared" si="44"/>
        <v>0</v>
      </c>
      <c r="Q138" s="3" t="str">
        <f t="shared" si="45"/>
        <v>0</v>
      </c>
      <c r="R138" s="3" t="str">
        <f t="shared" si="46"/>
        <v>0</v>
      </c>
      <c r="S138" s="3" t="str">
        <f t="shared" si="47"/>
        <v>0</v>
      </c>
      <c r="T138" s="3" t="str">
        <f t="shared" si="48"/>
        <v>0</v>
      </c>
      <c r="U138" s="3"/>
      <c r="V138" s="3"/>
      <c r="W138" s="3">
        <v>1855</v>
      </c>
      <c r="X138" s="3"/>
      <c r="Y138" s="3"/>
      <c r="Z138" s="3"/>
    </row>
    <row r="139" spans="1:26" x14ac:dyDescent="0.25">
      <c r="A139" s="2">
        <v>46151</v>
      </c>
      <c r="B139" s="3" t="s">
        <v>170</v>
      </c>
      <c r="C139" s="169" t="s">
        <v>270</v>
      </c>
      <c r="D139" s="4">
        <v>2099.52</v>
      </c>
      <c r="E139" s="209">
        <v>0.999</v>
      </c>
      <c r="F139" s="184">
        <f>D139*E139</f>
        <v>2097.4204799999998</v>
      </c>
      <c r="G139" s="6">
        <f t="shared" si="49"/>
        <v>0</v>
      </c>
      <c r="H139" s="3"/>
      <c r="I139" s="3" t="str">
        <f t="shared" si="37"/>
        <v>0</v>
      </c>
      <c r="J139" s="3" t="str">
        <f t="shared" si="38"/>
        <v>0</v>
      </c>
      <c r="K139" s="3" t="str">
        <f t="shared" si="39"/>
        <v>0</v>
      </c>
      <c r="L139" s="3" t="str">
        <f t="shared" si="40"/>
        <v>0</v>
      </c>
      <c r="M139" s="3" t="str">
        <f t="shared" si="41"/>
        <v>0</v>
      </c>
      <c r="N139" s="3" t="str">
        <f t="shared" si="42"/>
        <v>0</v>
      </c>
      <c r="O139" s="3">
        <f t="shared" si="43"/>
        <v>2099.52</v>
      </c>
      <c r="P139" s="3" t="str">
        <f t="shared" si="44"/>
        <v>0</v>
      </c>
      <c r="Q139" s="3">
        <f t="shared" si="45"/>
        <v>2097.4204799999998</v>
      </c>
      <c r="R139" s="3" t="str">
        <f t="shared" si="46"/>
        <v>0</v>
      </c>
      <c r="S139" s="3">
        <f t="shared" si="47"/>
        <v>0</v>
      </c>
      <c r="T139" s="3" t="str">
        <f t="shared" si="48"/>
        <v>0</v>
      </c>
      <c r="U139" s="3"/>
      <c r="V139" s="3"/>
      <c r="W139" s="3"/>
      <c r="X139" s="3"/>
      <c r="Y139" s="3"/>
      <c r="Z139" s="3"/>
    </row>
    <row r="140" spans="1:26" x14ac:dyDescent="0.25">
      <c r="A140" s="2">
        <v>46151</v>
      </c>
      <c r="B140" s="3" t="s">
        <v>209</v>
      </c>
      <c r="C140" s="169" t="s">
        <v>270</v>
      </c>
      <c r="D140" s="4">
        <v>2000</v>
      </c>
      <c r="E140" s="209">
        <v>0.995</v>
      </c>
      <c r="F140" s="184">
        <f>+D140*E140</f>
        <v>1990</v>
      </c>
      <c r="G140" s="6">
        <f t="shared" si="49"/>
        <v>0</v>
      </c>
      <c r="H140" s="3"/>
      <c r="I140" s="3" t="str">
        <f t="shared" si="37"/>
        <v>0</v>
      </c>
      <c r="J140" s="3" t="str">
        <f t="shared" si="38"/>
        <v>0</v>
      </c>
      <c r="K140" s="3" t="str">
        <f t="shared" si="39"/>
        <v>0</v>
      </c>
      <c r="L140" s="3" t="str">
        <f t="shared" si="40"/>
        <v>0</v>
      </c>
      <c r="M140" s="3" t="str">
        <f t="shared" si="41"/>
        <v>0</v>
      </c>
      <c r="N140" s="3" t="str">
        <f t="shared" si="42"/>
        <v>0</v>
      </c>
      <c r="O140" s="3" t="str">
        <f t="shared" si="43"/>
        <v>0</v>
      </c>
      <c r="P140" s="3">
        <f t="shared" si="44"/>
        <v>2000</v>
      </c>
      <c r="Q140" s="3" t="str">
        <f t="shared" si="45"/>
        <v>0</v>
      </c>
      <c r="R140" s="3">
        <f t="shared" si="46"/>
        <v>1990</v>
      </c>
      <c r="S140" s="3" t="str">
        <f t="shared" si="47"/>
        <v>0</v>
      </c>
      <c r="T140" s="3">
        <f t="shared" si="48"/>
        <v>0</v>
      </c>
      <c r="U140" s="3"/>
      <c r="V140" s="3"/>
      <c r="W140" s="3"/>
      <c r="X140" s="3"/>
      <c r="Y140" s="3"/>
      <c r="Z140" s="3"/>
    </row>
    <row r="141" spans="1:26" x14ac:dyDescent="0.25">
      <c r="A141" s="2">
        <v>46154</v>
      </c>
      <c r="B141" s="3" t="s">
        <v>169</v>
      </c>
      <c r="C141" s="169" t="s">
        <v>257</v>
      </c>
      <c r="D141" s="4">
        <v>379.03505164799998</v>
      </c>
      <c r="E141" s="5">
        <v>0.88</v>
      </c>
      <c r="F141" s="6">
        <f>+D141*E141</f>
        <v>333.55084545023999</v>
      </c>
      <c r="G141" s="6">
        <f t="shared" si="49"/>
        <v>14.014798834312582</v>
      </c>
      <c r="H141" s="7">
        <v>5312.0999999999995</v>
      </c>
      <c r="I141" s="3">
        <f t="shared" si="37"/>
        <v>379.03505164799998</v>
      </c>
      <c r="J141" s="3" t="str">
        <f t="shared" si="38"/>
        <v>0</v>
      </c>
      <c r="K141" s="3">
        <f t="shared" si="39"/>
        <v>333.55084545023999</v>
      </c>
      <c r="L141" s="3" t="str">
        <f t="shared" si="40"/>
        <v>0</v>
      </c>
      <c r="M141" s="3">
        <f t="shared" si="41"/>
        <v>5312.0999999999995</v>
      </c>
      <c r="N141" s="3" t="str">
        <f t="shared" si="42"/>
        <v>0</v>
      </c>
      <c r="O141" s="3" t="str">
        <f t="shared" si="43"/>
        <v>0</v>
      </c>
      <c r="P141" s="3" t="str">
        <f t="shared" si="44"/>
        <v>0</v>
      </c>
      <c r="Q141" s="3" t="str">
        <f t="shared" si="45"/>
        <v>0</v>
      </c>
      <c r="R141" s="3" t="str">
        <f t="shared" si="46"/>
        <v>0</v>
      </c>
      <c r="S141" s="3" t="str">
        <f t="shared" si="47"/>
        <v>0</v>
      </c>
      <c r="T141" s="3" t="str">
        <f t="shared" si="48"/>
        <v>0</v>
      </c>
      <c r="U141" s="3"/>
      <c r="V141" s="3"/>
      <c r="W141" s="3"/>
      <c r="X141" s="3"/>
      <c r="Y141" s="3"/>
      <c r="Z141" s="3"/>
    </row>
    <row r="142" spans="1:26" x14ac:dyDescent="0.25">
      <c r="A142" s="2">
        <v>46155</v>
      </c>
      <c r="B142" s="3" t="s">
        <v>169</v>
      </c>
      <c r="C142" s="169" t="s">
        <v>255</v>
      </c>
      <c r="D142" s="4">
        <v>700.28062719999991</v>
      </c>
      <c r="E142" s="5">
        <v>0.88</v>
      </c>
      <c r="F142" s="6">
        <f>+D142*E142</f>
        <v>616.24695193599996</v>
      </c>
      <c r="G142" s="6">
        <f t="shared" si="49"/>
        <v>6.6901750784289016</v>
      </c>
      <c r="H142" s="7">
        <v>4685</v>
      </c>
      <c r="I142" s="3">
        <f t="shared" si="37"/>
        <v>700.28062719999991</v>
      </c>
      <c r="J142" s="3" t="str">
        <f t="shared" si="38"/>
        <v>0</v>
      </c>
      <c r="K142" s="3">
        <f t="shared" si="39"/>
        <v>616.24695193599996</v>
      </c>
      <c r="L142" s="3" t="str">
        <f t="shared" si="40"/>
        <v>0</v>
      </c>
      <c r="M142" s="3">
        <f t="shared" si="41"/>
        <v>4685</v>
      </c>
      <c r="N142" s="3" t="str">
        <f t="shared" si="42"/>
        <v>0</v>
      </c>
      <c r="O142" s="3" t="str">
        <f t="shared" si="43"/>
        <v>0</v>
      </c>
      <c r="P142" s="3" t="str">
        <f t="shared" si="44"/>
        <v>0</v>
      </c>
      <c r="Q142" s="3" t="str">
        <f t="shared" si="45"/>
        <v>0</v>
      </c>
      <c r="R142" s="3" t="str">
        <f t="shared" si="46"/>
        <v>0</v>
      </c>
      <c r="S142" s="3" t="str">
        <f t="shared" si="47"/>
        <v>0</v>
      </c>
      <c r="T142" s="3" t="str">
        <f t="shared" si="48"/>
        <v>0</v>
      </c>
      <c r="U142" s="3"/>
      <c r="V142" s="3"/>
      <c r="W142" s="3"/>
      <c r="X142" s="3"/>
      <c r="Y142" s="3"/>
      <c r="Z142" s="3"/>
    </row>
    <row r="143" spans="1:26" x14ac:dyDescent="0.25">
      <c r="A143" s="2">
        <v>46155</v>
      </c>
      <c r="B143" s="3" t="s">
        <v>170</v>
      </c>
      <c r="C143" s="169" t="s">
        <v>255</v>
      </c>
      <c r="D143" s="4">
        <v>696.77922406399989</v>
      </c>
      <c r="E143" s="209">
        <v>0.995</v>
      </c>
      <c r="F143" s="184">
        <f>D143*E143</f>
        <v>693.29532794367992</v>
      </c>
      <c r="G143" s="6"/>
      <c r="H143" s="7"/>
      <c r="I143" s="3" t="str">
        <f t="shared" si="37"/>
        <v>0</v>
      </c>
      <c r="J143" s="3" t="str">
        <f t="shared" si="38"/>
        <v>0</v>
      </c>
      <c r="K143" s="3" t="str">
        <f t="shared" si="39"/>
        <v>0</v>
      </c>
      <c r="L143" s="3" t="str">
        <f t="shared" si="40"/>
        <v>0</v>
      </c>
      <c r="M143" s="3" t="str">
        <f t="shared" si="41"/>
        <v>0</v>
      </c>
      <c r="N143" s="3" t="str">
        <f t="shared" si="42"/>
        <v>0</v>
      </c>
      <c r="O143" s="3">
        <f t="shared" si="43"/>
        <v>696.77922406399989</v>
      </c>
      <c r="P143" s="3" t="str">
        <f t="shared" si="44"/>
        <v>0</v>
      </c>
      <c r="Q143" s="3">
        <f t="shared" si="45"/>
        <v>693.29532794367992</v>
      </c>
      <c r="R143" s="3" t="str">
        <f t="shared" si="46"/>
        <v>0</v>
      </c>
      <c r="S143" s="3">
        <f t="shared" si="47"/>
        <v>0</v>
      </c>
      <c r="T143" s="3" t="str">
        <f t="shared" si="48"/>
        <v>0</v>
      </c>
      <c r="U143" s="3"/>
      <c r="V143" s="3"/>
      <c r="W143" s="3"/>
      <c r="X143" s="3"/>
      <c r="Y143" s="3"/>
      <c r="Z143" s="3"/>
    </row>
    <row r="144" spans="1:26" x14ac:dyDescent="0.25">
      <c r="A144" s="2">
        <v>46155</v>
      </c>
      <c r="B144" s="3" t="s">
        <v>170</v>
      </c>
      <c r="C144" s="169" t="s">
        <v>260</v>
      </c>
      <c r="D144" s="4">
        <v>227.04</v>
      </c>
      <c r="E144" s="209">
        <v>0.88</v>
      </c>
      <c r="F144" s="184">
        <f>D144*E144</f>
        <v>199.79519999999999</v>
      </c>
      <c r="G144" s="6">
        <f>H144/D144</f>
        <v>3.5</v>
      </c>
      <c r="H144" s="7">
        <f>+D144*3.5</f>
        <v>794.64</v>
      </c>
      <c r="I144" s="3" t="str">
        <f t="shared" si="37"/>
        <v>0</v>
      </c>
      <c r="J144" s="3" t="str">
        <f t="shared" si="38"/>
        <v>0</v>
      </c>
      <c r="K144" s="3" t="str">
        <f t="shared" si="39"/>
        <v>0</v>
      </c>
      <c r="L144" s="3" t="str">
        <f t="shared" si="40"/>
        <v>0</v>
      </c>
      <c r="M144" s="3" t="str">
        <f t="shared" si="41"/>
        <v>0</v>
      </c>
      <c r="N144" s="3" t="str">
        <f t="shared" si="42"/>
        <v>0</v>
      </c>
      <c r="O144" s="3">
        <f t="shared" si="43"/>
        <v>227.04</v>
      </c>
      <c r="P144" s="3" t="str">
        <f t="shared" si="44"/>
        <v>0</v>
      </c>
      <c r="Q144" s="3">
        <f t="shared" si="45"/>
        <v>199.79519999999999</v>
      </c>
      <c r="R144" s="3" t="str">
        <f t="shared" si="46"/>
        <v>0</v>
      </c>
      <c r="S144" s="3">
        <f t="shared" si="47"/>
        <v>794.64</v>
      </c>
      <c r="T144" s="3" t="str">
        <f t="shared" si="48"/>
        <v>0</v>
      </c>
      <c r="U144" s="3"/>
      <c r="V144" s="3"/>
      <c r="W144" s="3"/>
      <c r="X144" s="3"/>
      <c r="Y144" s="3"/>
      <c r="Z144" s="3"/>
    </row>
    <row r="145" spans="1:26" x14ac:dyDescent="0.25">
      <c r="A145" s="2">
        <v>46155</v>
      </c>
      <c r="B145" s="3" t="s">
        <v>170</v>
      </c>
      <c r="C145" s="169" t="s">
        <v>270</v>
      </c>
      <c r="D145" s="4">
        <v>700.28062719999991</v>
      </c>
      <c r="E145" s="209">
        <v>0.88</v>
      </c>
      <c r="F145" s="184">
        <f>+D145*E145</f>
        <v>616.24695193599996</v>
      </c>
      <c r="G145" s="6">
        <f t="shared" ref="G145:G151" si="50">+H145/D145</f>
        <v>0</v>
      </c>
      <c r="H145" s="3"/>
      <c r="I145" s="3" t="str">
        <f t="shared" si="37"/>
        <v>0</v>
      </c>
      <c r="J145" s="3" t="str">
        <f t="shared" si="38"/>
        <v>0</v>
      </c>
      <c r="K145" s="3" t="str">
        <f t="shared" si="39"/>
        <v>0</v>
      </c>
      <c r="L145" s="3" t="str">
        <f t="shared" si="40"/>
        <v>0</v>
      </c>
      <c r="M145" s="3" t="str">
        <f t="shared" si="41"/>
        <v>0</v>
      </c>
      <c r="N145" s="3" t="str">
        <f t="shared" si="42"/>
        <v>0</v>
      </c>
      <c r="O145" s="3">
        <f t="shared" si="43"/>
        <v>700.28062719999991</v>
      </c>
      <c r="P145" s="3" t="str">
        <f t="shared" si="44"/>
        <v>0</v>
      </c>
      <c r="Q145" s="3">
        <f t="shared" si="45"/>
        <v>616.24695193599996</v>
      </c>
      <c r="R145" s="3" t="str">
        <f t="shared" si="46"/>
        <v>0</v>
      </c>
      <c r="S145" s="3">
        <f t="shared" si="47"/>
        <v>0</v>
      </c>
      <c r="T145" s="3" t="str">
        <f t="shared" si="48"/>
        <v>0</v>
      </c>
      <c r="U145" s="3"/>
      <c r="V145" s="3"/>
      <c r="W145" s="3"/>
      <c r="X145" s="3"/>
      <c r="Y145" s="3"/>
      <c r="Z145" s="3"/>
    </row>
    <row r="146" spans="1:26" x14ac:dyDescent="0.25">
      <c r="A146" s="2">
        <v>46155</v>
      </c>
      <c r="B146" s="3" t="s">
        <v>209</v>
      </c>
      <c r="C146" s="169" t="s">
        <v>266</v>
      </c>
      <c r="D146" s="4">
        <v>700.28062719999991</v>
      </c>
      <c r="E146" s="209">
        <v>0.995</v>
      </c>
      <c r="F146" s="184">
        <f>+D146*E146</f>
        <v>696.77922406399989</v>
      </c>
      <c r="G146" s="6">
        <f t="shared" si="50"/>
        <v>0</v>
      </c>
      <c r="H146" s="3"/>
      <c r="I146" s="3" t="str">
        <f t="shared" si="37"/>
        <v>0</v>
      </c>
      <c r="J146" s="3" t="str">
        <f t="shared" si="38"/>
        <v>0</v>
      </c>
      <c r="K146" s="3" t="str">
        <f t="shared" si="39"/>
        <v>0</v>
      </c>
      <c r="L146" s="3" t="str">
        <f t="shared" si="40"/>
        <v>0</v>
      </c>
      <c r="M146" s="3" t="str">
        <f t="shared" si="41"/>
        <v>0</v>
      </c>
      <c r="N146" s="3" t="str">
        <f t="shared" si="42"/>
        <v>0</v>
      </c>
      <c r="O146" s="3" t="str">
        <f t="shared" si="43"/>
        <v>0</v>
      </c>
      <c r="P146" s="3">
        <f t="shared" si="44"/>
        <v>700.28062719999991</v>
      </c>
      <c r="Q146" s="3" t="str">
        <f t="shared" si="45"/>
        <v>0</v>
      </c>
      <c r="R146" s="3">
        <f t="shared" si="46"/>
        <v>696.77922406399989</v>
      </c>
      <c r="S146" s="3" t="str">
        <f t="shared" si="47"/>
        <v>0</v>
      </c>
      <c r="T146" s="3">
        <f t="shared" si="48"/>
        <v>0</v>
      </c>
      <c r="U146" s="3"/>
      <c r="V146" s="3"/>
      <c r="W146" s="3"/>
      <c r="X146" s="3"/>
      <c r="Y146" s="3"/>
      <c r="Z146" s="3"/>
    </row>
    <row r="147" spans="1:26" x14ac:dyDescent="0.25">
      <c r="A147" s="2">
        <v>46155</v>
      </c>
      <c r="B147" s="3" t="s">
        <v>171</v>
      </c>
      <c r="C147" s="169" t="s">
        <v>255</v>
      </c>
      <c r="D147" s="4"/>
      <c r="E147" s="3"/>
      <c r="F147" s="6">
        <f>+D147*E147</f>
        <v>0</v>
      </c>
      <c r="G147" s="6" t="e">
        <f t="shared" si="50"/>
        <v>#DIV/0!</v>
      </c>
      <c r="H147" s="3"/>
      <c r="I147" s="158" t="str">
        <f t="shared" si="37"/>
        <v>0</v>
      </c>
      <c r="J147" s="3" t="str">
        <f t="shared" si="38"/>
        <v>0</v>
      </c>
      <c r="K147" s="3" t="str">
        <f t="shared" si="39"/>
        <v>0</v>
      </c>
      <c r="L147" s="3" t="str">
        <f t="shared" si="40"/>
        <v>0</v>
      </c>
      <c r="M147" s="3" t="str">
        <f t="shared" si="41"/>
        <v>0</v>
      </c>
      <c r="N147" s="3" t="str">
        <f t="shared" si="42"/>
        <v>0</v>
      </c>
      <c r="O147" s="3" t="str">
        <f t="shared" si="43"/>
        <v>0</v>
      </c>
      <c r="P147" s="3" t="str">
        <f t="shared" si="44"/>
        <v>0</v>
      </c>
      <c r="Q147" s="3" t="str">
        <f t="shared" si="45"/>
        <v>0</v>
      </c>
      <c r="R147" s="3" t="str">
        <f t="shared" si="46"/>
        <v>0</v>
      </c>
      <c r="S147" s="3" t="str">
        <f t="shared" si="47"/>
        <v>0</v>
      </c>
      <c r="T147" s="3" t="str">
        <f t="shared" si="48"/>
        <v>0</v>
      </c>
      <c r="U147" s="3">
        <v>4414</v>
      </c>
      <c r="V147" s="3"/>
      <c r="W147" s="3"/>
      <c r="X147" s="3"/>
      <c r="Y147" s="3"/>
      <c r="Z147" s="3"/>
    </row>
    <row r="148" spans="1:26" x14ac:dyDescent="0.25">
      <c r="A148" s="2">
        <v>46155</v>
      </c>
      <c r="B148" s="3" t="s">
        <v>211</v>
      </c>
      <c r="C148" s="169" t="s">
        <v>266</v>
      </c>
      <c r="D148" s="4"/>
      <c r="E148" s="3"/>
      <c r="F148" s="6">
        <f>+D148*E148</f>
        <v>0</v>
      </c>
      <c r="G148" s="6" t="e">
        <f t="shared" si="50"/>
        <v>#DIV/0!</v>
      </c>
      <c r="H148" s="3"/>
      <c r="I148" s="158" t="str">
        <f t="shared" si="37"/>
        <v>0</v>
      </c>
      <c r="J148" s="3" t="str">
        <f t="shared" si="38"/>
        <v>0</v>
      </c>
      <c r="K148" s="3" t="str">
        <f t="shared" si="39"/>
        <v>0</v>
      </c>
      <c r="L148" s="3" t="str">
        <f t="shared" si="40"/>
        <v>0</v>
      </c>
      <c r="M148" s="3" t="str">
        <f t="shared" si="41"/>
        <v>0</v>
      </c>
      <c r="N148" s="3" t="str">
        <f t="shared" si="42"/>
        <v>0</v>
      </c>
      <c r="O148" s="3" t="str">
        <f t="shared" si="43"/>
        <v>0</v>
      </c>
      <c r="P148" s="3" t="str">
        <f t="shared" si="44"/>
        <v>0</v>
      </c>
      <c r="Q148" s="3" t="str">
        <f t="shared" si="45"/>
        <v>0</v>
      </c>
      <c r="R148" s="3" t="str">
        <f t="shared" si="46"/>
        <v>0</v>
      </c>
      <c r="S148" s="3" t="str">
        <f t="shared" si="47"/>
        <v>0</v>
      </c>
      <c r="T148" s="3" t="str">
        <f t="shared" si="48"/>
        <v>0</v>
      </c>
      <c r="U148" s="3"/>
      <c r="V148" s="3"/>
      <c r="W148" s="3">
        <v>2195</v>
      </c>
      <c r="X148" s="3"/>
      <c r="Y148" s="3"/>
      <c r="Z148" s="3"/>
    </row>
    <row r="149" spans="1:26" x14ac:dyDescent="0.25">
      <c r="A149" s="2">
        <v>46156</v>
      </c>
      <c r="B149" s="3" t="s">
        <v>170</v>
      </c>
      <c r="C149" s="169" t="s">
        <v>270</v>
      </c>
      <c r="D149" s="4">
        <v>616.24695193599996</v>
      </c>
      <c r="E149" s="209">
        <v>0.99990000000000001</v>
      </c>
      <c r="F149" s="184">
        <f>D149*E149</f>
        <v>616.18532724080637</v>
      </c>
      <c r="G149" s="6">
        <f t="shared" si="50"/>
        <v>0</v>
      </c>
      <c r="H149" s="3"/>
      <c r="I149" s="158" t="str">
        <f t="shared" si="37"/>
        <v>0</v>
      </c>
      <c r="J149" s="3" t="str">
        <f t="shared" si="38"/>
        <v>0</v>
      </c>
      <c r="K149" s="3" t="str">
        <f t="shared" si="39"/>
        <v>0</v>
      </c>
      <c r="L149" s="3" t="str">
        <f t="shared" si="40"/>
        <v>0</v>
      </c>
      <c r="M149" s="3" t="str">
        <f t="shared" si="41"/>
        <v>0</v>
      </c>
      <c r="N149" s="3" t="str">
        <f t="shared" si="42"/>
        <v>0</v>
      </c>
      <c r="O149" s="3">
        <f t="shared" si="43"/>
        <v>616.24695193599996</v>
      </c>
      <c r="P149" s="3" t="str">
        <f t="shared" si="44"/>
        <v>0</v>
      </c>
      <c r="Q149" s="3">
        <f t="shared" si="45"/>
        <v>616.18532724080637</v>
      </c>
      <c r="R149" s="3" t="str">
        <f t="shared" si="46"/>
        <v>0</v>
      </c>
      <c r="S149" s="3">
        <f t="shared" si="47"/>
        <v>0</v>
      </c>
      <c r="T149" s="3" t="str">
        <f t="shared" si="48"/>
        <v>0</v>
      </c>
      <c r="U149" s="3"/>
      <c r="V149" s="3"/>
      <c r="W149" s="3"/>
      <c r="X149" s="3"/>
      <c r="Y149" s="3"/>
      <c r="Z149" s="3"/>
    </row>
    <row r="150" spans="1:26" x14ac:dyDescent="0.25">
      <c r="A150" s="2">
        <v>46156</v>
      </c>
      <c r="B150" s="3" t="s">
        <v>209</v>
      </c>
      <c r="C150" s="169" t="s">
        <v>270</v>
      </c>
      <c r="D150" s="4">
        <v>344.8073</v>
      </c>
      <c r="E150" s="209">
        <v>0.995</v>
      </c>
      <c r="F150" s="184">
        <f>+D150*E150</f>
        <v>343.08326349999999</v>
      </c>
      <c r="G150" s="6">
        <f t="shared" si="50"/>
        <v>0</v>
      </c>
      <c r="H150" s="3"/>
      <c r="I150" s="158" t="str">
        <f t="shared" si="37"/>
        <v>0</v>
      </c>
      <c r="J150" s="3" t="str">
        <f t="shared" si="38"/>
        <v>0</v>
      </c>
      <c r="K150" s="3" t="str">
        <f t="shared" si="39"/>
        <v>0</v>
      </c>
      <c r="L150" s="3" t="str">
        <f t="shared" si="40"/>
        <v>0</v>
      </c>
      <c r="M150" s="3" t="str">
        <f t="shared" si="41"/>
        <v>0</v>
      </c>
      <c r="N150" s="3" t="str">
        <f t="shared" si="42"/>
        <v>0</v>
      </c>
      <c r="O150" s="3" t="str">
        <f t="shared" si="43"/>
        <v>0</v>
      </c>
      <c r="P150" s="3">
        <f t="shared" si="44"/>
        <v>344.8073</v>
      </c>
      <c r="Q150" s="3" t="str">
        <f t="shared" si="45"/>
        <v>0</v>
      </c>
      <c r="R150" s="3">
        <f t="shared" si="46"/>
        <v>343.08326349999999</v>
      </c>
      <c r="S150" s="3" t="str">
        <f t="shared" si="47"/>
        <v>0</v>
      </c>
      <c r="T150" s="3">
        <f t="shared" si="48"/>
        <v>0</v>
      </c>
      <c r="U150" s="3"/>
      <c r="V150" s="3"/>
      <c r="W150" s="3"/>
      <c r="X150" s="3"/>
      <c r="Y150" s="3"/>
      <c r="Z150" s="3"/>
    </row>
    <row r="151" spans="1:26" x14ac:dyDescent="0.25">
      <c r="A151" s="2">
        <v>46157</v>
      </c>
      <c r="B151" s="3" t="s">
        <v>169</v>
      </c>
      <c r="C151" s="169" t="s">
        <v>255</v>
      </c>
      <c r="D151" s="4">
        <v>404.27199999999999</v>
      </c>
      <c r="E151" s="5">
        <v>0.88</v>
      </c>
      <c r="F151" s="6">
        <f>+D151*E151</f>
        <v>355.75936000000002</v>
      </c>
      <c r="G151" s="6">
        <f t="shared" si="50"/>
        <v>4.4343907072466067</v>
      </c>
      <c r="H151" s="7">
        <v>1792.7</v>
      </c>
      <c r="I151" s="158">
        <f t="shared" si="37"/>
        <v>404.27199999999999</v>
      </c>
      <c r="J151" s="3" t="str">
        <f t="shared" si="38"/>
        <v>0</v>
      </c>
      <c r="K151" s="3">
        <f t="shared" si="39"/>
        <v>355.75936000000002</v>
      </c>
      <c r="L151" s="3" t="str">
        <f t="shared" si="40"/>
        <v>0</v>
      </c>
      <c r="M151" s="3">
        <f t="shared" si="41"/>
        <v>1792.7</v>
      </c>
      <c r="N151" s="3" t="str">
        <f t="shared" si="42"/>
        <v>0</v>
      </c>
      <c r="O151" s="3" t="str">
        <f t="shared" si="43"/>
        <v>0</v>
      </c>
      <c r="P151" s="3" t="str">
        <f t="shared" si="44"/>
        <v>0</v>
      </c>
      <c r="Q151" s="3" t="str">
        <f t="shared" si="45"/>
        <v>0</v>
      </c>
      <c r="R151" s="3" t="str">
        <f t="shared" si="46"/>
        <v>0</v>
      </c>
      <c r="S151" s="3" t="str">
        <f t="shared" si="47"/>
        <v>0</v>
      </c>
      <c r="T151" s="3" t="str">
        <f t="shared" si="48"/>
        <v>0</v>
      </c>
      <c r="U151" s="3"/>
      <c r="V151" s="3"/>
      <c r="W151" s="3"/>
      <c r="X151" s="3"/>
      <c r="Y151" s="3"/>
      <c r="Z151" s="3"/>
    </row>
    <row r="152" spans="1:26" x14ac:dyDescent="0.25">
      <c r="A152" s="2">
        <v>46157</v>
      </c>
      <c r="B152" s="3" t="s">
        <v>170</v>
      </c>
      <c r="C152" s="169" t="s">
        <v>255</v>
      </c>
      <c r="D152" s="4">
        <v>536.21734049999998</v>
      </c>
      <c r="E152" s="209">
        <v>0.995</v>
      </c>
      <c r="F152" s="184">
        <f>D152*E152</f>
        <v>533.53625379749997</v>
      </c>
      <c r="G152" s="6"/>
      <c r="H152" s="7"/>
      <c r="I152" s="158" t="str">
        <f t="shared" si="37"/>
        <v>0</v>
      </c>
      <c r="J152" s="3" t="str">
        <f t="shared" si="38"/>
        <v>0</v>
      </c>
      <c r="K152" s="3" t="str">
        <f t="shared" si="39"/>
        <v>0</v>
      </c>
      <c r="L152" s="3" t="str">
        <f t="shared" si="40"/>
        <v>0</v>
      </c>
      <c r="M152" s="3" t="str">
        <f t="shared" si="41"/>
        <v>0</v>
      </c>
      <c r="N152" s="3" t="str">
        <f t="shared" si="42"/>
        <v>0</v>
      </c>
      <c r="O152" s="3">
        <f t="shared" si="43"/>
        <v>536.21734049999998</v>
      </c>
      <c r="P152" s="3" t="str">
        <f t="shared" si="44"/>
        <v>0</v>
      </c>
      <c r="Q152" s="3">
        <f t="shared" si="45"/>
        <v>533.53625379749997</v>
      </c>
      <c r="R152" s="3" t="str">
        <f t="shared" si="46"/>
        <v>0</v>
      </c>
      <c r="S152" s="3">
        <f t="shared" si="47"/>
        <v>0</v>
      </c>
      <c r="T152" s="3" t="str">
        <f t="shared" si="48"/>
        <v>0</v>
      </c>
      <c r="U152" s="3"/>
      <c r="V152" s="3"/>
      <c r="W152" s="3"/>
      <c r="X152" s="3"/>
      <c r="Y152" s="3"/>
      <c r="Z152" s="3"/>
    </row>
    <row r="153" spans="1:26" x14ac:dyDescent="0.25">
      <c r="A153" s="2">
        <v>46157</v>
      </c>
      <c r="B153" s="3" t="s">
        <v>170</v>
      </c>
      <c r="C153" s="169" t="s">
        <v>257</v>
      </c>
      <c r="D153" s="4">
        <v>379.03505164799998</v>
      </c>
      <c r="E153" s="209">
        <v>0.995</v>
      </c>
      <c r="F153" s="184">
        <f>D153*E153</f>
        <v>377.13987638975999</v>
      </c>
      <c r="G153" s="6"/>
      <c r="H153" s="7"/>
      <c r="I153" s="158" t="str">
        <f t="shared" si="37"/>
        <v>0</v>
      </c>
      <c r="J153" s="3" t="str">
        <f t="shared" si="38"/>
        <v>0</v>
      </c>
      <c r="K153" s="3" t="str">
        <f t="shared" si="39"/>
        <v>0</v>
      </c>
      <c r="L153" s="3" t="str">
        <f t="shared" si="40"/>
        <v>0</v>
      </c>
      <c r="M153" s="3" t="str">
        <f t="shared" si="41"/>
        <v>0</v>
      </c>
      <c r="N153" s="3" t="str">
        <f t="shared" si="42"/>
        <v>0</v>
      </c>
      <c r="O153" s="3">
        <f t="shared" si="43"/>
        <v>379.03505164799998</v>
      </c>
      <c r="P153" s="3" t="str">
        <f t="shared" si="44"/>
        <v>0</v>
      </c>
      <c r="Q153" s="3">
        <f t="shared" si="45"/>
        <v>377.13987638975999</v>
      </c>
      <c r="R153" s="3" t="str">
        <f t="shared" si="46"/>
        <v>0</v>
      </c>
      <c r="S153" s="3">
        <f t="shared" si="47"/>
        <v>0</v>
      </c>
      <c r="T153" s="3" t="str">
        <f t="shared" si="48"/>
        <v>0</v>
      </c>
      <c r="U153" s="3"/>
      <c r="V153" s="3"/>
      <c r="W153" s="3"/>
      <c r="X153" s="3"/>
      <c r="Y153" s="3"/>
      <c r="Z153" s="3"/>
    </row>
    <row r="154" spans="1:26" x14ac:dyDescent="0.25">
      <c r="A154" s="2">
        <v>46157</v>
      </c>
      <c r="B154" s="3" t="s">
        <v>170</v>
      </c>
      <c r="C154" s="169" t="s">
        <v>260</v>
      </c>
      <c r="D154" s="4">
        <v>616.24695193599996</v>
      </c>
      <c r="E154" s="209">
        <v>0.88</v>
      </c>
      <c r="F154" s="184">
        <f>D154*E154</f>
        <v>542.29731770367994</v>
      </c>
      <c r="G154" s="6">
        <f>H154/D154</f>
        <v>3.2546611284631526</v>
      </c>
      <c r="H154" s="7">
        <v>2005.6749999999997</v>
      </c>
      <c r="I154" s="158" t="str">
        <f t="shared" si="37"/>
        <v>0</v>
      </c>
      <c r="J154" s="3" t="str">
        <f t="shared" si="38"/>
        <v>0</v>
      </c>
      <c r="K154" s="3" t="str">
        <f t="shared" si="39"/>
        <v>0</v>
      </c>
      <c r="L154" s="3" t="str">
        <f t="shared" si="40"/>
        <v>0</v>
      </c>
      <c r="M154" s="3" t="str">
        <f t="shared" si="41"/>
        <v>0</v>
      </c>
      <c r="N154" s="3" t="str">
        <f t="shared" si="42"/>
        <v>0</v>
      </c>
      <c r="O154" s="3">
        <f t="shared" si="43"/>
        <v>616.24695193599996</v>
      </c>
      <c r="P154" s="3" t="str">
        <f t="shared" si="44"/>
        <v>0</v>
      </c>
      <c r="Q154" s="3">
        <f t="shared" si="45"/>
        <v>542.29731770367994</v>
      </c>
      <c r="R154" s="3" t="str">
        <f t="shared" si="46"/>
        <v>0</v>
      </c>
      <c r="S154" s="3">
        <f t="shared" si="47"/>
        <v>2005.6749999999997</v>
      </c>
      <c r="T154" s="3" t="str">
        <f t="shared" si="48"/>
        <v>0</v>
      </c>
      <c r="U154" s="3"/>
      <c r="V154" s="3"/>
      <c r="W154" s="3"/>
      <c r="X154" s="3"/>
      <c r="Y154" s="3"/>
      <c r="Z154" s="3"/>
    </row>
    <row r="155" spans="1:26" x14ac:dyDescent="0.25">
      <c r="A155" s="2">
        <v>46157</v>
      </c>
      <c r="B155" s="3" t="s">
        <v>209</v>
      </c>
      <c r="C155" s="169" t="s">
        <v>266</v>
      </c>
      <c r="D155" s="4">
        <v>696.77922406399989</v>
      </c>
      <c r="E155" s="209">
        <v>0.995</v>
      </c>
      <c r="F155" s="184">
        <f t="shared" ref="F155:F164" si="51">+D155*E155</f>
        <v>693.29532794367992</v>
      </c>
      <c r="G155" s="6">
        <f t="shared" ref="G155:G164" si="52">+H155/D155</f>
        <v>0</v>
      </c>
      <c r="H155" s="3"/>
      <c r="I155" s="158" t="str">
        <f t="shared" si="37"/>
        <v>0</v>
      </c>
      <c r="J155" s="3" t="str">
        <f t="shared" si="38"/>
        <v>0</v>
      </c>
      <c r="K155" s="3" t="str">
        <f t="shared" si="39"/>
        <v>0</v>
      </c>
      <c r="L155" s="3" t="str">
        <f t="shared" si="40"/>
        <v>0</v>
      </c>
      <c r="M155" s="3" t="str">
        <f t="shared" si="41"/>
        <v>0</v>
      </c>
      <c r="N155" s="3" t="str">
        <f t="shared" si="42"/>
        <v>0</v>
      </c>
      <c r="O155" s="3" t="str">
        <f t="shared" si="43"/>
        <v>0</v>
      </c>
      <c r="P155" s="3">
        <f t="shared" si="44"/>
        <v>696.77922406399989</v>
      </c>
      <c r="Q155" s="3" t="str">
        <f t="shared" si="45"/>
        <v>0</v>
      </c>
      <c r="R155" s="3">
        <f t="shared" si="46"/>
        <v>693.29532794367992</v>
      </c>
      <c r="S155" s="3" t="str">
        <f t="shared" si="47"/>
        <v>0</v>
      </c>
      <c r="T155" s="3">
        <f t="shared" si="48"/>
        <v>0</v>
      </c>
      <c r="U155" s="3"/>
      <c r="V155" s="3"/>
      <c r="W155" s="3"/>
      <c r="X155" s="3"/>
      <c r="Y155" s="3"/>
      <c r="Z155" s="3"/>
    </row>
    <row r="156" spans="1:26" x14ac:dyDescent="0.25">
      <c r="A156" s="2">
        <v>46157</v>
      </c>
      <c r="B156" s="3" t="s">
        <v>171</v>
      </c>
      <c r="C156" s="3" t="s">
        <v>278</v>
      </c>
      <c r="D156" s="4"/>
      <c r="E156" s="3"/>
      <c r="F156" s="6">
        <f t="shared" si="51"/>
        <v>0</v>
      </c>
      <c r="G156" s="6" t="e">
        <f t="shared" si="52"/>
        <v>#DIV/0!</v>
      </c>
      <c r="H156" s="3"/>
      <c r="I156" s="158" t="str">
        <f t="shared" si="37"/>
        <v>0</v>
      </c>
      <c r="J156" s="3" t="str">
        <f t="shared" si="38"/>
        <v>0</v>
      </c>
      <c r="K156" s="3" t="str">
        <f t="shared" si="39"/>
        <v>0</v>
      </c>
      <c r="L156" s="3" t="str">
        <f t="shared" si="40"/>
        <v>0</v>
      </c>
      <c r="M156" s="3" t="str">
        <f t="shared" si="41"/>
        <v>0</v>
      </c>
      <c r="N156" s="3" t="str">
        <f t="shared" si="42"/>
        <v>0</v>
      </c>
      <c r="O156" s="3" t="str">
        <f t="shared" si="43"/>
        <v>0</v>
      </c>
      <c r="P156" s="3" t="str">
        <f t="shared" si="44"/>
        <v>0</v>
      </c>
      <c r="Q156" s="3" t="str">
        <f t="shared" si="45"/>
        <v>0</v>
      </c>
      <c r="R156" s="3" t="str">
        <f t="shared" si="46"/>
        <v>0</v>
      </c>
      <c r="S156" s="3" t="str">
        <f t="shared" si="47"/>
        <v>0</v>
      </c>
      <c r="T156" s="3" t="str">
        <f t="shared" si="48"/>
        <v>0</v>
      </c>
      <c r="U156" s="3">
        <v>20000</v>
      </c>
      <c r="V156" s="3"/>
      <c r="W156" s="3"/>
      <c r="X156" s="3"/>
      <c r="Y156" s="3"/>
      <c r="Z156" s="3"/>
    </row>
    <row r="157" spans="1:26" x14ac:dyDescent="0.25">
      <c r="A157" s="2">
        <v>46157</v>
      </c>
      <c r="B157" s="3" t="s">
        <v>171</v>
      </c>
      <c r="C157" s="169" t="s">
        <v>255</v>
      </c>
      <c r="D157" s="4"/>
      <c r="E157" s="3"/>
      <c r="F157" s="6">
        <f t="shared" si="51"/>
        <v>0</v>
      </c>
      <c r="G157" s="6" t="e">
        <f t="shared" si="52"/>
        <v>#DIV/0!</v>
      </c>
      <c r="H157" s="3"/>
      <c r="I157" s="158" t="str">
        <f t="shared" si="37"/>
        <v>0</v>
      </c>
      <c r="J157" s="3" t="str">
        <f t="shared" si="38"/>
        <v>0</v>
      </c>
      <c r="K157" s="3" t="str">
        <f t="shared" si="39"/>
        <v>0</v>
      </c>
      <c r="L157" s="3" t="str">
        <f t="shared" si="40"/>
        <v>0</v>
      </c>
      <c r="M157" s="3" t="str">
        <f t="shared" si="41"/>
        <v>0</v>
      </c>
      <c r="N157" s="3" t="str">
        <f t="shared" si="42"/>
        <v>0</v>
      </c>
      <c r="O157" s="3" t="str">
        <f t="shared" si="43"/>
        <v>0</v>
      </c>
      <c r="P157" s="3" t="str">
        <f t="shared" si="44"/>
        <v>0</v>
      </c>
      <c r="Q157" s="3" t="str">
        <f t="shared" si="45"/>
        <v>0</v>
      </c>
      <c r="R157" s="3" t="str">
        <f t="shared" si="46"/>
        <v>0</v>
      </c>
      <c r="S157" s="3" t="str">
        <f t="shared" si="47"/>
        <v>0</v>
      </c>
      <c r="T157" s="3" t="str">
        <f t="shared" si="48"/>
        <v>0</v>
      </c>
      <c r="U157" s="3">
        <v>1790</v>
      </c>
      <c r="V157" s="3"/>
      <c r="W157" s="3"/>
      <c r="X157" s="3"/>
      <c r="Y157" s="3"/>
      <c r="Z157" s="3"/>
    </row>
    <row r="158" spans="1:26" x14ac:dyDescent="0.25">
      <c r="A158" s="2">
        <v>46157</v>
      </c>
      <c r="B158" s="3" t="s">
        <v>211</v>
      </c>
      <c r="C158" s="169" t="s">
        <v>266</v>
      </c>
      <c r="D158" s="4"/>
      <c r="E158" s="3"/>
      <c r="F158" s="6">
        <f t="shared" si="51"/>
        <v>0</v>
      </c>
      <c r="G158" s="6" t="e">
        <f t="shared" si="52"/>
        <v>#DIV/0!</v>
      </c>
      <c r="H158" s="3"/>
      <c r="I158" s="158" t="str">
        <f t="shared" si="37"/>
        <v>0</v>
      </c>
      <c r="J158" s="3" t="str">
        <f t="shared" si="38"/>
        <v>0</v>
      </c>
      <c r="K158" s="3" t="str">
        <f t="shared" si="39"/>
        <v>0</v>
      </c>
      <c r="L158" s="3" t="str">
        <f t="shared" si="40"/>
        <v>0</v>
      </c>
      <c r="M158" s="3" t="str">
        <f t="shared" si="41"/>
        <v>0</v>
      </c>
      <c r="N158" s="3" t="str">
        <f t="shared" si="42"/>
        <v>0</v>
      </c>
      <c r="O158" s="3" t="str">
        <f t="shared" si="43"/>
        <v>0</v>
      </c>
      <c r="P158" s="3" t="str">
        <f t="shared" si="44"/>
        <v>0</v>
      </c>
      <c r="Q158" s="3" t="str">
        <f t="shared" si="45"/>
        <v>0</v>
      </c>
      <c r="R158" s="3" t="str">
        <f t="shared" si="46"/>
        <v>0</v>
      </c>
      <c r="S158" s="3" t="str">
        <f t="shared" si="47"/>
        <v>0</v>
      </c>
      <c r="T158" s="3" t="str">
        <f t="shared" si="48"/>
        <v>0</v>
      </c>
      <c r="U158" s="3"/>
      <c r="V158" s="3"/>
      <c r="W158" s="3">
        <v>2005</v>
      </c>
      <c r="X158" s="3"/>
      <c r="Y158" s="3"/>
      <c r="Z158" s="3"/>
    </row>
    <row r="159" spans="1:26" x14ac:dyDescent="0.25">
      <c r="A159" s="2">
        <v>46151</v>
      </c>
      <c r="B159" s="3" t="s">
        <v>211</v>
      </c>
      <c r="C159" s="169" t="s">
        <v>266</v>
      </c>
      <c r="D159" s="4"/>
      <c r="E159" s="3"/>
      <c r="F159" s="6">
        <f t="shared" si="51"/>
        <v>0</v>
      </c>
      <c r="G159" s="6" t="e">
        <f t="shared" si="52"/>
        <v>#DIV/0!</v>
      </c>
      <c r="H159" s="3"/>
      <c r="I159" s="158" t="str">
        <f t="shared" si="37"/>
        <v>0</v>
      </c>
      <c r="J159" s="3" t="str">
        <f t="shared" si="38"/>
        <v>0</v>
      </c>
      <c r="K159" s="3" t="str">
        <f t="shared" si="39"/>
        <v>0</v>
      </c>
      <c r="L159" s="3" t="str">
        <f t="shared" si="40"/>
        <v>0</v>
      </c>
      <c r="M159" s="3" t="str">
        <f t="shared" si="41"/>
        <v>0</v>
      </c>
      <c r="N159" s="3" t="str">
        <f t="shared" si="42"/>
        <v>0</v>
      </c>
      <c r="O159" s="3" t="str">
        <f t="shared" si="43"/>
        <v>0</v>
      </c>
      <c r="P159" s="3" t="str">
        <f t="shared" si="44"/>
        <v>0</v>
      </c>
      <c r="Q159" s="3" t="str">
        <f t="shared" si="45"/>
        <v>0</v>
      </c>
      <c r="R159" s="3" t="str">
        <f t="shared" si="46"/>
        <v>0</v>
      </c>
      <c r="S159" s="3" t="str">
        <f t="shared" si="47"/>
        <v>0</v>
      </c>
      <c r="T159" s="3" t="str">
        <f t="shared" si="48"/>
        <v>0</v>
      </c>
      <c r="U159" s="3"/>
      <c r="V159" s="3"/>
      <c r="W159" s="3">
        <v>1980</v>
      </c>
      <c r="X159" s="3"/>
      <c r="Y159" s="3"/>
      <c r="Z159" s="3"/>
    </row>
    <row r="160" spans="1:26" x14ac:dyDescent="0.25">
      <c r="A160" s="2">
        <v>46158</v>
      </c>
      <c r="B160" s="3" t="s">
        <v>169</v>
      </c>
      <c r="C160" s="3" t="s">
        <v>261</v>
      </c>
      <c r="D160" s="170">
        <v>32</v>
      </c>
      <c r="E160" s="171">
        <v>0.88</v>
      </c>
      <c r="F160" s="172">
        <f t="shared" si="51"/>
        <v>28.16</v>
      </c>
      <c r="G160" s="172">
        <f t="shared" si="52"/>
        <v>261.57499999999999</v>
      </c>
      <c r="H160" s="176">
        <v>8370.4</v>
      </c>
      <c r="I160" s="3">
        <f t="shared" si="37"/>
        <v>32</v>
      </c>
      <c r="J160" s="3" t="str">
        <f t="shared" si="38"/>
        <v>0</v>
      </c>
      <c r="K160" s="3">
        <f t="shared" si="39"/>
        <v>28.16</v>
      </c>
      <c r="L160" s="3" t="str">
        <f t="shared" si="40"/>
        <v>0</v>
      </c>
      <c r="M160" s="3">
        <f t="shared" si="41"/>
        <v>8370.4</v>
      </c>
      <c r="N160" s="3" t="str">
        <f t="shared" si="42"/>
        <v>0</v>
      </c>
      <c r="O160" s="3" t="str">
        <f t="shared" si="43"/>
        <v>0</v>
      </c>
      <c r="P160" s="3" t="str">
        <f t="shared" si="44"/>
        <v>0</v>
      </c>
      <c r="Q160" s="3" t="str">
        <f t="shared" si="45"/>
        <v>0</v>
      </c>
      <c r="R160" s="3" t="str">
        <f t="shared" si="46"/>
        <v>0</v>
      </c>
      <c r="S160" s="3" t="str">
        <f t="shared" si="47"/>
        <v>0</v>
      </c>
      <c r="T160" s="3" t="str">
        <f t="shared" si="48"/>
        <v>0</v>
      </c>
      <c r="U160" s="3"/>
      <c r="V160" s="3"/>
      <c r="W160" s="3"/>
      <c r="X160" s="3"/>
      <c r="Y160" s="3"/>
      <c r="Z160" s="3"/>
    </row>
    <row r="161" spans="1:26" x14ac:dyDescent="0.25">
      <c r="A161" s="2">
        <v>46158</v>
      </c>
      <c r="B161" s="3" t="s">
        <v>169</v>
      </c>
      <c r="C161" s="169" t="s">
        <v>257</v>
      </c>
      <c r="D161" s="170">
        <v>379.03505164799998</v>
      </c>
      <c r="E161" s="171">
        <v>0.88</v>
      </c>
      <c r="F161" s="172">
        <f t="shared" si="51"/>
        <v>333.55084545023999</v>
      </c>
      <c r="G161" s="172">
        <f t="shared" si="52"/>
        <v>3.8302526209324013</v>
      </c>
      <c r="H161" s="176">
        <f>207.4*7</f>
        <v>1451.8</v>
      </c>
      <c r="I161" s="3">
        <f t="shared" si="37"/>
        <v>379.03505164799998</v>
      </c>
      <c r="J161" s="3" t="str">
        <f t="shared" si="38"/>
        <v>0</v>
      </c>
      <c r="K161" s="3">
        <f t="shared" si="39"/>
        <v>333.55084545023999</v>
      </c>
      <c r="L161" s="3" t="str">
        <f t="shared" si="40"/>
        <v>0</v>
      </c>
      <c r="M161" s="3">
        <f t="shared" si="41"/>
        <v>1451.8</v>
      </c>
      <c r="N161" s="3" t="str">
        <f t="shared" si="42"/>
        <v>0</v>
      </c>
      <c r="O161" s="3" t="str">
        <f t="shared" si="43"/>
        <v>0</v>
      </c>
      <c r="P161" s="3" t="str">
        <f t="shared" si="44"/>
        <v>0</v>
      </c>
      <c r="Q161" s="3" t="str">
        <f t="shared" si="45"/>
        <v>0</v>
      </c>
      <c r="R161" s="3" t="str">
        <f t="shared" si="46"/>
        <v>0</v>
      </c>
      <c r="S161" s="3" t="str">
        <f t="shared" si="47"/>
        <v>0</v>
      </c>
      <c r="T161" s="3" t="str">
        <f t="shared" si="48"/>
        <v>0</v>
      </c>
      <c r="U161" s="3"/>
      <c r="V161" s="3"/>
      <c r="W161" s="3"/>
      <c r="X161" s="3"/>
      <c r="Y161" s="3"/>
      <c r="Z161" s="3"/>
    </row>
    <row r="162" spans="1:26" x14ac:dyDescent="0.25">
      <c r="A162" s="2">
        <v>46158</v>
      </c>
      <c r="B162" s="3" t="s">
        <v>170</v>
      </c>
      <c r="C162" s="3" t="s">
        <v>261</v>
      </c>
      <c r="D162" s="170">
        <v>85</v>
      </c>
      <c r="E162" s="173">
        <v>0.995</v>
      </c>
      <c r="F162" s="172">
        <f t="shared" si="51"/>
        <v>84.575000000000003</v>
      </c>
      <c r="G162" s="211">
        <f t="shared" si="52"/>
        <v>0</v>
      </c>
      <c r="H162" s="3"/>
      <c r="I162" s="3" t="str">
        <f t="shared" si="37"/>
        <v>0</v>
      </c>
      <c r="J162" s="3" t="str">
        <f t="shared" si="38"/>
        <v>0</v>
      </c>
      <c r="K162" s="3" t="str">
        <f t="shared" si="39"/>
        <v>0</v>
      </c>
      <c r="L162" s="3" t="str">
        <f t="shared" si="40"/>
        <v>0</v>
      </c>
      <c r="M162" s="3" t="str">
        <f t="shared" si="41"/>
        <v>0</v>
      </c>
      <c r="N162" s="3" t="str">
        <f t="shared" si="42"/>
        <v>0</v>
      </c>
      <c r="O162" s="3">
        <f t="shared" si="43"/>
        <v>85</v>
      </c>
      <c r="P162" s="3" t="str">
        <f t="shared" si="44"/>
        <v>0</v>
      </c>
      <c r="Q162" s="3">
        <f t="shared" si="45"/>
        <v>84.575000000000003</v>
      </c>
      <c r="R162" s="3" t="str">
        <f t="shared" si="46"/>
        <v>0</v>
      </c>
      <c r="S162" s="3">
        <f t="shared" si="47"/>
        <v>0</v>
      </c>
      <c r="T162" s="3" t="str">
        <f t="shared" si="48"/>
        <v>0</v>
      </c>
      <c r="U162" s="3"/>
      <c r="V162" s="3"/>
      <c r="W162" s="3"/>
      <c r="X162" s="3"/>
      <c r="Y162" s="3"/>
      <c r="Z162" s="3"/>
    </row>
    <row r="163" spans="1:26" x14ac:dyDescent="0.25">
      <c r="A163" s="2">
        <v>46159</v>
      </c>
      <c r="B163" s="3" t="s">
        <v>218</v>
      </c>
      <c r="C163" s="3"/>
      <c r="D163" s="4"/>
      <c r="E163" s="3"/>
      <c r="F163" s="6">
        <f t="shared" si="51"/>
        <v>0</v>
      </c>
      <c r="G163" s="211" t="e">
        <f t="shared" si="52"/>
        <v>#DIV/0!</v>
      </c>
      <c r="H163" s="3"/>
      <c r="I163" s="3" t="str">
        <f t="shared" si="37"/>
        <v>0</v>
      </c>
      <c r="J163" s="3" t="str">
        <f t="shared" si="38"/>
        <v>0</v>
      </c>
      <c r="K163" s="3" t="str">
        <f t="shared" si="39"/>
        <v>0</v>
      </c>
      <c r="L163" s="3" t="str">
        <f t="shared" si="40"/>
        <v>0</v>
      </c>
      <c r="M163" s="3" t="str">
        <f t="shared" si="41"/>
        <v>0</v>
      </c>
      <c r="N163" s="3" t="str">
        <f t="shared" si="42"/>
        <v>0</v>
      </c>
      <c r="O163" s="3" t="str">
        <f t="shared" si="43"/>
        <v>0</v>
      </c>
      <c r="P163" s="3" t="str">
        <f t="shared" si="44"/>
        <v>0</v>
      </c>
      <c r="Q163" s="3" t="str">
        <f t="shared" si="45"/>
        <v>0</v>
      </c>
      <c r="R163" s="3" t="str">
        <f t="shared" si="46"/>
        <v>0</v>
      </c>
      <c r="S163" s="3" t="str">
        <f t="shared" si="47"/>
        <v>0</v>
      </c>
      <c r="T163" s="3" t="str">
        <f t="shared" si="48"/>
        <v>0</v>
      </c>
      <c r="U163" s="3"/>
      <c r="V163" s="3"/>
      <c r="W163" s="3"/>
      <c r="X163" s="3"/>
      <c r="Y163" s="3"/>
      <c r="Z163" s="3"/>
    </row>
    <row r="164" spans="1:26" x14ac:dyDescent="0.25">
      <c r="A164" s="2">
        <v>46160</v>
      </c>
      <c r="B164" s="3" t="s">
        <v>169</v>
      </c>
      <c r="C164" s="169" t="s">
        <v>272</v>
      </c>
      <c r="D164" s="170">
        <v>227.04</v>
      </c>
      <c r="E164" s="171">
        <v>0.88</v>
      </c>
      <c r="F164" s="172">
        <f t="shared" si="51"/>
        <v>199.79519999999999</v>
      </c>
      <c r="G164" s="172">
        <f t="shared" si="52"/>
        <v>30.163847780126854</v>
      </c>
      <c r="H164" s="176">
        <f>570.7*12</f>
        <v>6848.4000000000005</v>
      </c>
      <c r="I164" s="3">
        <f t="shared" si="37"/>
        <v>227.04</v>
      </c>
      <c r="J164" s="3" t="str">
        <f t="shared" si="38"/>
        <v>0</v>
      </c>
      <c r="K164" s="3">
        <f t="shared" si="39"/>
        <v>199.79519999999999</v>
      </c>
      <c r="L164" s="3" t="str">
        <f t="shared" si="40"/>
        <v>0</v>
      </c>
      <c r="M164" s="3">
        <f t="shared" si="41"/>
        <v>6848.4000000000005</v>
      </c>
      <c r="N164" s="3" t="str">
        <f t="shared" si="42"/>
        <v>0</v>
      </c>
      <c r="O164" s="3" t="str">
        <f t="shared" si="43"/>
        <v>0</v>
      </c>
      <c r="P164" s="3" t="str">
        <f t="shared" si="44"/>
        <v>0</v>
      </c>
      <c r="Q164" s="3" t="str">
        <f t="shared" si="45"/>
        <v>0</v>
      </c>
      <c r="R164" s="3" t="str">
        <f t="shared" si="46"/>
        <v>0</v>
      </c>
      <c r="S164" s="3" t="str">
        <f t="shared" si="47"/>
        <v>0</v>
      </c>
      <c r="T164" s="3" t="str">
        <f t="shared" si="48"/>
        <v>0</v>
      </c>
      <c r="U164" s="3"/>
      <c r="V164" s="3"/>
      <c r="W164" s="3"/>
      <c r="X164" s="3"/>
      <c r="Y164" s="3"/>
      <c r="Z164" s="3"/>
    </row>
    <row r="165" spans="1:26" x14ac:dyDescent="0.25">
      <c r="A165" s="2">
        <v>46160</v>
      </c>
      <c r="B165" s="3" t="s">
        <v>170</v>
      </c>
      <c r="C165" s="169" t="s">
        <v>256</v>
      </c>
      <c r="D165" s="170">
        <v>700.28062719999991</v>
      </c>
      <c r="E165" s="173">
        <v>0.88</v>
      </c>
      <c r="F165" s="174">
        <f>D165*E165</f>
        <v>616.24695193599996</v>
      </c>
      <c r="G165" s="6">
        <f>H165/D165</f>
        <v>3.1804392603365739</v>
      </c>
      <c r="H165" s="176">
        <f>768*2.9</f>
        <v>2227.1999999999998</v>
      </c>
      <c r="I165" s="3" t="str">
        <f t="shared" si="37"/>
        <v>0</v>
      </c>
      <c r="J165" s="3" t="str">
        <f t="shared" si="38"/>
        <v>0</v>
      </c>
      <c r="K165" s="3" t="str">
        <f t="shared" si="39"/>
        <v>0</v>
      </c>
      <c r="L165" s="3" t="str">
        <f t="shared" si="40"/>
        <v>0</v>
      </c>
      <c r="M165" s="3" t="str">
        <f t="shared" si="41"/>
        <v>0</v>
      </c>
      <c r="N165" s="3" t="str">
        <f t="shared" si="42"/>
        <v>0</v>
      </c>
      <c r="O165" s="3">
        <f t="shared" si="43"/>
        <v>700.28062719999991</v>
      </c>
      <c r="P165" s="3" t="str">
        <f t="shared" si="44"/>
        <v>0</v>
      </c>
      <c r="Q165" s="3">
        <f t="shared" si="45"/>
        <v>616.24695193599996</v>
      </c>
      <c r="R165" s="3" t="str">
        <f t="shared" si="46"/>
        <v>0</v>
      </c>
      <c r="S165" s="3">
        <f t="shared" si="47"/>
        <v>2227.1999999999998</v>
      </c>
      <c r="T165" s="3" t="str">
        <f t="shared" si="48"/>
        <v>0</v>
      </c>
      <c r="U165" s="3"/>
      <c r="V165" s="3"/>
      <c r="W165" s="3"/>
      <c r="X165" s="3"/>
      <c r="Y165" s="3"/>
      <c r="Z165" s="3"/>
    </row>
    <row r="166" spans="1:26" x14ac:dyDescent="0.25">
      <c r="A166" s="2">
        <v>46160</v>
      </c>
      <c r="B166" s="3" t="s">
        <v>209</v>
      </c>
      <c r="C166" s="169" t="s">
        <v>267</v>
      </c>
      <c r="D166" s="170">
        <v>963</v>
      </c>
      <c r="E166" s="173">
        <v>0.995</v>
      </c>
      <c r="F166" s="174">
        <f>+D166*E166</f>
        <v>958.18499999999995</v>
      </c>
      <c r="G166" s="211">
        <f>+H166/D166</f>
        <v>0</v>
      </c>
      <c r="H166" s="3"/>
      <c r="I166" s="3" t="str">
        <f t="shared" si="37"/>
        <v>0</v>
      </c>
      <c r="J166" s="3" t="str">
        <f t="shared" si="38"/>
        <v>0</v>
      </c>
      <c r="K166" s="3" t="str">
        <f t="shared" si="39"/>
        <v>0</v>
      </c>
      <c r="L166" s="3" t="str">
        <f t="shared" si="40"/>
        <v>0</v>
      </c>
      <c r="M166" s="3" t="str">
        <f t="shared" si="41"/>
        <v>0</v>
      </c>
      <c r="N166" s="3" t="str">
        <f t="shared" si="42"/>
        <v>0</v>
      </c>
      <c r="O166" s="3" t="str">
        <f t="shared" si="43"/>
        <v>0</v>
      </c>
      <c r="P166" s="3">
        <f t="shared" si="44"/>
        <v>963</v>
      </c>
      <c r="Q166" s="3" t="str">
        <f t="shared" si="45"/>
        <v>0</v>
      </c>
      <c r="R166" s="3">
        <f t="shared" si="46"/>
        <v>958.18499999999995</v>
      </c>
      <c r="S166" s="3" t="str">
        <f t="shared" si="47"/>
        <v>0</v>
      </c>
      <c r="T166" s="3">
        <f t="shared" si="48"/>
        <v>0</v>
      </c>
      <c r="U166" s="3"/>
      <c r="V166" s="3"/>
      <c r="W166" s="3"/>
      <c r="X166" s="3"/>
      <c r="Y166" s="3"/>
      <c r="Z166" s="3"/>
    </row>
    <row r="167" spans="1:26" x14ac:dyDescent="0.25">
      <c r="A167" s="2">
        <v>46160</v>
      </c>
      <c r="B167" s="3" t="s">
        <v>211</v>
      </c>
      <c r="C167" s="169" t="s">
        <v>267</v>
      </c>
      <c r="D167" s="4"/>
      <c r="E167" s="3"/>
      <c r="F167" s="6">
        <f>+D167*E167</f>
        <v>0</v>
      </c>
      <c r="G167" s="211" t="e">
        <f>+H167/D167</f>
        <v>#DIV/0!</v>
      </c>
      <c r="H167" s="3"/>
      <c r="I167" s="3" t="str">
        <f t="shared" si="37"/>
        <v>0</v>
      </c>
      <c r="J167" s="3" t="str">
        <f t="shared" si="38"/>
        <v>0</v>
      </c>
      <c r="K167" s="3" t="str">
        <f t="shared" si="39"/>
        <v>0</v>
      </c>
      <c r="L167" s="3" t="str">
        <f t="shared" si="40"/>
        <v>0</v>
      </c>
      <c r="M167" s="3" t="str">
        <f t="shared" si="41"/>
        <v>0</v>
      </c>
      <c r="N167" s="3" t="str">
        <f t="shared" si="42"/>
        <v>0</v>
      </c>
      <c r="O167" s="3" t="str">
        <f t="shared" si="43"/>
        <v>0</v>
      </c>
      <c r="P167" s="3" t="str">
        <f t="shared" si="44"/>
        <v>0</v>
      </c>
      <c r="Q167" s="3" t="str">
        <f t="shared" si="45"/>
        <v>0</v>
      </c>
      <c r="R167" s="3" t="str">
        <f t="shared" si="46"/>
        <v>0</v>
      </c>
      <c r="S167" s="3" t="str">
        <f t="shared" si="47"/>
        <v>0</v>
      </c>
      <c r="T167" s="3" t="str">
        <f t="shared" si="48"/>
        <v>0</v>
      </c>
      <c r="U167" s="3"/>
      <c r="V167" s="3"/>
      <c r="W167" s="3">
        <v>2250</v>
      </c>
      <c r="X167" s="3"/>
      <c r="Y167" s="3"/>
      <c r="Z167" s="3"/>
    </row>
    <row r="168" spans="1:26" x14ac:dyDescent="0.25">
      <c r="A168" s="2">
        <v>46161</v>
      </c>
      <c r="B168" s="3" t="s">
        <v>170</v>
      </c>
      <c r="C168" s="169" t="s">
        <v>272</v>
      </c>
      <c r="D168" s="170">
        <v>319.87699391999996</v>
      </c>
      <c r="E168" s="173">
        <v>0.995</v>
      </c>
      <c r="F168" s="174">
        <f>D168*E168</f>
        <v>318.27760895039995</v>
      </c>
      <c r="G168" s="211">
        <f>+H168/D168</f>
        <v>0</v>
      </c>
      <c r="H168" s="3"/>
      <c r="I168" s="3" t="str">
        <f t="shared" si="37"/>
        <v>0</v>
      </c>
      <c r="J168" s="3" t="str">
        <f t="shared" si="38"/>
        <v>0</v>
      </c>
      <c r="K168" s="3" t="str">
        <f t="shared" si="39"/>
        <v>0</v>
      </c>
      <c r="L168" s="3" t="str">
        <f t="shared" si="40"/>
        <v>0</v>
      </c>
      <c r="M168" s="3" t="str">
        <f t="shared" si="41"/>
        <v>0</v>
      </c>
      <c r="N168" s="3" t="str">
        <f t="shared" si="42"/>
        <v>0</v>
      </c>
      <c r="O168" s="3">
        <f t="shared" si="43"/>
        <v>319.87699391999996</v>
      </c>
      <c r="P168" s="3" t="str">
        <f t="shared" si="44"/>
        <v>0</v>
      </c>
      <c r="Q168" s="3">
        <f t="shared" si="45"/>
        <v>318.27760895039995</v>
      </c>
      <c r="R168" s="3" t="str">
        <f t="shared" si="46"/>
        <v>0</v>
      </c>
      <c r="S168" s="3">
        <f t="shared" si="47"/>
        <v>0</v>
      </c>
      <c r="T168" s="3" t="str">
        <f t="shared" si="48"/>
        <v>0</v>
      </c>
      <c r="U168" s="3"/>
      <c r="V168" s="3"/>
      <c r="W168" s="3"/>
      <c r="X168" s="3"/>
      <c r="Y168" s="3"/>
      <c r="Z168" s="3"/>
    </row>
    <row r="169" spans="1:26" x14ac:dyDescent="0.25">
      <c r="A169" s="2">
        <v>46163</v>
      </c>
      <c r="B169" s="3" t="s">
        <v>169</v>
      </c>
      <c r="C169" s="169" t="s">
        <v>255</v>
      </c>
      <c r="D169" s="170">
        <v>282.74118400000003</v>
      </c>
      <c r="E169" s="171">
        <v>0.88</v>
      </c>
      <c r="F169" s="172">
        <f>+D169*E169</f>
        <v>248.81224192000002</v>
      </c>
      <c r="G169" s="172">
        <f>+H169/D169</f>
        <v>23.671825608539571</v>
      </c>
      <c r="H169" s="176">
        <f>1164*5.75</f>
        <v>6693</v>
      </c>
      <c r="I169" s="3">
        <f t="shared" si="37"/>
        <v>282.74118400000003</v>
      </c>
      <c r="J169" s="3" t="str">
        <f t="shared" si="38"/>
        <v>0</v>
      </c>
      <c r="K169" s="3">
        <f t="shared" si="39"/>
        <v>248.81224192000002</v>
      </c>
      <c r="L169" s="3" t="str">
        <f t="shared" si="40"/>
        <v>0</v>
      </c>
      <c r="M169" s="3">
        <f t="shared" si="41"/>
        <v>6693</v>
      </c>
      <c r="N169" s="3" t="str">
        <f t="shared" si="42"/>
        <v>0</v>
      </c>
      <c r="O169" s="3" t="str">
        <f t="shared" si="43"/>
        <v>0</v>
      </c>
      <c r="P169" s="3" t="str">
        <f t="shared" si="44"/>
        <v>0</v>
      </c>
      <c r="Q169" s="3" t="str">
        <f t="shared" si="45"/>
        <v>0</v>
      </c>
      <c r="R169" s="3" t="str">
        <f t="shared" si="46"/>
        <v>0</v>
      </c>
      <c r="S169" s="3" t="str">
        <f t="shared" si="47"/>
        <v>0</v>
      </c>
      <c r="T169" s="3" t="str">
        <f t="shared" si="48"/>
        <v>0</v>
      </c>
      <c r="U169" s="3"/>
      <c r="V169" s="3"/>
      <c r="W169" s="3"/>
      <c r="X169" s="3"/>
      <c r="Y169" s="3"/>
      <c r="Z169" s="3"/>
    </row>
    <row r="170" spans="1:26" x14ac:dyDescent="0.25">
      <c r="A170" s="2">
        <v>46163</v>
      </c>
      <c r="B170" s="3" t="s">
        <v>170</v>
      </c>
      <c r="C170" s="169" t="s">
        <v>260</v>
      </c>
      <c r="D170" s="170">
        <v>848.43223344</v>
      </c>
      <c r="E170" s="173">
        <v>0.88</v>
      </c>
      <c r="F170" s="174">
        <f>D170*E170</f>
        <v>746.6203654272</v>
      </c>
      <c r="G170" s="6">
        <f>H170/D170</f>
        <v>3.5</v>
      </c>
      <c r="H170" s="176">
        <f>+D170*3.5</f>
        <v>2969.5128170399998</v>
      </c>
      <c r="I170" s="3" t="str">
        <f t="shared" si="37"/>
        <v>0</v>
      </c>
      <c r="J170" s="3" t="str">
        <f t="shared" si="38"/>
        <v>0</v>
      </c>
      <c r="K170" s="3" t="str">
        <f t="shared" si="39"/>
        <v>0</v>
      </c>
      <c r="L170" s="3" t="str">
        <f t="shared" si="40"/>
        <v>0</v>
      </c>
      <c r="M170" s="3" t="str">
        <f t="shared" si="41"/>
        <v>0</v>
      </c>
      <c r="N170" s="3" t="str">
        <f t="shared" si="42"/>
        <v>0</v>
      </c>
      <c r="O170" s="3">
        <f t="shared" si="43"/>
        <v>848.43223344</v>
      </c>
      <c r="P170" s="3" t="str">
        <f t="shared" si="44"/>
        <v>0</v>
      </c>
      <c r="Q170" s="3">
        <f t="shared" si="45"/>
        <v>746.6203654272</v>
      </c>
      <c r="R170" s="3" t="str">
        <f t="shared" si="46"/>
        <v>0</v>
      </c>
      <c r="S170" s="3">
        <f t="shared" si="47"/>
        <v>2969.5128170399998</v>
      </c>
      <c r="T170" s="3" t="str">
        <f t="shared" si="48"/>
        <v>0</v>
      </c>
      <c r="U170" s="3"/>
      <c r="V170" s="3"/>
      <c r="W170" s="3"/>
      <c r="X170" s="3"/>
      <c r="Y170" s="3"/>
      <c r="Z170" s="3"/>
    </row>
    <row r="171" spans="1:26" x14ac:dyDescent="0.25">
      <c r="A171" s="2">
        <v>46163</v>
      </c>
      <c r="B171" s="3" t="s">
        <v>170</v>
      </c>
      <c r="C171" s="169" t="s">
        <v>255</v>
      </c>
      <c r="D171" s="170">
        <v>319.87699391999996</v>
      </c>
      <c r="E171" s="173">
        <v>0.995</v>
      </c>
      <c r="F171" s="174">
        <f>D171*E171</f>
        <v>318.27760895039995</v>
      </c>
      <c r="G171" s="172"/>
      <c r="H171" s="176"/>
      <c r="I171" s="3" t="str">
        <f t="shared" si="37"/>
        <v>0</v>
      </c>
      <c r="J171" s="3" t="str">
        <f t="shared" si="38"/>
        <v>0</v>
      </c>
      <c r="K171" s="3" t="str">
        <f t="shared" si="39"/>
        <v>0</v>
      </c>
      <c r="L171" s="3" t="str">
        <f t="shared" si="40"/>
        <v>0</v>
      </c>
      <c r="M171" s="3" t="str">
        <f t="shared" si="41"/>
        <v>0</v>
      </c>
      <c r="N171" s="3" t="str">
        <f t="shared" si="42"/>
        <v>0</v>
      </c>
      <c r="O171" s="3">
        <f t="shared" si="43"/>
        <v>319.87699391999996</v>
      </c>
      <c r="P171" s="3" t="str">
        <f t="shared" si="44"/>
        <v>0</v>
      </c>
      <c r="Q171" s="3">
        <f t="shared" si="45"/>
        <v>318.27760895039995</v>
      </c>
      <c r="R171" s="3" t="str">
        <f t="shared" si="46"/>
        <v>0</v>
      </c>
      <c r="S171" s="3">
        <f t="shared" si="47"/>
        <v>0</v>
      </c>
      <c r="T171" s="3" t="str">
        <f t="shared" si="48"/>
        <v>0</v>
      </c>
      <c r="U171" s="3"/>
      <c r="V171" s="3"/>
      <c r="W171" s="3"/>
      <c r="X171" s="3"/>
      <c r="Y171" s="3"/>
      <c r="Z171" s="3"/>
    </row>
    <row r="172" spans="1:26" x14ac:dyDescent="0.25">
      <c r="A172" s="2">
        <v>46163</v>
      </c>
      <c r="B172" s="3" t="s">
        <v>209</v>
      </c>
      <c r="C172" s="169" t="s">
        <v>266</v>
      </c>
      <c r="D172" s="170">
        <v>415.246785536</v>
      </c>
      <c r="E172" s="173">
        <v>0.995</v>
      </c>
      <c r="F172" s="174">
        <f>+D172*E172</f>
        <v>413.17055160832001</v>
      </c>
      <c r="G172" s="211">
        <f t="shared" ref="G172:G179" si="53">+H172/D172</f>
        <v>0</v>
      </c>
      <c r="H172" s="3"/>
      <c r="I172" s="3" t="str">
        <f t="shared" si="37"/>
        <v>0</v>
      </c>
      <c r="J172" s="3" t="str">
        <f t="shared" si="38"/>
        <v>0</v>
      </c>
      <c r="K172" s="3" t="str">
        <f t="shared" si="39"/>
        <v>0</v>
      </c>
      <c r="L172" s="3" t="str">
        <f t="shared" si="40"/>
        <v>0</v>
      </c>
      <c r="M172" s="3" t="str">
        <f t="shared" si="41"/>
        <v>0</v>
      </c>
      <c r="N172" s="3" t="str">
        <f t="shared" si="42"/>
        <v>0</v>
      </c>
      <c r="O172" s="3" t="str">
        <f t="shared" si="43"/>
        <v>0</v>
      </c>
      <c r="P172" s="3">
        <f t="shared" si="44"/>
        <v>415.246785536</v>
      </c>
      <c r="Q172" s="3" t="str">
        <f t="shared" si="45"/>
        <v>0</v>
      </c>
      <c r="R172" s="3">
        <f t="shared" si="46"/>
        <v>413.17055160832001</v>
      </c>
      <c r="S172" s="3" t="str">
        <f t="shared" si="47"/>
        <v>0</v>
      </c>
      <c r="T172" s="3">
        <f t="shared" si="48"/>
        <v>0</v>
      </c>
      <c r="U172" s="3"/>
      <c r="V172" s="3"/>
      <c r="W172" s="3"/>
      <c r="X172" s="3"/>
      <c r="Y172" s="3"/>
      <c r="Z172" s="3"/>
    </row>
    <row r="173" spans="1:26" x14ac:dyDescent="0.25">
      <c r="A173" s="2">
        <v>46163</v>
      </c>
      <c r="B173" s="3" t="s">
        <v>171</v>
      </c>
      <c r="C173" s="169" t="s">
        <v>255</v>
      </c>
      <c r="D173" s="4"/>
      <c r="E173" s="3"/>
      <c r="F173" s="6">
        <f>+D173*E173</f>
        <v>0</v>
      </c>
      <c r="G173" s="211" t="e">
        <f t="shared" si="53"/>
        <v>#DIV/0!</v>
      </c>
      <c r="H173" s="3"/>
      <c r="I173" s="3" t="str">
        <f t="shared" si="37"/>
        <v>0</v>
      </c>
      <c r="J173" s="3" t="str">
        <f t="shared" si="38"/>
        <v>0</v>
      </c>
      <c r="K173" s="3" t="str">
        <f t="shared" si="39"/>
        <v>0</v>
      </c>
      <c r="L173" s="3" t="str">
        <f t="shared" si="40"/>
        <v>0</v>
      </c>
      <c r="M173" s="3" t="str">
        <f t="shared" si="41"/>
        <v>0</v>
      </c>
      <c r="N173" s="3" t="str">
        <f t="shared" si="42"/>
        <v>0</v>
      </c>
      <c r="O173" s="3" t="str">
        <f t="shared" si="43"/>
        <v>0</v>
      </c>
      <c r="P173" s="3" t="str">
        <f t="shared" si="44"/>
        <v>0</v>
      </c>
      <c r="Q173" s="3" t="str">
        <f t="shared" si="45"/>
        <v>0</v>
      </c>
      <c r="R173" s="3" t="str">
        <f t="shared" si="46"/>
        <v>0</v>
      </c>
      <c r="S173" s="3" t="str">
        <f t="shared" si="47"/>
        <v>0</v>
      </c>
      <c r="T173" s="3" t="str">
        <f t="shared" si="48"/>
        <v>0</v>
      </c>
      <c r="U173" s="3">
        <v>6700</v>
      </c>
      <c r="V173" s="3"/>
      <c r="W173" s="3"/>
      <c r="X173" s="3"/>
      <c r="Y173" s="3"/>
      <c r="Z173" s="3"/>
    </row>
    <row r="174" spans="1:26" x14ac:dyDescent="0.25">
      <c r="A174" s="2">
        <v>46163</v>
      </c>
      <c r="B174" s="3" t="s">
        <v>211</v>
      </c>
      <c r="C174" s="169" t="s">
        <v>266</v>
      </c>
      <c r="D174" s="4"/>
      <c r="E174" s="3"/>
      <c r="F174" s="6">
        <f>+D174*E174</f>
        <v>0</v>
      </c>
      <c r="G174" s="211" t="e">
        <f t="shared" si="53"/>
        <v>#DIV/0!</v>
      </c>
      <c r="H174" s="3"/>
      <c r="I174" s="3" t="str">
        <f t="shared" si="37"/>
        <v>0</v>
      </c>
      <c r="J174" s="3" t="str">
        <f t="shared" si="38"/>
        <v>0</v>
      </c>
      <c r="K174" s="3" t="str">
        <f t="shared" si="39"/>
        <v>0</v>
      </c>
      <c r="L174" s="3" t="str">
        <f t="shared" si="40"/>
        <v>0</v>
      </c>
      <c r="M174" s="3" t="str">
        <f t="shared" si="41"/>
        <v>0</v>
      </c>
      <c r="N174" s="3" t="str">
        <f t="shared" si="42"/>
        <v>0</v>
      </c>
      <c r="O174" s="3" t="str">
        <f t="shared" si="43"/>
        <v>0</v>
      </c>
      <c r="P174" s="3" t="str">
        <f t="shared" si="44"/>
        <v>0</v>
      </c>
      <c r="Q174" s="3" t="str">
        <f t="shared" si="45"/>
        <v>0</v>
      </c>
      <c r="R174" s="3" t="str">
        <f t="shared" si="46"/>
        <v>0</v>
      </c>
      <c r="S174" s="3" t="str">
        <f t="shared" si="47"/>
        <v>0</v>
      </c>
      <c r="T174" s="3" t="str">
        <f t="shared" si="48"/>
        <v>0</v>
      </c>
      <c r="U174" s="3"/>
      <c r="V174" s="3"/>
      <c r="W174" s="3">
        <v>2005</v>
      </c>
      <c r="X174" s="3"/>
      <c r="Y174" s="3"/>
      <c r="Z174" s="3"/>
    </row>
    <row r="175" spans="1:26" x14ac:dyDescent="0.25">
      <c r="A175" s="2">
        <v>46164</v>
      </c>
      <c r="B175" s="3" t="s">
        <v>169</v>
      </c>
      <c r="C175" s="169" t="s">
        <v>255</v>
      </c>
      <c r="D175" s="170">
        <v>471.8713472</v>
      </c>
      <c r="E175" s="171">
        <v>0.88</v>
      </c>
      <c r="F175" s="172">
        <f>+D175*E175</f>
        <v>415.246785536</v>
      </c>
      <c r="G175" s="172">
        <f t="shared" si="53"/>
        <v>6.7180387595273761</v>
      </c>
      <c r="H175" s="176">
        <f>65*3.5+452.7*6.5</f>
        <v>3170.0499999999997</v>
      </c>
      <c r="I175" s="158">
        <f t="shared" si="37"/>
        <v>471.8713472</v>
      </c>
      <c r="J175" s="3" t="str">
        <f t="shared" si="38"/>
        <v>0</v>
      </c>
      <c r="K175" s="3">
        <f t="shared" si="39"/>
        <v>415.246785536</v>
      </c>
      <c r="L175" s="3" t="str">
        <f t="shared" si="40"/>
        <v>0</v>
      </c>
      <c r="M175" s="3">
        <f t="shared" si="41"/>
        <v>3170.0499999999997</v>
      </c>
      <c r="N175" s="3" t="str">
        <f t="shared" si="42"/>
        <v>0</v>
      </c>
      <c r="O175" s="3" t="str">
        <f t="shared" si="43"/>
        <v>0</v>
      </c>
      <c r="P175" s="3" t="str">
        <f t="shared" si="44"/>
        <v>0</v>
      </c>
      <c r="Q175" s="3" t="str">
        <f t="shared" si="45"/>
        <v>0</v>
      </c>
      <c r="R175" s="3" t="str">
        <f t="shared" si="46"/>
        <v>0</v>
      </c>
      <c r="S175" s="3" t="str">
        <f t="shared" si="47"/>
        <v>0</v>
      </c>
      <c r="T175" s="3" t="str">
        <f t="shared" si="48"/>
        <v>0</v>
      </c>
      <c r="U175" s="3"/>
      <c r="V175" s="3"/>
      <c r="W175" s="3"/>
      <c r="X175" s="3"/>
      <c r="Y175" s="3"/>
      <c r="Z175" s="3"/>
    </row>
    <row r="176" spans="1:26" x14ac:dyDescent="0.25">
      <c r="A176" s="2">
        <v>46164</v>
      </c>
      <c r="B176" s="3" t="s">
        <v>169</v>
      </c>
      <c r="C176" s="169" t="s">
        <v>270</v>
      </c>
      <c r="D176" s="170">
        <v>1038.3155200000001</v>
      </c>
      <c r="E176" s="171">
        <v>0.88</v>
      </c>
      <c r="F176" s="172">
        <f>+D176*E176</f>
        <v>913.71765760000005</v>
      </c>
      <c r="G176" s="172">
        <f t="shared" si="53"/>
        <v>0.37820873562594925</v>
      </c>
      <c r="H176" s="176">
        <f>71.4*5.5</f>
        <v>392.70000000000005</v>
      </c>
      <c r="I176" s="158">
        <f t="shared" si="37"/>
        <v>1038.3155200000001</v>
      </c>
      <c r="J176" s="3" t="str">
        <f t="shared" si="38"/>
        <v>0</v>
      </c>
      <c r="K176" s="3">
        <f t="shared" si="39"/>
        <v>913.71765760000005</v>
      </c>
      <c r="L176" s="3" t="str">
        <f t="shared" si="40"/>
        <v>0</v>
      </c>
      <c r="M176" s="3">
        <f t="shared" si="41"/>
        <v>392.70000000000005</v>
      </c>
      <c r="N176" s="3" t="str">
        <f t="shared" si="42"/>
        <v>0</v>
      </c>
      <c r="O176" s="3" t="str">
        <f t="shared" si="43"/>
        <v>0</v>
      </c>
      <c r="P176" s="3" t="str">
        <f t="shared" si="44"/>
        <v>0</v>
      </c>
      <c r="Q176" s="3" t="str">
        <f t="shared" si="45"/>
        <v>0</v>
      </c>
      <c r="R176" s="3" t="str">
        <f t="shared" si="46"/>
        <v>0</v>
      </c>
      <c r="S176" s="3" t="str">
        <f t="shared" si="47"/>
        <v>0</v>
      </c>
      <c r="T176" s="3" t="str">
        <f t="shared" si="48"/>
        <v>0</v>
      </c>
      <c r="U176" s="3"/>
      <c r="V176" s="3"/>
      <c r="W176" s="3"/>
      <c r="X176" s="3"/>
      <c r="Y176" s="3"/>
      <c r="Z176" s="3"/>
    </row>
    <row r="177" spans="1:26" x14ac:dyDescent="0.25">
      <c r="A177" s="2">
        <v>46164</v>
      </c>
      <c r="B177" s="3" t="s">
        <v>170</v>
      </c>
      <c r="C177" s="169" t="s">
        <v>255</v>
      </c>
      <c r="D177" s="170">
        <v>964.12753799999996</v>
      </c>
      <c r="E177" s="173">
        <v>0.995</v>
      </c>
      <c r="F177" s="174">
        <f>D177*E177</f>
        <v>959.30690030999995</v>
      </c>
      <c r="G177" s="211">
        <f t="shared" si="53"/>
        <v>0</v>
      </c>
      <c r="H177" s="3"/>
      <c r="I177" s="158" t="str">
        <f t="shared" si="37"/>
        <v>0</v>
      </c>
      <c r="J177" s="3" t="str">
        <f t="shared" si="38"/>
        <v>0</v>
      </c>
      <c r="K177" s="3" t="str">
        <f t="shared" si="39"/>
        <v>0</v>
      </c>
      <c r="L177" s="3" t="str">
        <f t="shared" si="40"/>
        <v>0</v>
      </c>
      <c r="M177" s="3" t="str">
        <f t="shared" si="41"/>
        <v>0</v>
      </c>
      <c r="N177" s="3" t="str">
        <f t="shared" si="42"/>
        <v>0</v>
      </c>
      <c r="O177" s="3">
        <f t="shared" si="43"/>
        <v>964.12753799999996</v>
      </c>
      <c r="P177" s="3" t="str">
        <f t="shared" si="44"/>
        <v>0</v>
      </c>
      <c r="Q177" s="3">
        <f t="shared" si="45"/>
        <v>959.30690030999995</v>
      </c>
      <c r="R177" s="3" t="str">
        <f t="shared" si="46"/>
        <v>0</v>
      </c>
      <c r="S177" s="3">
        <f t="shared" si="47"/>
        <v>0</v>
      </c>
      <c r="T177" s="3" t="str">
        <f t="shared" si="48"/>
        <v>0</v>
      </c>
      <c r="U177" s="3"/>
      <c r="V177" s="3"/>
      <c r="W177" s="3"/>
      <c r="X177" s="3"/>
      <c r="Y177" s="3"/>
      <c r="Z177" s="3"/>
    </row>
    <row r="178" spans="1:26" x14ac:dyDescent="0.25">
      <c r="A178" s="2">
        <v>46164</v>
      </c>
      <c r="B178" s="3" t="s">
        <v>171</v>
      </c>
      <c r="C178" s="169" t="s">
        <v>255</v>
      </c>
      <c r="D178" s="4"/>
      <c r="E178" s="3"/>
      <c r="F178" s="6">
        <f>+D178*E178</f>
        <v>0</v>
      </c>
      <c r="G178" s="211" t="e">
        <f t="shared" si="53"/>
        <v>#DIV/0!</v>
      </c>
      <c r="H178" s="3"/>
      <c r="I178" s="3" t="str">
        <f t="shared" si="37"/>
        <v>0</v>
      </c>
      <c r="J178" s="3" t="str">
        <f t="shared" si="38"/>
        <v>0</v>
      </c>
      <c r="K178" s="3" t="str">
        <f t="shared" si="39"/>
        <v>0</v>
      </c>
      <c r="L178" s="3" t="str">
        <f t="shared" si="40"/>
        <v>0</v>
      </c>
      <c r="M178" s="3" t="str">
        <f t="shared" si="41"/>
        <v>0</v>
      </c>
      <c r="N178" s="3" t="str">
        <f t="shared" si="42"/>
        <v>0</v>
      </c>
      <c r="O178" s="3" t="str">
        <f t="shared" si="43"/>
        <v>0</v>
      </c>
      <c r="P178" s="3" t="str">
        <f t="shared" si="44"/>
        <v>0</v>
      </c>
      <c r="Q178" s="3" t="str">
        <f t="shared" si="45"/>
        <v>0</v>
      </c>
      <c r="R178" s="3" t="str">
        <f t="shared" si="46"/>
        <v>0</v>
      </c>
      <c r="S178" s="3" t="str">
        <f t="shared" si="47"/>
        <v>0</v>
      </c>
      <c r="T178" s="3" t="str">
        <f t="shared" si="48"/>
        <v>0</v>
      </c>
      <c r="U178" s="3">
        <v>3170</v>
      </c>
      <c r="V178" s="3"/>
      <c r="W178" s="3"/>
      <c r="X178" s="3"/>
      <c r="Y178" s="3"/>
      <c r="Z178" s="3"/>
    </row>
    <row r="179" spans="1:26" x14ac:dyDescent="0.25">
      <c r="A179" s="2">
        <v>46165</v>
      </c>
      <c r="B179" s="3" t="s">
        <v>169</v>
      </c>
      <c r="C179" s="169" t="s">
        <v>272</v>
      </c>
      <c r="D179" s="170">
        <v>405.23643599999997</v>
      </c>
      <c r="E179" s="171">
        <v>0.88</v>
      </c>
      <c r="F179" s="172">
        <f>+D179*E179</f>
        <v>356.60806367999999</v>
      </c>
      <c r="G179" s="172">
        <f t="shared" si="53"/>
        <v>21.155057241693836</v>
      </c>
      <c r="H179" s="176">
        <f>714.4*12</f>
        <v>8572.7999999999993</v>
      </c>
      <c r="I179" s="158">
        <f t="shared" si="37"/>
        <v>405.23643599999997</v>
      </c>
      <c r="J179" s="3" t="str">
        <f t="shared" si="38"/>
        <v>0</v>
      </c>
      <c r="K179" s="3">
        <f t="shared" si="39"/>
        <v>356.60806367999999</v>
      </c>
      <c r="L179" s="3" t="str">
        <f t="shared" si="40"/>
        <v>0</v>
      </c>
      <c r="M179" s="3">
        <f t="shared" si="41"/>
        <v>8572.7999999999993</v>
      </c>
      <c r="N179" s="3" t="str">
        <f t="shared" si="42"/>
        <v>0</v>
      </c>
      <c r="O179" s="3" t="str">
        <f t="shared" si="43"/>
        <v>0</v>
      </c>
      <c r="P179" s="3" t="str">
        <f t="shared" si="44"/>
        <v>0</v>
      </c>
      <c r="Q179" s="3" t="str">
        <f t="shared" si="45"/>
        <v>0</v>
      </c>
      <c r="R179" s="3" t="str">
        <f t="shared" si="46"/>
        <v>0</v>
      </c>
      <c r="S179" s="3" t="str">
        <f t="shared" si="47"/>
        <v>0</v>
      </c>
      <c r="T179" s="3" t="str">
        <f t="shared" si="48"/>
        <v>0</v>
      </c>
      <c r="U179" s="3"/>
      <c r="V179" s="3"/>
      <c r="W179" s="3"/>
      <c r="X179" s="3"/>
      <c r="Y179" s="3"/>
      <c r="Z179" s="3"/>
    </row>
    <row r="180" spans="1:26" x14ac:dyDescent="0.25">
      <c r="A180" s="2">
        <v>46165</v>
      </c>
      <c r="B180" s="3" t="s">
        <v>170</v>
      </c>
      <c r="C180" s="169" t="s">
        <v>272</v>
      </c>
      <c r="D180" s="170">
        <v>536.21744000000001</v>
      </c>
      <c r="E180" s="173">
        <v>0.995</v>
      </c>
      <c r="F180" s="174">
        <f>D180*E180</f>
        <v>533.53635280000003</v>
      </c>
      <c r="G180" s="6"/>
      <c r="H180" s="176"/>
      <c r="I180" s="158" t="str">
        <f t="shared" si="37"/>
        <v>0</v>
      </c>
      <c r="J180" s="3" t="str">
        <f t="shared" si="38"/>
        <v>0</v>
      </c>
      <c r="K180" s="3" t="str">
        <f t="shared" si="39"/>
        <v>0</v>
      </c>
      <c r="L180" s="3" t="str">
        <f t="shared" si="40"/>
        <v>0</v>
      </c>
      <c r="M180" s="3" t="str">
        <f t="shared" si="41"/>
        <v>0</v>
      </c>
      <c r="N180" s="3" t="str">
        <f t="shared" si="42"/>
        <v>0</v>
      </c>
      <c r="O180" s="3">
        <f t="shared" si="43"/>
        <v>536.21744000000001</v>
      </c>
      <c r="P180" s="3" t="str">
        <f t="shared" si="44"/>
        <v>0</v>
      </c>
      <c r="Q180" s="3">
        <f t="shared" si="45"/>
        <v>533.53635280000003</v>
      </c>
      <c r="R180" s="3" t="str">
        <f t="shared" si="46"/>
        <v>0</v>
      </c>
      <c r="S180" s="3">
        <f t="shared" si="47"/>
        <v>0</v>
      </c>
      <c r="T180" s="3" t="str">
        <f t="shared" si="48"/>
        <v>0</v>
      </c>
      <c r="U180" s="3"/>
      <c r="V180" s="3"/>
      <c r="W180" s="3"/>
      <c r="X180" s="3"/>
      <c r="Y180" s="3"/>
      <c r="Z180" s="3"/>
    </row>
    <row r="181" spans="1:26" x14ac:dyDescent="0.25">
      <c r="A181" s="2">
        <v>46165</v>
      </c>
      <c r="B181" s="3" t="s">
        <v>170</v>
      </c>
      <c r="C181" s="169" t="s">
        <v>270</v>
      </c>
      <c r="D181" s="170">
        <v>400.90688</v>
      </c>
      <c r="E181" s="173">
        <v>0.99990000000000001</v>
      </c>
      <c r="F181" s="174">
        <f>D181*E181</f>
        <v>400.86678931199998</v>
      </c>
      <c r="G181" s="6"/>
      <c r="H181" s="176"/>
      <c r="I181" s="158" t="str">
        <f t="shared" si="37"/>
        <v>0</v>
      </c>
      <c r="J181" s="3" t="str">
        <f t="shared" si="38"/>
        <v>0</v>
      </c>
      <c r="K181" s="3" t="str">
        <f t="shared" si="39"/>
        <v>0</v>
      </c>
      <c r="L181" s="3" t="str">
        <f t="shared" si="40"/>
        <v>0</v>
      </c>
      <c r="M181" s="3" t="str">
        <f t="shared" si="41"/>
        <v>0</v>
      </c>
      <c r="N181" s="3" t="str">
        <f t="shared" si="42"/>
        <v>0</v>
      </c>
      <c r="O181" s="3">
        <f t="shared" si="43"/>
        <v>400.90688</v>
      </c>
      <c r="P181" s="3" t="str">
        <f t="shared" si="44"/>
        <v>0</v>
      </c>
      <c r="Q181" s="3">
        <f t="shared" si="45"/>
        <v>400.86678931199998</v>
      </c>
      <c r="R181" s="3" t="str">
        <f t="shared" si="46"/>
        <v>0</v>
      </c>
      <c r="S181" s="3">
        <f t="shared" si="47"/>
        <v>0</v>
      </c>
      <c r="T181" s="3" t="str">
        <f t="shared" si="48"/>
        <v>0</v>
      </c>
      <c r="U181" s="3"/>
      <c r="V181" s="3"/>
      <c r="W181" s="3"/>
      <c r="X181" s="3"/>
      <c r="Y181" s="3"/>
      <c r="Z181" s="3"/>
    </row>
    <row r="182" spans="1:26" x14ac:dyDescent="0.25">
      <c r="A182" s="2">
        <v>46165</v>
      </c>
      <c r="B182" s="3" t="s">
        <v>170</v>
      </c>
      <c r="C182" s="169" t="s">
        <v>260</v>
      </c>
      <c r="D182" s="170">
        <v>6565</v>
      </c>
      <c r="E182" s="173">
        <v>0.88</v>
      </c>
      <c r="F182" s="174">
        <f>D182*E182</f>
        <v>5777.2</v>
      </c>
      <c r="G182" s="172">
        <f>H182/D182</f>
        <v>0.3094927646610815</v>
      </c>
      <c r="H182" s="176">
        <f>580.52*3.5</f>
        <v>2031.82</v>
      </c>
      <c r="I182" s="158" t="str">
        <f t="shared" si="37"/>
        <v>0</v>
      </c>
      <c r="J182" s="3" t="str">
        <f t="shared" si="38"/>
        <v>0</v>
      </c>
      <c r="K182" s="3" t="str">
        <f t="shared" si="39"/>
        <v>0</v>
      </c>
      <c r="L182" s="3" t="str">
        <f t="shared" si="40"/>
        <v>0</v>
      </c>
      <c r="M182" s="3" t="str">
        <f t="shared" si="41"/>
        <v>0</v>
      </c>
      <c r="N182" s="3" t="str">
        <f t="shared" si="42"/>
        <v>0</v>
      </c>
      <c r="O182" s="3">
        <f t="shared" si="43"/>
        <v>6565</v>
      </c>
      <c r="P182" s="3" t="str">
        <f t="shared" si="44"/>
        <v>0</v>
      </c>
      <c r="Q182" s="3">
        <f t="shared" si="45"/>
        <v>5777.2</v>
      </c>
      <c r="R182" s="3" t="str">
        <f t="shared" si="46"/>
        <v>0</v>
      </c>
      <c r="S182" s="3">
        <f t="shared" si="47"/>
        <v>2031.82</v>
      </c>
      <c r="T182" s="3" t="str">
        <f t="shared" si="48"/>
        <v>0</v>
      </c>
      <c r="U182" s="3"/>
      <c r="V182" s="3"/>
      <c r="W182" s="3"/>
      <c r="X182" s="3"/>
      <c r="Y182" s="3"/>
      <c r="Z182" s="3"/>
    </row>
    <row r="183" spans="1:26" x14ac:dyDescent="0.25">
      <c r="A183" s="2">
        <v>46165</v>
      </c>
      <c r="B183" s="3" t="s">
        <v>209</v>
      </c>
      <c r="C183" s="169" t="s">
        <v>270</v>
      </c>
      <c r="D183" s="170">
        <v>342.37153280000001</v>
      </c>
      <c r="E183" s="173">
        <v>0.995</v>
      </c>
      <c r="F183" s="174">
        <f>+D183*E183</f>
        <v>340.65967513600003</v>
      </c>
      <c r="G183" s="211">
        <f>+H183/D183</f>
        <v>0</v>
      </c>
      <c r="H183" s="3"/>
      <c r="I183" s="158" t="str">
        <f t="shared" si="37"/>
        <v>0</v>
      </c>
      <c r="J183" s="3" t="str">
        <f t="shared" si="38"/>
        <v>0</v>
      </c>
      <c r="K183" s="3" t="str">
        <f t="shared" si="39"/>
        <v>0</v>
      </c>
      <c r="L183" s="3" t="str">
        <f t="shared" si="40"/>
        <v>0</v>
      </c>
      <c r="M183" s="3" t="str">
        <f t="shared" si="41"/>
        <v>0</v>
      </c>
      <c r="N183" s="3" t="str">
        <f t="shared" si="42"/>
        <v>0</v>
      </c>
      <c r="O183" s="3" t="str">
        <f t="shared" si="43"/>
        <v>0</v>
      </c>
      <c r="P183" s="3">
        <f t="shared" si="44"/>
        <v>342.37153280000001</v>
      </c>
      <c r="Q183" s="3" t="str">
        <f t="shared" si="45"/>
        <v>0</v>
      </c>
      <c r="R183" s="3">
        <f t="shared" si="46"/>
        <v>340.65967513600003</v>
      </c>
      <c r="S183" s="3" t="str">
        <f t="shared" si="47"/>
        <v>0</v>
      </c>
      <c r="T183" s="3">
        <f t="shared" si="48"/>
        <v>0</v>
      </c>
      <c r="U183" s="3"/>
      <c r="V183" s="3"/>
      <c r="W183" s="3"/>
      <c r="X183" s="3"/>
      <c r="Y183" s="3"/>
      <c r="Z183" s="3"/>
    </row>
    <row r="184" spans="1:26" x14ac:dyDescent="0.25">
      <c r="A184" s="2">
        <v>46165</v>
      </c>
      <c r="B184" s="3" t="s">
        <v>209</v>
      </c>
      <c r="C184" s="169" t="s">
        <v>266</v>
      </c>
      <c r="D184" s="170">
        <v>437.69831920874998</v>
      </c>
      <c r="E184" s="173">
        <v>0.995</v>
      </c>
      <c r="F184" s="174">
        <f>+D184*E184</f>
        <v>435.5098276127062</v>
      </c>
      <c r="G184" s="211">
        <f>+H184/D184</f>
        <v>0</v>
      </c>
      <c r="H184" s="3"/>
      <c r="I184" s="158" t="str">
        <f t="shared" si="37"/>
        <v>0</v>
      </c>
      <c r="J184" s="3" t="str">
        <f t="shared" si="38"/>
        <v>0</v>
      </c>
      <c r="K184" s="3" t="str">
        <f t="shared" si="39"/>
        <v>0</v>
      </c>
      <c r="L184" s="3" t="str">
        <f t="shared" si="40"/>
        <v>0</v>
      </c>
      <c r="M184" s="3" t="str">
        <f t="shared" si="41"/>
        <v>0</v>
      </c>
      <c r="N184" s="3" t="str">
        <f t="shared" si="42"/>
        <v>0</v>
      </c>
      <c r="O184" s="3" t="str">
        <f t="shared" si="43"/>
        <v>0</v>
      </c>
      <c r="P184" s="3">
        <f t="shared" si="44"/>
        <v>437.69831920874998</v>
      </c>
      <c r="Q184" s="3" t="str">
        <f t="shared" si="45"/>
        <v>0</v>
      </c>
      <c r="R184" s="3">
        <f t="shared" si="46"/>
        <v>435.5098276127062</v>
      </c>
      <c r="S184" s="3" t="str">
        <f t="shared" si="47"/>
        <v>0</v>
      </c>
      <c r="T184" s="3">
        <f t="shared" si="48"/>
        <v>0</v>
      </c>
      <c r="U184" s="3"/>
      <c r="V184" s="3"/>
      <c r="W184" s="3"/>
      <c r="X184" s="3"/>
      <c r="Y184" s="3"/>
      <c r="Z184" s="3"/>
    </row>
    <row r="185" spans="1:26" x14ac:dyDescent="0.25">
      <c r="A185" s="2">
        <v>46167</v>
      </c>
      <c r="B185" s="3" t="s">
        <v>169</v>
      </c>
      <c r="C185" s="169" t="s">
        <v>270</v>
      </c>
      <c r="D185" s="170">
        <v>474.24247199999996</v>
      </c>
      <c r="E185" s="171">
        <v>0.75</v>
      </c>
      <c r="F185" s="172">
        <f>+D185*E185</f>
        <v>355.68185399999999</v>
      </c>
      <c r="G185" s="211">
        <f>+H185/D185</f>
        <v>0</v>
      </c>
      <c r="H185" s="3"/>
      <c r="I185" s="158">
        <f t="shared" si="37"/>
        <v>474.24247199999996</v>
      </c>
      <c r="J185" s="3" t="str">
        <f t="shared" si="38"/>
        <v>0</v>
      </c>
      <c r="K185" s="3">
        <f t="shared" si="39"/>
        <v>355.68185399999999</v>
      </c>
      <c r="L185" s="3" t="str">
        <f t="shared" si="40"/>
        <v>0</v>
      </c>
      <c r="M185" s="3">
        <f t="shared" si="41"/>
        <v>0</v>
      </c>
      <c r="N185" s="3" t="str">
        <f t="shared" si="42"/>
        <v>0</v>
      </c>
      <c r="O185" s="3" t="str">
        <f t="shared" si="43"/>
        <v>0</v>
      </c>
      <c r="P185" s="3" t="str">
        <f t="shared" si="44"/>
        <v>0</v>
      </c>
      <c r="Q185" s="3" t="str">
        <f t="shared" si="45"/>
        <v>0</v>
      </c>
      <c r="R185" s="3" t="str">
        <f t="shared" si="46"/>
        <v>0</v>
      </c>
      <c r="S185" s="3" t="str">
        <f t="shared" si="47"/>
        <v>0</v>
      </c>
      <c r="T185" s="3" t="str">
        <f t="shared" si="48"/>
        <v>0</v>
      </c>
      <c r="U185" s="3"/>
      <c r="V185" s="3"/>
      <c r="W185" s="3"/>
      <c r="X185" s="3"/>
      <c r="Y185" s="3"/>
      <c r="Z185" s="3"/>
    </row>
    <row r="186" spans="1:26" x14ac:dyDescent="0.25">
      <c r="A186" s="2">
        <v>46167</v>
      </c>
      <c r="B186" s="3" t="s">
        <v>170</v>
      </c>
      <c r="C186" s="169" t="s">
        <v>260</v>
      </c>
      <c r="D186" s="170">
        <v>265</v>
      </c>
      <c r="E186" s="173">
        <v>0.88</v>
      </c>
      <c r="F186" s="174">
        <f>D186*E186</f>
        <v>233.2</v>
      </c>
      <c r="G186" s="6">
        <f>H186/D186</f>
        <v>13.671396226415093</v>
      </c>
      <c r="H186" s="176">
        <f>1035.12*3.5</f>
        <v>3622.9199999999996</v>
      </c>
      <c r="I186" s="158" t="str">
        <f t="shared" si="37"/>
        <v>0</v>
      </c>
      <c r="J186" s="3" t="str">
        <f t="shared" si="38"/>
        <v>0</v>
      </c>
      <c r="K186" s="3" t="str">
        <f t="shared" si="39"/>
        <v>0</v>
      </c>
      <c r="L186" s="3" t="str">
        <f t="shared" si="40"/>
        <v>0</v>
      </c>
      <c r="M186" s="3" t="str">
        <f t="shared" si="41"/>
        <v>0</v>
      </c>
      <c r="N186" s="3" t="str">
        <f t="shared" si="42"/>
        <v>0</v>
      </c>
      <c r="O186" s="3">
        <f t="shared" si="43"/>
        <v>265</v>
      </c>
      <c r="P186" s="3" t="str">
        <f t="shared" si="44"/>
        <v>0</v>
      </c>
      <c r="Q186" s="3">
        <f t="shared" si="45"/>
        <v>233.2</v>
      </c>
      <c r="R186" s="3" t="str">
        <f t="shared" si="46"/>
        <v>0</v>
      </c>
      <c r="S186" s="3">
        <f t="shared" si="47"/>
        <v>3622.9199999999996</v>
      </c>
      <c r="T186" s="3" t="str">
        <f t="shared" si="48"/>
        <v>0</v>
      </c>
      <c r="U186" s="3"/>
      <c r="V186" s="3"/>
      <c r="W186" s="3"/>
      <c r="X186" s="3"/>
      <c r="Y186" s="3"/>
      <c r="Z186" s="3"/>
    </row>
    <row r="187" spans="1:26" x14ac:dyDescent="0.25">
      <c r="A187" s="2">
        <v>46167</v>
      </c>
      <c r="B187" s="3" t="s">
        <v>209</v>
      </c>
      <c r="C187" s="169" t="s">
        <v>270</v>
      </c>
      <c r="D187" s="170">
        <v>342.37153280000001</v>
      </c>
      <c r="E187" s="173">
        <v>0.995</v>
      </c>
      <c r="F187" s="174">
        <f>+D187*E187</f>
        <v>340.65967513600003</v>
      </c>
      <c r="G187" s="211">
        <f t="shared" ref="G187:G214" si="54">+H187/D187</f>
        <v>0</v>
      </c>
      <c r="H187" s="3"/>
      <c r="I187" s="158" t="str">
        <f t="shared" si="37"/>
        <v>0</v>
      </c>
      <c r="J187" s="3" t="str">
        <f t="shared" si="38"/>
        <v>0</v>
      </c>
      <c r="K187" s="3" t="str">
        <f t="shared" si="39"/>
        <v>0</v>
      </c>
      <c r="L187" s="3" t="str">
        <f t="shared" si="40"/>
        <v>0</v>
      </c>
      <c r="M187" s="3" t="str">
        <f t="shared" si="41"/>
        <v>0</v>
      </c>
      <c r="N187" s="3" t="str">
        <f t="shared" si="42"/>
        <v>0</v>
      </c>
      <c r="O187" s="3" t="str">
        <f t="shared" si="43"/>
        <v>0</v>
      </c>
      <c r="P187" s="3">
        <f t="shared" si="44"/>
        <v>342.37153280000001</v>
      </c>
      <c r="Q187" s="3" t="str">
        <f t="shared" si="45"/>
        <v>0</v>
      </c>
      <c r="R187" s="3">
        <f t="shared" si="46"/>
        <v>340.65967513600003</v>
      </c>
      <c r="S187" s="3" t="str">
        <f t="shared" si="47"/>
        <v>0</v>
      </c>
      <c r="T187" s="3">
        <f t="shared" si="48"/>
        <v>0</v>
      </c>
      <c r="U187" s="3"/>
      <c r="V187" s="3"/>
      <c r="W187" s="3"/>
      <c r="X187" s="3"/>
      <c r="Y187" s="3"/>
      <c r="Z187" s="3"/>
    </row>
    <row r="188" spans="1:26" x14ac:dyDescent="0.25">
      <c r="A188" s="2">
        <v>46167</v>
      </c>
      <c r="B188" s="3" t="s">
        <v>209</v>
      </c>
      <c r="C188" s="169" t="s">
        <v>266</v>
      </c>
      <c r="D188" s="170">
        <v>437.69831920874998</v>
      </c>
      <c r="E188" s="173">
        <v>0.995</v>
      </c>
      <c r="F188" s="174">
        <f>+D188*E188</f>
        <v>435.5098276127062</v>
      </c>
      <c r="G188" s="211">
        <f t="shared" si="54"/>
        <v>0</v>
      </c>
      <c r="H188" s="3"/>
      <c r="I188" s="158" t="str">
        <f t="shared" si="37"/>
        <v>0</v>
      </c>
      <c r="J188" s="3" t="str">
        <f t="shared" si="38"/>
        <v>0</v>
      </c>
      <c r="K188" s="3" t="str">
        <f t="shared" si="39"/>
        <v>0</v>
      </c>
      <c r="L188" s="3" t="str">
        <f t="shared" si="40"/>
        <v>0</v>
      </c>
      <c r="M188" s="3" t="str">
        <f t="shared" si="41"/>
        <v>0</v>
      </c>
      <c r="N188" s="3" t="str">
        <f t="shared" si="42"/>
        <v>0</v>
      </c>
      <c r="O188" s="3" t="str">
        <f t="shared" si="43"/>
        <v>0</v>
      </c>
      <c r="P188" s="3">
        <f t="shared" si="44"/>
        <v>437.69831920874998</v>
      </c>
      <c r="Q188" s="3" t="str">
        <f t="shared" si="45"/>
        <v>0</v>
      </c>
      <c r="R188" s="3">
        <f t="shared" si="46"/>
        <v>435.5098276127062</v>
      </c>
      <c r="S188" s="3" t="str">
        <f t="shared" si="47"/>
        <v>0</v>
      </c>
      <c r="T188" s="3">
        <f t="shared" si="48"/>
        <v>0</v>
      </c>
      <c r="U188" s="3"/>
      <c r="V188" s="3"/>
      <c r="W188" s="3"/>
      <c r="X188" s="3"/>
      <c r="Y188" s="3"/>
      <c r="Z188" s="3"/>
    </row>
    <row r="189" spans="1:26" x14ac:dyDescent="0.25">
      <c r="A189" s="2">
        <v>46167</v>
      </c>
      <c r="B189" s="3" t="s">
        <v>211</v>
      </c>
      <c r="C189" s="169" t="s">
        <v>266</v>
      </c>
      <c r="D189" s="4"/>
      <c r="E189" s="3"/>
      <c r="F189" s="6">
        <f>+D189*E189</f>
        <v>0</v>
      </c>
      <c r="G189" s="211" t="e">
        <f t="shared" si="54"/>
        <v>#DIV/0!</v>
      </c>
      <c r="H189" s="3"/>
      <c r="I189" s="3" t="str">
        <f t="shared" si="37"/>
        <v>0</v>
      </c>
      <c r="J189" s="3" t="str">
        <f t="shared" si="38"/>
        <v>0</v>
      </c>
      <c r="K189" s="3" t="str">
        <f t="shared" si="39"/>
        <v>0</v>
      </c>
      <c r="L189" s="3" t="str">
        <f t="shared" si="40"/>
        <v>0</v>
      </c>
      <c r="M189" s="3" t="str">
        <f t="shared" si="41"/>
        <v>0</v>
      </c>
      <c r="N189" s="3" t="str">
        <f t="shared" si="42"/>
        <v>0</v>
      </c>
      <c r="O189" s="3" t="str">
        <f t="shared" si="43"/>
        <v>0</v>
      </c>
      <c r="P189" s="3" t="str">
        <f t="shared" si="44"/>
        <v>0</v>
      </c>
      <c r="Q189" s="3" t="str">
        <f t="shared" si="45"/>
        <v>0</v>
      </c>
      <c r="R189" s="3" t="str">
        <f t="shared" si="46"/>
        <v>0</v>
      </c>
      <c r="S189" s="3" t="str">
        <f t="shared" si="47"/>
        <v>0</v>
      </c>
      <c r="T189" s="3" t="str">
        <f t="shared" si="48"/>
        <v>0</v>
      </c>
      <c r="U189" s="3"/>
      <c r="V189" s="3"/>
      <c r="W189" s="3">
        <v>5650</v>
      </c>
      <c r="X189" s="3"/>
      <c r="Y189" s="3"/>
      <c r="Z189" s="3"/>
    </row>
    <row r="190" spans="1:26" x14ac:dyDescent="0.25">
      <c r="A190" s="2">
        <v>46167</v>
      </c>
      <c r="B190" s="3" t="s">
        <v>171</v>
      </c>
      <c r="C190" s="169" t="s">
        <v>270</v>
      </c>
      <c r="D190" s="4"/>
      <c r="E190" s="3"/>
      <c r="F190" s="6">
        <f>+D190*E190</f>
        <v>0</v>
      </c>
      <c r="G190" s="211" t="e">
        <f t="shared" si="54"/>
        <v>#DIV/0!</v>
      </c>
      <c r="H190" s="3"/>
      <c r="I190" s="3" t="str">
        <f t="shared" si="37"/>
        <v>0</v>
      </c>
      <c r="J190" s="3" t="str">
        <f t="shared" si="38"/>
        <v>0</v>
      </c>
      <c r="K190" s="3" t="str">
        <f t="shared" si="39"/>
        <v>0</v>
      </c>
      <c r="L190" s="3" t="str">
        <f t="shared" si="40"/>
        <v>0</v>
      </c>
      <c r="M190" s="3" t="str">
        <f t="shared" si="41"/>
        <v>0</v>
      </c>
      <c r="N190" s="3" t="str">
        <f t="shared" si="42"/>
        <v>0</v>
      </c>
      <c r="O190" s="3" t="str">
        <f t="shared" si="43"/>
        <v>0</v>
      </c>
      <c r="P190" s="3" t="str">
        <f t="shared" si="44"/>
        <v>0</v>
      </c>
      <c r="Q190" s="3" t="str">
        <f t="shared" si="45"/>
        <v>0</v>
      </c>
      <c r="R190" s="3" t="str">
        <f t="shared" si="46"/>
        <v>0</v>
      </c>
      <c r="S190" s="3" t="str">
        <f t="shared" si="47"/>
        <v>0</v>
      </c>
      <c r="T190" s="3" t="str">
        <f t="shared" si="48"/>
        <v>0</v>
      </c>
      <c r="U190" s="3">
        <v>500</v>
      </c>
      <c r="V190" s="3"/>
      <c r="W190" s="3"/>
      <c r="X190" s="3"/>
      <c r="Y190" s="3"/>
      <c r="Z190" s="3"/>
    </row>
    <row r="191" spans="1:26" x14ac:dyDescent="0.25">
      <c r="A191" s="2">
        <v>46114</v>
      </c>
      <c r="B191" s="3" t="s">
        <v>169</v>
      </c>
      <c r="C191" s="3" t="s">
        <v>265</v>
      </c>
      <c r="D191" s="4">
        <v>245</v>
      </c>
      <c r="E191" s="5">
        <v>0.88</v>
      </c>
      <c r="F191" s="6">
        <f>+D191*E191</f>
        <v>215.6</v>
      </c>
      <c r="G191" s="211">
        <f t="shared" si="54"/>
        <v>9.3355102040816327</v>
      </c>
      <c r="H191" s="7">
        <v>2287.1999999999998</v>
      </c>
      <c r="I191" s="3">
        <f t="shared" si="37"/>
        <v>245</v>
      </c>
      <c r="J191" s="3" t="str">
        <f t="shared" si="38"/>
        <v>0</v>
      </c>
      <c r="K191" s="3">
        <f t="shared" si="39"/>
        <v>215.6</v>
      </c>
      <c r="L191" s="3" t="str">
        <f t="shared" si="40"/>
        <v>0</v>
      </c>
      <c r="M191" s="3">
        <f t="shared" si="41"/>
        <v>2287.1999999999998</v>
      </c>
      <c r="N191" s="3" t="str">
        <f t="shared" si="42"/>
        <v>0</v>
      </c>
      <c r="O191" s="3" t="str">
        <f t="shared" si="43"/>
        <v>0</v>
      </c>
      <c r="P191" s="3" t="str">
        <f t="shared" si="44"/>
        <v>0</v>
      </c>
      <c r="Q191" s="3" t="str">
        <f t="shared" si="45"/>
        <v>0</v>
      </c>
      <c r="R191" s="3" t="str">
        <f t="shared" si="46"/>
        <v>0</v>
      </c>
      <c r="S191" s="3" t="str">
        <f t="shared" si="47"/>
        <v>0</v>
      </c>
      <c r="T191" s="3" t="str">
        <f t="shared" si="48"/>
        <v>0</v>
      </c>
      <c r="U191" s="3"/>
      <c r="V191" s="3"/>
      <c r="W191" s="3"/>
      <c r="X191" s="3"/>
      <c r="Y191" s="3"/>
      <c r="Z191" s="3"/>
    </row>
    <row r="192" spans="1:26" x14ac:dyDescent="0.25">
      <c r="A192" s="2">
        <v>46114</v>
      </c>
      <c r="B192" s="3" t="s">
        <v>170</v>
      </c>
      <c r="C192" s="169" t="s">
        <v>257</v>
      </c>
      <c r="D192" s="4">
        <v>302.07642800000002</v>
      </c>
      <c r="E192" s="209">
        <v>0.995</v>
      </c>
      <c r="F192" s="184">
        <f>D192*E192</f>
        <v>300.56604586000003</v>
      </c>
      <c r="G192" s="211">
        <f t="shared" si="54"/>
        <v>0</v>
      </c>
      <c r="H192" s="3"/>
      <c r="I192" s="3" t="str">
        <f t="shared" si="37"/>
        <v>0</v>
      </c>
      <c r="J192" s="3" t="str">
        <f t="shared" si="38"/>
        <v>0</v>
      </c>
      <c r="K192" s="3" t="str">
        <f t="shared" si="39"/>
        <v>0</v>
      </c>
      <c r="L192" s="3" t="str">
        <f t="shared" si="40"/>
        <v>0</v>
      </c>
      <c r="M192" s="3" t="str">
        <f t="shared" si="41"/>
        <v>0</v>
      </c>
      <c r="N192" s="3" t="str">
        <f t="shared" si="42"/>
        <v>0</v>
      </c>
      <c r="O192" s="3">
        <f t="shared" si="43"/>
        <v>302.07642800000002</v>
      </c>
      <c r="P192" s="3" t="str">
        <f t="shared" si="44"/>
        <v>0</v>
      </c>
      <c r="Q192" s="3">
        <f t="shared" si="45"/>
        <v>300.56604586000003</v>
      </c>
      <c r="R192" s="3" t="str">
        <f t="shared" si="46"/>
        <v>0</v>
      </c>
      <c r="S192" s="3">
        <f t="shared" si="47"/>
        <v>0</v>
      </c>
      <c r="T192" s="3" t="str">
        <f t="shared" si="48"/>
        <v>0</v>
      </c>
      <c r="U192" s="3"/>
      <c r="V192" s="3"/>
      <c r="W192" s="3"/>
      <c r="X192" s="3"/>
      <c r="Y192" s="3">
        <v>11300.2</v>
      </c>
      <c r="Z192" s="3">
        <v>761.55</v>
      </c>
    </row>
    <row r="193" spans="1:26" x14ac:dyDescent="0.25">
      <c r="A193" s="2">
        <v>46114</v>
      </c>
      <c r="B193" s="3" t="s">
        <v>170</v>
      </c>
      <c r="C193" s="3" t="s">
        <v>265</v>
      </c>
      <c r="D193" s="4">
        <v>355</v>
      </c>
      <c r="E193" s="209">
        <v>0.995</v>
      </c>
      <c r="F193" s="184">
        <f>D193*E193</f>
        <v>353.22500000000002</v>
      </c>
      <c r="G193" s="211">
        <f t="shared" si="54"/>
        <v>0</v>
      </c>
      <c r="H193" s="3"/>
      <c r="I193" s="3" t="str">
        <f t="shared" si="37"/>
        <v>0</v>
      </c>
      <c r="J193" s="3" t="str">
        <f t="shared" si="38"/>
        <v>0</v>
      </c>
      <c r="K193" s="3" t="str">
        <f t="shared" si="39"/>
        <v>0</v>
      </c>
      <c r="L193" s="3" t="str">
        <f t="shared" si="40"/>
        <v>0</v>
      </c>
      <c r="M193" s="3" t="str">
        <f t="shared" si="41"/>
        <v>0</v>
      </c>
      <c r="N193" s="3" t="str">
        <f t="shared" si="42"/>
        <v>0</v>
      </c>
      <c r="O193" s="3">
        <f t="shared" si="43"/>
        <v>355</v>
      </c>
      <c r="P193" s="3" t="str">
        <f t="shared" si="44"/>
        <v>0</v>
      </c>
      <c r="Q193" s="3">
        <f t="shared" si="45"/>
        <v>353.22500000000002</v>
      </c>
      <c r="R193" s="3" t="str">
        <f t="shared" si="46"/>
        <v>0</v>
      </c>
      <c r="S193" s="3">
        <f t="shared" si="47"/>
        <v>0</v>
      </c>
      <c r="T193" s="3" t="str">
        <f t="shared" si="48"/>
        <v>0</v>
      </c>
      <c r="U193" s="3"/>
      <c r="V193" s="3"/>
      <c r="W193" s="3"/>
      <c r="X193" s="3"/>
      <c r="Y193" s="3">
        <v>1.56</v>
      </c>
      <c r="Z193" s="3">
        <v>45.58</v>
      </c>
    </row>
    <row r="194" spans="1:26" x14ac:dyDescent="0.25">
      <c r="A194" s="2">
        <v>46114</v>
      </c>
      <c r="B194" s="3" t="s">
        <v>171</v>
      </c>
      <c r="C194" s="169" t="s">
        <v>279</v>
      </c>
      <c r="D194" s="4"/>
      <c r="E194" s="3"/>
      <c r="F194" s="6">
        <f t="shared" ref="F194:F204" si="55">+D194*E194</f>
        <v>0</v>
      </c>
      <c r="G194" s="211" t="e">
        <f t="shared" si="54"/>
        <v>#DIV/0!</v>
      </c>
      <c r="H194" s="3"/>
      <c r="I194" s="3" t="str">
        <f t="shared" ref="I194:I257" si="56">IF(B194="SALES",D194,"0")</f>
        <v>0</v>
      </c>
      <c r="J194" s="3" t="str">
        <f t="shared" ref="J194:J257" si="57">IF(B194="SALES RETURN",D194,"0")</f>
        <v>0</v>
      </c>
      <c r="K194" s="3" t="str">
        <f t="shared" ref="K194:K257" si="58">IF(B194="SALES",F194,"0")</f>
        <v>0</v>
      </c>
      <c r="L194" s="3" t="str">
        <f t="shared" ref="L194:L257" si="59">IF(B194="SALES RETURN",F194,"0")</f>
        <v>0</v>
      </c>
      <c r="M194" s="3" t="str">
        <f t="shared" ref="M194:M257" si="60">IF(B194="SALES",H194,"0")</f>
        <v>0</v>
      </c>
      <c r="N194" s="3" t="str">
        <f t="shared" ref="N194:N257" si="61">IF(B194="SALES RETURN",H194,"0")</f>
        <v>0</v>
      </c>
      <c r="O194" s="3" t="str">
        <f t="shared" ref="O194:O257" si="62">IF(B194="PURCHASE",D194,"0")</f>
        <v>0</v>
      </c>
      <c r="P194" s="3" t="str">
        <f t="shared" ref="P194:P257" si="63">IF(B194="METAL PAYMENT",D194,"0")</f>
        <v>0</v>
      </c>
      <c r="Q194" s="3" t="str">
        <f t="shared" ref="Q194:Q257" si="64">IF(B194="PURCHASE",F194,"0")</f>
        <v>0</v>
      </c>
      <c r="R194" s="3" t="str">
        <f t="shared" ref="R194:R257" si="65">IF(B194="METAL PAYMENT",F194,"0")</f>
        <v>0</v>
      </c>
      <c r="S194" s="3" t="str">
        <f t="shared" ref="S194:S257" si="66">IF(B194="PURCHASE",H194,"0")</f>
        <v>0</v>
      </c>
      <c r="T194" s="3" t="str">
        <f t="shared" ref="T194:T257" si="67">IF(B194="METAL PAYMENT",H194,"0")</f>
        <v>0</v>
      </c>
      <c r="U194" s="3">
        <v>2285</v>
      </c>
      <c r="V194" s="3"/>
      <c r="W194" s="3"/>
      <c r="X194" s="3"/>
      <c r="Y194" s="3"/>
      <c r="Z194" s="3"/>
    </row>
    <row r="195" spans="1:26" x14ac:dyDescent="0.25">
      <c r="A195" s="2">
        <v>46119</v>
      </c>
      <c r="B195" s="3" t="s">
        <v>169</v>
      </c>
      <c r="C195" s="169" t="s">
        <v>255</v>
      </c>
      <c r="D195" s="4">
        <v>570.59199999999998</v>
      </c>
      <c r="E195" s="5">
        <v>0.88</v>
      </c>
      <c r="F195" s="6">
        <f t="shared" si="55"/>
        <v>502.12095999999997</v>
      </c>
      <c r="G195" s="211">
        <f t="shared" si="54"/>
        <v>9.2756295216196527</v>
      </c>
      <c r="H195" s="7">
        <v>5292.6</v>
      </c>
      <c r="I195" s="3">
        <f t="shared" si="56"/>
        <v>570.59199999999998</v>
      </c>
      <c r="J195" s="3" t="str">
        <f t="shared" si="57"/>
        <v>0</v>
      </c>
      <c r="K195" s="3">
        <f t="shared" si="58"/>
        <v>502.12095999999997</v>
      </c>
      <c r="L195" s="3" t="str">
        <f t="shared" si="59"/>
        <v>0</v>
      </c>
      <c r="M195" s="3">
        <f t="shared" si="60"/>
        <v>5292.6</v>
      </c>
      <c r="N195" s="3" t="str">
        <f t="shared" si="61"/>
        <v>0</v>
      </c>
      <c r="O195" s="3" t="str">
        <f t="shared" si="62"/>
        <v>0</v>
      </c>
      <c r="P195" s="3" t="str">
        <f t="shared" si="63"/>
        <v>0</v>
      </c>
      <c r="Q195" s="3" t="str">
        <f t="shared" si="64"/>
        <v>0</v>
      </c>
      <c r="R195" s="3" t="str">
        <f t="shared" si="65"/>
        <v>0</v>
      </c>
      <c r="S195" s="3" t="str">
        <f t="shared" si="66"/>
        <v>0</v>
      </c>
      <c r="T195" s="3" t="str">
        <f t="shared" si="67"/>
        <v>0</v>
      </c>
      <c r="U195" s="3"/>
      <c r="V195" s="3"/>
      <c r="W195" s="3"/>
      <c r="X195" s="3"/>
      <c r="Y195" s="3">
        <v>397.85</v>
      </c>
      <c r="Z195" s="3">
        <v>0.05</v>
      </c>
    </row>
    <row r="196" spans="1:26" x14ac:dyDescent="0.25">
      <c r="A196" s="2">
        <v>46119</v>
      </c>
      <c r="B196" s="3" t="s">
        <v>170</v>
      </c>
      <c r="C196" s="169" t="s">
        <v>255</v>
      </c>
      <c r="D196" s="4">
        <v>570.58275000000003</v>
      </c>
      <c r="E196" s="209">
        <v>0.995</v>
      </c>
      <c r="F196" s="6">
        <f t="shared" si="55"/>
        <v>567.72983625000006</v>
      </c>
      <c r="G196" s="211">
        <f t="shared" si="54"/>
        <v>0</v>
      </c>
      <c r="H196" s="3"/>
      <c r="I196" s="3" t="str">
        <f t="shared" si="56"/>
        <v>0</v>
      </c>
      <c r="J196" s="3" t="str">
        <f t="shared" si="57"/>
        <v>0</v>
      </c>
      <c r="K196" s="3" t="str">
        <f t="shared" si="58"/>
        <v>0</v>
      </c>
      <c r="L196" s="3" t="str">
        <f t="shared" si="59"/>
        <v>0</v>
      </c>
      <c r="M196" s="3" t="str">
        <f t="shared" si="60"/>
        <v>0</v>
      </c>
      <c r="N196" s="3" t="str">
        <f t="shared" si="61"/>
        <v>0</v>
      </c>
      <c r="O196" s="3">
        <f t="shared" si="62"/>
        <v>570.58275000000003</v>
      </c>
      <c r="P196" s="3" t="str">
        <f t="shared" si="63"/>
        <v>0</v>
      </c>
      <c r="Q196" s="3">
        <f t="shared" si="64"/>
        <v>567.72983625000006</v>
      </c>
      <c r="R196" s="3" t="str">
        <f t="shared" si="65"/>
        <v>0</v>
      </c>
      <c r="S196" s="3">
        <f t="shared" si="66"/>
        <v>0</v>
      </c>
      <c r="T196" s="3" t="str">
        <f t="shared" si="67"/>
        <v>0</v>
      </c>
      <c r="U196" s="3"/>
      <c r="V196" s="3"/>
      <c r="W196" s="3"/>
      <c r="X196" s="3"/>
      <c r="Y196" s="3"/>
      <c r="Z196" s="3"/>
    </row>
    <row r="197" spans="1:26" x14ac:dyDescent="0.25">
      <c r="A197" s="2">
        <v>46119</v>
      </c>
      <c r="B197" s="3" t="s">
        <v>171</v>
      </c>
      <c r="C197" s="169" t="s">
        <v>255</v>
      </c>
      <c r="D197" s="4"/>
      <c r="E197" s="3"/>
      <c r="F197" s="6">
        <f t="shared" si="55"/>
        <v>0</v>
      </c>
      <c r="G197" s="211" t="e">
        <f t="shared" si="54"/>
        <v>#DIV/0!</v>
      </c>
      <c r="H197" s="3"/>
      <c r="I197" s="3" t="str">
        <f t="shared" si="56"/>
        <v>0</v>
      </c>
      <c r="J197" s="3" t="str">
        <f t="shared" si="57"/>
        <v>0</v>
      </c>
      <c r="K197" s="3" t="str">
        <f t="shared" si="58"/>
        <v>0</v>
      </c>
      <c r="L197" s="3" t="str">
        <f t="shared" si="59"/>
        <v>0</v>
      </c>
      <c r="M197" s="3" t="str">
        <f t="shared" si="60"/>
        <v>0</v>
      </c>
      <c r="N197" s="3" t="str">
        <f t="shared" si="61"/>
        <v>0</v>
      </c>
      <c r="O197" s="3" t="str">
        <f t="shared" si="62"/>
        <v>0</v>
      </c>
      <c r="P197" s="3" t="str">
        <f t="shared" si="63"/>
        <v>0</v>
      </c>
      <c r="Q197" s="3" t="str">
        <f t="shared" si="64"/>
        <v>0</v>
      </c>
      <c r="R197" s="3" t="str">
        <f t="shared" si="65"/>
        <v>0</v>
      </c>
      <c r="S197" s="3" t="str">
        <f t="shared" si="66"/>
        <v>0</v>
      </c>
      <c r="T197" s="3" t="str">
        <f t="shared" si="67"/>
        <v>0</v>
      </c>
      <c r="U197" s="3">
        <v>5290</v>
      </c>
      <c r="V197" s="3"/>
      <c r="W197" s="3"/>
      <c r="X197" s="3"/>
      <c r="Y197" s="3"/>
      <c r="Z197" s="3"/>
    </row>
    <row r="198" spans="1:26" x14ac:dyDescent="0.25">
      <c r="A198" s="2">
        <v>46120</v>
      </c>
      <c r="B198" s="3" t="s">
        <v>169</v>
      </c>
      <c r="C198" s="3" t="s">
        <v>280</v>
      </c>
      <c r="D198" s="4">
        <v>1179.8709999999999</v>
      </c>
      <c r="E198" s="5">
        <v>0.88</v>
      </c>
      <c r="F198" s="6">
        <f t="shared" si="55"/>
        <v>1038.28648</v>
      </c>
      <c r="G198" s="211">
        <f t="shared" si="54"/>
        <v>3.4155259346148865</v>
      </c>
      <c r="H198" s="7">
        <v>4029.88</v>
      </c>
      <c r="I198" s="3">
        <f t="shared" si="56"/>
        <v>1179.8709999999999</v>
      </c>
      <c r="J198" s="3" t="str">
        <f t="shared" si="57"/>
        <v>0</v>
      </c>
      <c r="K198" s="3">
        <f t="shared" si="58"/>
        <v>1038.28648</v>
      </c>
      <c r="L198" s="3" t="str">
        <f t="shared" si="59"/>
        <v>0</v>
      </c>
      <c r="M198" s="3">
        <f t="shared" si="60"/>
        <v>4029.88</v>
      </c>
      <c r="N198" s="3" t="str">
        <f t="shared" si="61"/>
        <v>0</v>
      </c>
      <c r="O198" s="3" t="str">
        <f t="shared" si="62"/>
        <v>0</v>
      </c>
      <c r="P198" s="3" t="str">
        <f t="shared" si="63"/>
        <v>0</v>
      </c>
      <c r="Q198" s="3" t="str">
        <f t="shared" si="64"/>
        <v>0</v>
      </c>
      <c r="R198" s="3" t="str">
        <f t="shared" si="65"/>
        <v>0</v>
      </c>
      <c r="S198" s="3" t="str">
        <f t="shared" si="66"/>
        <v>0</v>
      </c>
      <c r="T198" s="3" t="str">
        <f t="shared" si="67"/>
        <v>0</v>
      </c>
      <c r="U198" s="3"/>
      <c r="V198" s="3"/>
      <c r="W198" s="3"/>
      <c r="X198" s="3"/>
      <c r="Y198" s="3">
        <v>3.4</v>
      </c>
      <c r="Z198" s="3">
        <v>0.05</v>
      </c>
    </row>
    <row r="199" spans="1:26" x14ac:dyDescent="0.25">
      <c r="A199" s="2">
        <v>46120</v>
      </c>
      <c r="B199" s="3" t="s">
        <v>170</v>
      </c>
      <c r="C199" s="3" t="s">
        <v>280</v>
      </c>
      <c r="D199" s="4">
        <v>605.96495000000004</v>
      </c>
      <c r="E199" s="209">
        <v>0.995</v>
      </c>
      <c r="F199" s="6">
        <f t="shared" si="55"/>
        <v>602.93512525000006</v>
      </c>
      <c r="G199" s="211">
        <f t="shared" si="54"/>
        <v>0</v>
      </c>
      <c r="H199" s="3"/>
      <c r="I199" s="3" t="str">
        <f t="shared" si="56"/>
        <v>0</v>
      </c>
      <c r="J199" s="3" t="str">
        <f t="shared" si="57"/>
        <v>0</v>
      </c>
      <c r="K199" s="3" t="str">
        <f t="shared" si="58"/>
        <v>0</v>
      </c>
      <c r="L199" s="3" t="str">
        <f t="shared" si="59"/>
        <v>0</v>
      </c>
      <c r="M199" s="3" t="str">
        <f t="shared" si="60"/>
        <v>0</v>
      </c>
      <c r="N199" s="3" t="str">
        <f t="shared" si="61"/>
        <v>0</v>
      </c>
      <c r="O199" s="3">
        <f t="shared" si="62"/>
        <v>605.96495000000004</v>
      </c>
      <c r="P199" s="3" t="str">
        <f t="shared" si="63"/>
        <v>0</v>
      </c>
      <c r="Q199" s="3">
        <f t="shared" si="64"/>
        <v>602.93512525000006</v>
      </c>
      <c r="R199" s="3" t="str">
        <f t="shared" si="65"/>
        <v>0</v>
      </c>
      <c r="S199" s="3">
        <f t="shared" si="66"/>
        <v>0</v>
      </c>
      <c r="T199" s="3" t="str">
        <f t="shared" si="67"/>
        <v>0</v>
      </c>
      <c r="U199" s="3"/>
      <c r="V199" s="3"/>
      <c r="W199" s="3"/>
      <c r="X199" s="3"/>
      <c r="Y199" s="3"/>
      <c r="Z199" s="3"/>
    </row>
    <row r="200" spans="1:26" x14ac:dyDescent="0.25">
      <c r="A200" s="2">
        <v>46120</v>
      </c>
      <c r="B200" s="3" t="s">
        <v>171</v>
      </c>
      <c r="C200" s="3" t="s">
        <v>280</v>
      </c>
      <c r="D200" s="4"/>
      <c r="E200" s="3"/>
      <c r="F200" s="6">
        <f t="shared" si="55"/>
        <v>0</v>
      </c>
      <c r="G200" s="211" t="e">
        <f t="shared" si="54"/>
        <v>#DIV/0!</v>
      </c>
      <c r="H200" s="3"/>
      <c r="I200" s="3" t="str">
        <f t="shared" si="56"/>
        <v>0</v>
      </c>
      <c r="J200" s="3" t="str">
        <f t="shared" si="57"/>
        <v>0</v>
      </c>
      <c r="K200" s="3" t="str">
        <f t="shared" si="58"/>
        <v>0</v>
      </c>
      <c r="L200" s="3" t="str">
        <f t="shared" si="59"/>
        <v>0</v>
      </c>
      <c r="M200" s="3" t="str">
        <f t="shared" si="60"/>
        <v>0</v>
      </c>
      <c r="N200" s="3" t="str">
        <f t="shared" si="61"/>
        <v>0</v>
      </c>
      <c r="O200" s="3" t="str">
        <f t="shared" si="62"/>
        <v>0</v>
      </c>
      <c r="P200" s="3" t="str">
        <f t="shared" si="63"/>
        <v>0</v>
      </c>
      <c r="Q200" s="3" t="str">
        <f t="shared" si="64"/>
        <v>0</v>
      </c>
      <c r="R200" s="3" t="str">
        <f t="shared" si="65"/>
        <v>0</v>
      </c>
      <c r="S200" s="3" t="str">
        <f t="shared" si="66"/>
        <v>0</v>
      </c>
      <c r="T200" s="3" t="str">
        <f t="shared" si="67"/>
        <v>0</v>
      </c>
      <c r="U200" s="3">
        <v>4025</v>
      </c>
      <c r="V200" s="3"/>
      <c r="W200" s="3"/>
      <c r="X200" s="3"/>
      <c r="Y200" s="3"/>
      <c r="Z200" s="3"/>
    </row>
    <row r="201" spans="1:26" x14ac:dyDescent="0.25">
      <c r="A201" s="2">
        <v>46121</v>
      </c>
      <c r="B201" s="3" t="s">
        <v>169</v>
      </c>
      <c r="C201" s="169" t="s">
        <v>257</v>
      </c>
      <c r="D201" s="4">
        <v>1095.5999999999999</v>
      </c>
      <c r="E201" s="5">
        <v>0.88</v>
      </c>
      <c r="F201" s="6">
        <f t="shared" si="55"/>
        <v>964.12799999999993</v>
      </c>
      <c r="G201" s="211">
        <f t="shared" si="54"/>
        <v>11.899689667761956</v>
      </c>
      <c r="H201" s="7">
        <v>13037.3</v>
      </c>
      <c r="I201" s="3">
        <f t="shared" si="56"/>
        <v>1095.5999999999999</v>
      </c>
      <c r="J201" s="3" t="str">
        <f t="shared" si="57"/>
        <v>0</v>
      </c>
      <c r="K201" s="3">
        <f t="shared" si="58"/>
        <v>964.12799999999993</v>
      </c>
      <c r="L201" s="3" t="str">
        <f t="shared" si="59"/>
        <v>0</v>
      </c>
      <c r="M201" s="3">
        <f t="shared" si="60"/>
        <v>13037.3</v>
      </c>
      <c r="N201" s="3" t="str">
        <f t="shared" si="61"/>
        <v>0</v>
      </c>
      <c r="O201" s="3" t="str">
        <f t="shared" si="62"/>
        <v>0</v>
      </c>
      <c r="P201" s="3" t="str">
        <f t="shared" si="63"/>
        <v>0</v>
      </c>
      <c r="Q201" s="3" t="str">
        <f t="shared" si="64"/>
        <v>0</v>
      </c>
      <c r="R201" s="3" t="str">
        <f t="shared" si="65"/>
        <v>0</v>
      </c>
      <c r="S201" s="3" t="str">
        <f t="shared" si="66"/>
        <v>0</v>
      </c>
      <c r="T201" s="3" t="str">
        <f t="shared" si="67"/>
        <v>0</v>
      </c>
      <c r="U201" s="3"/>
      <c r="V201" s="3"/>
      <c r="W201" s="3"/>
      <c r="X201" s="3"/>
      <c r="Y201" s="3"/>
      <c r="Z201" s="3"/>
    </row>
    <row r="202" spans="1:26" x14ac:dyDescent="0.25">
      <c r="A202" s="2">
        <v>46122</v>
      </c>
      <c r="B202" s="3" t="s">
        <v>170</v>
      </c>
      <c r="C202" s="3" t="s">
        <v>276</v>
      </c>
      <c r="D202" s="4">
        <v>1095.599475</v>
      </c>
      <c r="E202" s="209">
        <v>0.995</v>
      </c>
      <c r="F202" s="6">
        <f t="shared" si="55"/>
        <v>1090.1214776249999</v>
      </c>
      <c r="G202" s="211">
        <f t="shared" si="54"/>
        <v>0</v>
      </c>
      <c r="H202" s="3"/>
      <c r="I202" s="3" t="str">
        <f t="shared" si="56"/>
        <v>0</v>
      </c>
      <c r="J202" s="3" t="str">
        <f t="shared" si="57"/>
        <v>0</v>
      </c>
      <c r="K202" s="3" t="str">
        <f t="shared" si="58"/>
        <v>0</v>
      </c>
      <c r="L202" s="3" t="str">
        <f t="shared" si="59"/>
        <v>0</v>
      </c>
      <c r="M202" s="3" t="str">
        <f t="shared" si="60"/>
        <v>0</v>
      </c>
      <c r="N202" s="3" t="str">
        <f t="shared" si="61"/>
        <v>0</v>
      </c>
      <c r="O202" s="3">
        <f t="shared" si="62"/>
        <v>1095.599475</v>
      </c>
      <c r="P202" s="3" t="str">
        <f t="shared" si="63"/>
        <v>0</v>
      </c>
      <c r="Q202" s="3">
        <f t="shared" si="64"/>
        <v>1090.1214776249999</v>
      </c>
      <c r="R202" s="3" t="str">
        <f t="shared" si="65"/>
        <v>0</v>
      </c>
      <c r="S202" s="3">
        <f t="shared" si="66"/>
        <v>0</v>
      </c>
      <c r="T202" s="3" t="str">
        <f t="shared" si="67"/>
        <v>0</v>
      </c>
      <c r="U202" s="3"/>
      <c r="V202" s="3"/>
      <c r="W202" s="3"/>
      <c r="X202" s="3"/>
      <c r="Y202" s="3">
        <v>28136.15</v>
      </c>
      <c r="Z202" s="3">
        <v>1275.72</v>
      </c>
    </row>
    <row r="203" spans="1:26" x14ac:dyDescent="0.25">
      <c r="A203" s="2">
        <v>46126</v>
      </c>
      <c r="B203" s="3" t="s">
        <v>169</v>
      </c>
      <c r="C203" s="169" t="s">
        <v>272</v>
      </c>
      <c r="D203" s="4">
        <v>752.75199999999995</v>
      </c>
      <c r="E203" s="5">
        <v>0.88</v>
      </c>
      <c r="F203" s="6">
        <f t="shared" si="55"/>
        <v>662.42175999999995</v>
      </c>
      <c r="G203" s="211">
        <f t="shared" si="54"/>
        <v>10.084463408931494</v>
      </c>
      <c r="H203" s="7">
        <f>690.1*11</f>
        <v>7591.1</v>
      </c>
      <c r="I203" s="3">
        <f t="shared" si="56"/>
        <v>752.75199999999995</v>
      </c>
      <c r="J203" s="3" t="str">
        <f t="shared" si="57"/>
        <v>0</v>
      </c>
      <c r="K203" s="3">
        <f t="shared" si="58"/>
        <v>662.42175999999995</v>
      </c>
      <c r="L203" s="3" t="str">
        <f t="shared" si="59"/>
        <v>0</v>
      </c>
      <c r="M203" s="3">
        <f t="shared" si="60"/>
        <v>7591.1</v>
      </c>
      <c r="N203" s="3" t="str">
        <f t="shared" si="61"/>
        <v>0</v>
      </c>
      <c r="O203" s="3" t="str">
        <f t="shared" si="62"/>
        <v>0</v>
      </c>
      <c r="P203" s="3" t="str">
        <f t="shared" si="63"/>
        <v>0</v>
      </c>
      <c r="Q203" s="3" t="str">
        <f t="shared" si="64"/>
        <v>0</v>
      </c>
      <c r="R203" s="3" t="str">
        <f t="shared" si="65"/>
        <v>0</v>
      </c>
      <c r="S203" s="3" t="str">
        <f t="shared" si="66"/>
        <v>0</v>
      </c>
      <c r="T203" s="3" t="str">
        <f t="shared" si="67"/>
        <v>0</v>
      </c>
      <c r="U203" s="3"/>
      <c r="V203" s="3"/>
      <c r="W203" s="3"/>
      <c r="X203" s="3"/>
      <c r="Y203" s="3">
        <v>37253.11</v>
      </c>
      <c r="Z203" s="3">
        <v>908.952</v>
      </c>
    </row>
    <row r="204" spans="1:26" x14ac:dyDescent="0.25">
      <c r="A204" s="2">
        <v>46126</v>
      </c>
      <c r="B204" s="3" t="s">
        <v>169</v>
      </c>
      <c r="C204" s="3" t="s">
        <v>280</v>
      </c>
      <c r="D204" s="4">
        <v>752.74734999999998</v>
      </c>
      <c r="E204" s="5">
        <v>0.88</v>
      </c>
      <c r="F204" s="6">
        <f t="shared" si="55"/>
        <v>662.41766799999994</v>
      </c>
      <c r="G204" s="211">
        <f t="shared" si="54"/>
        <v>1.4033393807364452</v>
      </c>
      <c r="H204" s="7">
        <f>176.06*6</f>
        <v>1056.3600000000001</v>
      </c>
      <c r="I204" s="3">
        <f t="shared" si="56"/>
        <v>752.74734999999998</v>
      </c>
      <c r="J204" s="3" t="str">
        <f t="shared" si="57"/>
        <v>0</v>
      </c>
      <c r="K204" s="3">
        <f t="shared" si="58"/>
        <v>662.41766799999994</v>
      </c>
      <c r="L204" s="3" t="str">
        <f t="shared" si="59"/>
        <v>0</v>
      </c>
      <c r="M204" s="3">
        <f t="shared" si="60"/>
        <v>1056.3600000000001</v>
      </c>
      <c r="N204" s="3" t="str">
        <f t="shared" si="61"/>
        <v>0</v>
      </c>
      <c r="O204" s="3" t="str">
        <f t="shared" si="62"/>
        <v>0</v>
      </c>
      <c r="P204" s="3" t="str">
        <f t="shared" si="63"/>
        <v>0</v>
      </c>
      <c r="Q204" s="3" t="str">
        <f t="shared" si="64"/>
        <v>0</v>
      </c>
      <c r="R204" s="3" t="str">
        <f t="shared" si="65"/>
        <v>0</v>
      </c>
      <c r="S204" s="3" t="str">
        <f t="shared" si="66"/>
        <v>0</v>
      </c>
      <c r="T204" s="3" t="str">
        <f t="shared" si="67"/>
        <v>0</v>
      </c>
      <c r="U204" s="3"/>
      <c r="V204" s="3"/>
      <c r="W204" s="3"/>
      <c r="X204" s="3"/>
      <c r="Y204" s="3"/>
      <c r="Z204" s="3"/>
    </row>
    <row r="205" spans="1:26" x14ac:dyDescent="0.25">
      <c r="A205" s="2">
        <v>46126</v>
      </c>
      <c r="B205" s="3" t="s">
        <v>170</v>
      </c>
      <c r="C205" s="169" t="s">
        <v>257</v>
      </c>
      <c r="D205" s="4">
        <v>165.17599999999999</v>
      </c>
      <c r="E205" s="209">
        <v>1</v>
      </c>
      <c r="F205" s="184">
        <f>D205*E205</f>
        <v>165.17599999999999</v>
      </c>
      <c r="G205" s="211">
        <f t="shared" si="54"/>
        <v>0</v>
      </c>
      <c r="H205" s="3"/>
      <c r="I205" s="3" t="str">
        <f t="shared" si="56"/>
        <v>0</v>
      </c>
      <c r="J205" s="3" t="str">
        <f t="shared" si="57"/>
        <v>0</v>
      </c>
      <c r="K205" s="3" t="str">
        <f t="shared" si="58"/>
        <v>0</v>
      </c>
      <c r="L205" s="3" t="str">
        <f t="shared" si="59"/>
        <v>0</v>
      </c>
      <c r="M205" s="3" t="str">
        <f t="shared" si="60"/>
        <v>0</v>
      </c>
      <c r="N205" s="3" t="str">
        <f t="shared" si="61"/>
        <v>0</v>
      </c>
      <c r="O205" s="3">
        <f t="shared" si="62"/>
        <v>165.17599999999999</v>
      </c>
      <c r="P205" s="3" t="str">
        <f t="shared" si="63"/>
        <v>0</v>
      </c>
      <c r="Q205" s="3">
        <f t="shared" si="64"/>
        <v>165.17599999999999</v>
      </c>
      <c r="R205" s="3" t="str">
        <f t="shared" si="65"/>
        <v>0</v>
      </c>
      <c r="S205" s="3">
        <f t="shared" si="66"/>
        <v>0</v>
      </c>
      <c r="T205" s="3" t="str">
        <f t="shared" si="67"/>
        <v>0</v>
      </c>
      <c r="U205" s="3"/>
      <c r="V205" s="3"/>
      <c r="W205" s="3"/>
      <c r="X205" s="3"/>
      <c r="Y205" s="3"/>
      <c r="Z205" s="3"/>
    </row>
    <row r="206" spans="1:26" x14ac:dyDescent="0.25">
      <c r="A206" s="2">
        <v>46126</v>
      </c>
      <c r="B206" s="3" t="s">
        <v>170</v>
      </c>
      <c r="C206" s="3" t="s">
        <v>280</v>
      </c>
      <c r="D206" s="4">
        <v>247.6754</v>
      </c>
      <c r="E206" s="209">
        <v>0.995</v>
      </c>
      <c r="F206" s="184">
        <f>D206*E206</f>
        <v>246.43702299999998</v>
      </c>
      <c r="G206" s="211">
        <f t="shared" si="54"/>
        <v>0</v>
      </c>
      <c r="H206" s="3"/>
      <c r="I206" s="3" t="str">
        <f t="shared" si="56"/>
        <v>0</v>
      </c>
      <c r="J206" s="3" t="str">
        <f t="shared" si="57"/>
        <v>0</v>
      </c>
      <c r="K206" s="3" t="str">
        <f t="shared" si="58"/>
        <v>0</v>
      </c>
      <c r="L206" s="3" t="str">
        <f t="shared" si="59"/>
        <v>0</v>
      </c>
      <c r="M206" s="3" t="str">
        <f t="shared" si="60"/>
        <v>0</v>
      </c>
      <c r="N206" s="3" t="str">
        <f t="shared" si="61"/>
        <v>0</v>
      </c>
      <c r="O206" s="3">
        <f t="shared" si="62"/>
        <v>247.6754</v>
      </c>
      <c r="P206" s="3" t="str">
        <f t="shared" si="63"/>
        <v>0</v>
      </c>
      <c r="Q206" s="3">
        <f t="shared" si="64"/>
        <v>246.43702299999998</v>
      </c>
      <c r="R206" s="3" t="str">
        <f t="shared" si="65"/>
        <v>0</v>
      </c>
      <c r="S206" s="3">
        <f t="shared" si="66"/>
        <v>0</v>
      </c>
      <c r="T206" s="3" t="str">
        <f t="shared" si="67"/>
        <v>0</v>
      </c>
      <c r="U206" s="3"/>
      <c r="V206" s="3"/>
      <c r="W206" s="3"/>
      <c r="X206" s="3"/>
      <c r="Y206" s="3"/>
      <c r="Z206" s="3"/>
    </row>
    <row r="207" spans="1:26" x14ac:dyDescent="0.25">
      <c r="A207" s="2">
        <v>46126</v>
      </c>
      <c r="B207" s="3" t="s">
        <v>171</v>
      </c>
      <c r="C207" s="3" t="s">
        <v>280</v>
      </c>
      <c r="D207" s="4"/>
      <c r="E207" s="3"/>
      <c r="F207" s="6">
        <f>+D207*E207</f>
        <v>0</v>
      </c>
      <c r="G207" s="211" t="e">
        <f t="shared" si="54"/>
        <v>#DIV/0!</v>
      </c>
      <c r="H207" s="3"/>
      <c r="I207" s="3" t="str">
        <f t="shared" si="56"/>
        <v>0</v>
      </c>
      <c r="J207" s="3" t="str">
        <f t="shared" si="57"/>
        <v>0</v>
      </c>
      <c r="K207" s="3" t="str">
        <f t="shared" si="58"/>
        <v>0</v>
      </c>
      <c r="L207" s="3" t="str">
        <f t="shared" si="59"/>
        <v>0</v>
      </c>
      <c r="M207" s="3" t="str">
        <f t="shared" si="60"/>
        <v>0</v>
      </c>
      <c r="N207" s="3" t="str">
        <f t="shared" si="61"/>
        <v>0</v>
      </c>
      <c r="O207" s="3" t="str">
        <f t="shared" si="62"/>
        <v>0</v>
      </c>
      <c r="P207" s="3" t="str">
        <f t="shared" si="63"/>
        <v>0</v>
      </c>
      <c r="Q207" s="3" t="str">
        <f t="shared" si="64"/>
        <v>0</v>
      </c>
      <c r="R207" s="3" t="str">
        <f t="shared" si="65"/>
        <v>0</v>
      </c>
      <c r="S207" s="3" t="str">
        <f t="shared" si="66"/>
        <v>0</v>
      </c>
      <c r="T207" s="3" t="str">
        <f t="shared" si="67"/>
        <v>0</v>
      </c>
      <c r="U207" s="3">
        <v>1055</v>
      </c>
      <c r="V207" s="3"/>
      <c r="W207" s="3"/>
      <c r="X207" s="3"/>
      <c r="Y207" s="3"/>
      <c r="Z207" s="3"/>
    </row>
    <row r="208" spans="1:26" x14ac:dyDescent="0.25">
      <c r="A208" s="2">
        <v>46127</v>
      </c>
      <c r="B208" s="3" t="s">
        <v>170</v>
      </c>
      <c r="C208" s="169" t="s">
        <v>272</v>
      </c>
      <c r="D208" s="4">
        <v>1090.1219999999998</v>
      </c>
      <c r="E208" s="209">
        <v>0.995</v>
      </c>
      <c r="F208" s="184">
        <f t="shared" ref="F208:F215" si="68">D208*E208</f>
        <v>1084.6713899999997</v>
      </c>
      <c r="G208" s="211">
        <f t="shared" si="54"/>
        <v>0</v>
      </c>
      <c r="H208" s="3"/>
      <c r="I208" s="3" t="str">
        <f t="shared" si="56"/>
        <v>0</v>
      </c>
      <c r="J208" s="3" t="str">
        <f t="shared" si="57"/>
        <v>0</v>
      </c>
      <c r="K208" s="3" t="str">
        <f t="shared" si="58"/>
        <v>0</v>
      </c>
      <c r="L208" s="3" t="str">
        <f t="shared" si="59"/>
        <v>0</v>
      </c>
      <c r="M208" s="3" t="str">
        <f t="shared" si="60"/>
        <v>0</v>
      </c>
      <c r="N208" s="3" t="str">
        <f t="shared" si="61"/>
        <v>0</v>
      </c>
      <c r="O208" s="3">
        <f t="shared" si="62"/>
        <v>1090.1219999999998</v>
      </c>
      <c r="P208" s="3" t="str">
        <f t="shared" si="63"/>
        <v>0</v>
      </c>
      <c r="Q208" s="3">
        <f t="shared" si="64"/>
        <v>1084.6713899999997</v>
      </c>
      <c r="R208" s="3" t="str">
        <f t="shared" si="65"/>
        <v>0</v>
      </c>
      <c r="S208" s="3">
        <f t="shared" si="66"/>
        <v>0</v>
      </c>
      <c r="T208" s="3" t="str">
        <f t="shared" si="67"/>
        <v>0</v>
      </c>
      <c r="U208" s="3"/>
      <c r="V208" s="3"/>
      <c r="W208" s="3"/>
      <c r="X208" s="3"/>
      <c r="Y208" s="3"/>
      <c r="Z208" s="3"/>
    </row>
    <row r="209" spans="1:26" x14ac:dyDescent="0.25">
      <c r="A209" s="2">
        <v>46128</v>
      </c>
      <c r="B209" s="3" t="s">
        <v>169</v>
      </c>
      <c r="C209" s="3" t="s">
        <v>281</v>
      </c>
      <c r="D209" s="4">
        <v>319.87699391999996</v>
      </c>
      <c r="E209" s="5">
        <v>0.88</v>
      </c>
      <c r="F209" s="184">
        <f t="shared" si="68"/>
        <v>281.49175464959995</v>
      </c>
      <c r="G209" s="211">
        <f t="shared" si="54"/>
        <v>186.5615568931004</v>
      </c>
      <c r="H209" s="7">
        <v>59676.75</v>
      </c>
      <c r="I209" s="3">
        <f t="shared" si="56"/>
        <v>319.87699391999996</v>
      </c>
      <c r="J209" s="3" t="str">
        <f t="shared" si="57"/>
        <v>0</v>
      </c>
      <c r="K209" s="3">
        <f t="shared" si="58"/>
        <v>281.49175464959995</v>
      </c>
      <c r="L209" s="3" t="str">
        <f t="shared" si="59"/>
        <v>0</v>
      </c>
      <c r="M209" s="3">
        <f t="shared" si="60"/>
        <v>59676.75</v>
      </c>
      <c r="N209" s="3" t="str">
        <f t="shared" si="61"/>
        <v>0</v>
      </c>
      <c r="O209" s="3" t="str">
        <f t="shared" si="62"/>
        <v>0</v>
      </c>
      <c r="P209" s="3" t="str">
        <f t="shared" si="63"/>
        <v>0</v>
      </c>
      <c r="Q209" s="3" t="str">
        <f t="shared" si="64"/>
        <v>0</v>
      </c>
      <c r="R209" s="3" t="str">
        <f t="shared" si="65"/>
        <v>0</v>
      </c>
      <c r="S209" s="3" t="str">
        <f t="shared" si="66"/>
        <v>0</v>
      </c>
      <c r="T209" s="3" t="str">
        <f t="shared" si="67"/>
        <v>0</v>
      </c>
      <c r="U209" s="3"/>
      <c r="V209" s="3"/>
      <c r="W209" s="3"/>
      <c r="X209" s="3"/>
      <c r="Y209" s="3"/>
      <c r="Z209" s="3"/>
    </row>
    <row r="210" spans="1:26" x14ac:dyDescent="0.25">
      <c r="A210" s="2">
        <v>46128</v>
      </c>
      <c r="B210" s="3" t="s">
        <v>170</v>
      </c>
      <c r="C210" s="3" t="s">
        <v>281</v>
      </c>
      <c r="D210" s="4">
        <v>489.45641999999998</v>
      </c>
      <c r="E210" s="209">
        <v>0.995</v>
      </c>
      <c r="F210" s="184">
        <f t="shared" si="68"/>
        <v>487.00913789999998</v>
      </c>
      <c r="G210" s="211">
        <f t="shared" si="54"/>
        <v>0</v>
      </c>
      <c r="H210" s="3"/>
      <c r="I210" s="3" t="str">
        <f t="shared" si="56"/>
        <v>0</v>
      </c>
      <c r="J210" s="3" t="str">
        <f t="shared" si="57"/>
        <v>0</v>
      </c>
      <c r="K210" s="3" t="str">
        <f t="shared" si="58"/>
        <v>0</v>
      </c>
      <c r="L210" s="3" t="str">
        <f t="shared" si="59"/>
        <v>0</v>
      </c>
      <c r="M210" s="3" t="str">
        <f t="shared" si="60"/>
        <v>0</v>
      </c>
      <c r="N210" s="3" t="str">
        <f t="shared" si="61"/>
        <v>0</v>
      </c>
      <c r="O210" s="3">
        <f t="shared" si="62"/>
        <v>489.45641999999998</v>
      </c>
      <c r="P210" s="3" t="str">
        <f t="shared" si="63"/>
        <v>0</v>
      </c>
      <c r="Q210" s="3">
        <f t="shared" si="64"/>
        <v>487.00913789999998</v>
      </c>
      <c r="R210" s="3" t="str">
        <f t="shared" si="65"/>
        <v>0</v>
      </c>
      <c r="S210" s="3">
        <f t="shared" si="66"/>
        <v>0</v>
      </c>
      <c r="T210" s="3" t="str">
        <f t="shared" si="67"/>
        <v>0</v>
      </c>
      <c r="U210" s="3"/>
      <c r="V210" s="3"/>
      <c r="W210" s="3"/>
      <c r="X210" s="3"/>
      <c r="Y210" s="3"/>
      <c r="Z210" s="3"/>
    </row>
    <row r="211" spans="1:26" x14ac:dyDescent="0.25">
      <c r="A211" s="2">
        <v>46128</v>
      </c>
      <c r="B211" s="3" t="s">
        <v>171</v>
      </c>
      <c r="C211" s="3" t="s">
        <v>281</v>
      </c>
      <c r="D211" s="4"/>
      <c r="E211" s="3"/>
      <c r="F211" s="184">
        <f t="shared" si="68"/>
        <v>0</v>
      </c>
      <c r="G211" s="211" t="e">
        <f t="shared" si="54"/>
        <v>#DIV/0!</v>
      </c>
      <c r="H211" s="3"/>
      <c r="I211" s="3" t="str">
        <f t="shared" si="56"/>
        <v>0</v>
      </c>
      <c r="J211" s="3" t="str">
        <f t="shared" si="57"/>
        <v>0</v>
      </c>
      <c r="K211" s="3" t="str">
        <f t="shared" si="58"/>
        <v>0</v>
      </c>
      <c r="L211" s="3" t="str">
        <f t="shared" si="59"/>
        <v>0</v>
      </c>
      <c r="M211" s="3" t="str">
        <f t="shared" si="60"/>
        <v>0</v>
      </c>
      <c r="N211" s="3" t="str">
        <f t="shared" si="61"/>
        <v>0</v>
      </c>
      <c r="O211" s="3" t="str">
        <f t="shared" si="62"/>
        <v>0</v>
      </c>
      <c r="P211" s="3" t="str">
        <f t="shared" si="63"/>
        <v>0</v>
      </c>
      <c r="Q211" s="3" t="str">
        <f t="shared" si="64"/>
        <v>0</v>
      </c>
      <c r="R211" s="3" t="str">
        <f t="shared" si="65"/>
        <v>0</v>
      </c>
      <c r="S211" s="3" t="str">
        <f t="shared" si="66"/>
        <v>0</v>
      </c>
      <c r="T211" s="3" t="str">
        <f t="shared" si="67"/>
        <v>0</v>
      </c>
      <c r="U211" s="3">
        <v>59676</v>
      </c>
      <c r="V211" s="3"/>
      <c r="W211" s="3"/>
      <c r="X211" s="3"/>
      <c r="Y211" s="3"/>
      <c r="Z211" s="3"/>
    </row>
    <row r="212" spans="1:26" x14ac:dyDescent="0.25">
      <c r="A212" s="2">
        <v>46130</v>
      </c>
      <c r="B212" s="3" t="s">
        <v>170</v>
      </c>
      <c r="C212" s="169" t="s">
        <v>272</v>
      </c>
      <c r="D212" s="4">
        <v>262.60000000000002</v>
      </c>
      <c r="E212" s="209">
        <v>0.995</v>
      </c>
      <c r="F212" s="184">
        <f t="shared" si="68"/>
        <v>261.28700000000003</v>
      </c>
      <c r="G212" s="211">
        <f t="shared" si="54"/>
        <v>0</v>
      </c>
      <c r="H212" s="3"/>
      <c r="I212" s="3" t="str">
        <f t="shared" si="56"/>
        <v>0</v>
      </c>
      <c r="J212" s="3" t="str">
        <f t="shared" si="57"/>
        <v>0</v>
      </c>
      <c r="K212" s="3" t="str">
        <f t="shared" si="58"/>
        <v>0</v>
      </c>
      <c r="L212" s="3" t="str">
        <f t="shared" si="59"/>
        <v>0</v>
      </c>
      <c r="M212" s="3" t="str">
        <f t="shared" si="60"/>
        <v>0</v>
      </c>
      <c r="N212" s="3" t="str">
        <f t="shared" si="61"/>
        <v>0</v>
      </c>
      <c r="O212" s="3">
        <f t="shared" si="62"/>
        <v>262.60000000000002</v>
      </c>
      <c r="P212" s="3" t="str">
        <f t="shared" si="63"/>
        <v>0</v>
      </c>
      <c r="Q212" s="3">
        <f t="shared" si="64"/>
        <v>261.28700000000003</v>
      </c>
      <c r="R212" s="3" t="str">
        <f t="shared" si="65"/>
        <v>0</v>
      </c>
      <c r="S212" s="3">
        <f t="shared" si="66"/>
        <v>0</v>
      </c>
      <c r="T212" s="3" t="str">
        <f t="shared" si="67"/>
        <v>0</v>
      </c>
      <c r="U212" s="3"/>
      <c r="V212" s="3"/>
      <c r="W212" s="3"/>
      <c r="X212" s="3"/>
      <c r="Y212" s="3"/>
      <c r="Z212" s="3"/>
    </row>
    <row r="213" spans="1:26" x14ac:dyDescent="0.25">
      <c r="A213" s="2">
        <v>46132</v>
      </c>
      <c r="B213" s="3" t="s">
        <v>169</v>
      </c>
      <c r="C213" s="169" t="s">
        <v>257</v>
      </c>
      <c r="D213" s="4">
        <v>187.7</v>
      </c>
      <c r="E213" s="5">
        <v>0.88</v>
      </c>
      <c r="F213" s="184">
        <f t="shared" si="68"/>
        <v>165.17599999999999</v>
      </c>
      <c r="G213" s="211">
        <f t="shared" si="54"/>
        <v>10</v>
      </c>
      <c r="H213" s="7">
        <v>1877</v>
      </c>
      <c r="I213" s="3">
        <f t="shared" si="56"/>
        <v>187.7</v>
      </c>
      <c r="J213" s="3" t="str">
        <f t="shared" si="57"/>
        <v>0</v>
      </c>
      <c r="K213" s="3">
        <f t="shared" si="58"/>
        <v>165.17599999999999</v>
      </c>
      <c r="L213" s="3" t="str">
        <f t="shared" si="59"/>
        <v>0</v>
      </c>
      <c r="M213" s="3">
        <f t="shared" si="60"/>
        <v>1877</v>
      </c>
      <c r="N213" s="3" t="str">
        <f t="shared" si="61"/>
        <v>0</v>
      </c>
      <c r="O213" s="3" t="str">
        <f t="shared" si="62"/>
        <v>0</v>
      </c>
      <c r="P213" s="3" t="str">
        <f t="shared" si="63"/>
        <v>0</v>
      </c>
      <c r="Q213" s="3" t="str">
        <f t="shared" si="64"/>
        <v>0</v>
      </c>
      <c r="R213" s="3" t="str">
        <f t="shared" si="65"/>
        <v>0</v>
      </c>
      <c r="S213" s="3" t="str">
        <f t="shared" si="66"/>
        <v>0</v>
      </c>
      <c r="T213" s="3" t="str">
        <f t="shared" si="67"/>
        <v>0</v>
      </c>
      <c r="U213" s="3"/>
      <c r="V213" s="3"/>
      <c r="W213" s="3"/>
      <c r="X213" s="3"/>
      <c r="Y213" s="3"/>
      <c r="Z213" s="3"/>
    </row>
    <row r="214" spans="1:26" x14ac:dyDescent="0.25">
      <c r="A214" s="2">
        <v>46132</v>
      </c>
      <c r="B214" s="3" t="s">
        <v>170</v>
      </c>
      <c r="C214" s="169" t="s">
        <v>260</v>
      </c>
      <c r="D214" s="4">
        <v>84</v>
      </c>
      <c r="E214" s="209">
        <v>0.88</v>
      </c>
      <c r="F214" s="184">
        <f t="shared" si="68"/>
        <v>73.92</v>
      </c>
      <c r="G214" s="211">
        <f t="shared" si="54"/>
        <v>26.547619047619047</v>
      </c>
      <c r="H214" s="210">
        <v>2230</v>
      </c>
      <c r="I214" s="3" t="str">
        <f t="shared" si="56"/>
        <v>0</v>
      </c>
      <c r="J214" s="3" t="str">
        <f t="shared" si="57"/>
        <v>0</v>
      </c>
      <c r="K214" s="3" t="str">
        <f t="shared" si="58"/>
        <v>0</v>
      </c>
      <c r="L214" s="3" t="str">
        <f t="shared" si="59"/>
        <v>0</v>
      </c>
      <c r="M214" s="3" t="str">
        <f t="shared" si="60"/>
        <v>0</v>
      </c>
      <c r="N214" s="3" t="str">
        <f t="shared" si="61"/>
        <v>0</v>
      </c>
      <c r="O214" s="3">
        <f t="shared" si="62"/>
        <v>84</v>
      </c>
      <c r="P214" s="3" t="str">
        <f t="shared" si="63"/>
        <v>0</v>
      </c>
      <c r="Q214" s="3">
        <f t="shared" si="64"/>
        <v>73.92</v>
      </c>
      <c r="R214" s="3" t="str">
        <f t="shared" si="65"/>
        <v>0</v>
      </c>
      <c r="S214" s="3">
        <f t="shared" si="66"/>
        <v>2230</v>
      </c>
      <c r="T214" s="3" t="str">
        <f t="shared" si="67"/>
        <v>0</v>
      </c>
      <c r="U214" s="3"/>
      <c r="V214" s="3"/>
      <c r="W214" s="3"/>
      <c r="X214" s="3"/>
      <c r="Y214" s="3"/>
      <c r="Z214" s="3"/>
    </row>
    <row r="215" spans="1:26" x14ac:dyDescent="0.25">
      <c r="A215" s="2">
        <v>46132</v>
      </c>
      <c r="B215" s="3" t="s">
        <v>170</v>
      </c>
      <c r="C215" s="169" t="s">
        <v>257</v>
      </c>
      <c r="D215" s="4">
        <v>248.92</v>
      </c>
      <c r="E215" s="209">
        <v>0.995</v>
      </c>
      <c r="F215" s="184">
        <f t="shared" si="68"/>
        <v>247.6754</v>
      </c>
      <c r="G215" s="211"/>
      <c r="H215" s="210"/>
      <c r="I215" s="3" t="str">
        <f t="shared" si="56"/>
        <v>0</v>
      </c>
      <c r="J215" s="3" t="str">
        <f t="shared" si="57"/>
        <v>0</v>
      </c>
      <c r="K215" s="3" t="str">
        <f t="shared" si="58"/>
        <v>0</v>
      </c>
      <c r="L215" s="3" t="str">
        <f t="shared" si="59"/>
        <v>0</v>
      </c>
      <c r="M215" s="3" t="str">
        <f t="shared" si="60"/>
        <v>0</v>
      </c>
      <c r="N215" s="3" t="str">
        <f t="shared" si="61"/>
        <v>0</v>
      </c>
      <c r="O215" s="3">
        <f t="shared" si="62"/>
        <v>248.92</v>
      </c>
      <c r="P215" s="3" t="str">
        <f t="shared" si="63"/>
        <v>0</v>
      </c>
      <c r="Q215" s="3">
        <f t="shared" si="64"/>
        <v>247.6754</v>
      </c>
      <c r="R215" s="3" t="str">
        <f t="shared" si="65"/>
        <v>0</v>
      </c>
      <c r="S215" s="3">
        <f t="shared" si="66"/>
        <v>0</v>
      </c>
      <c r="T215" s="3" t="str">
        <f t="shared" si="67"/>
        <v>0</v>
      </c>
      <c r="U215" s="3"/>
      <c r="V215" s="3"/>
      <c r="W215" s="3"/>
      <c r="X215" s="3"/>
      <c r="Y215" s="3"/>
      <c r="Z215" s="3"/>
    </row>
    <row r="216" spans="1:26" x14ac:dyDescent="0.25">
      <c r="A216" s="2">
        <v>46132</v>
      </c>
      <c r="B216" s="3" t="s">
        <v>209</v>
      </c>
      <c r="C216" s="169" t="s">
        <v>266</v>
      </c>
      <c r="D216" s="4">
        <v>563.51</v>
      </c>
      <c r="E216" s="209">
        <v>0.995</v>
      </c>
      <c r="F216" s="184">
        <f t="shared" ref="F216:F222" si="69">+D216*E216</f>
        <v>560.69245000000001</v>
      </c>
      <c r="G216" s="211">
        <f t="shared" ref="G216:G222" si="70">+H216/D216</f>
        <v>0</v>
      </c>
      <c r="H216" s="3"/>
      <c r="I216" s="3" t="str">
        <f t="shared" si="56"/>
        <v>0</v>
      </c>
      <c r="J216" s="3" t="str">
        <f t="shared" si="57"/>
        <v>0</v>
      </c>
      <c r="K216" s="3" t="str">
        <f t="shared" si="58"/>
        <v>0</v>
      </c>
      <c r="L216" s="3" t="str">
        <f t="shared" si="59"/>
        <v>0</v>
      </c>
      <c r="M216" s="3" t="str">
        <f t="shared" si="60"/>
        <v>0</v>
      </c>
      <c r="N216" s="3" t="str">
        <f t="shared" si="61"/>
        <v>0</v>
      </c>
      <c r="O216" s="3" t="str">
        <f t="shared" si="62"/>
        <v>0</v>
      </c>
      <c r="P216" s="3">
        <f t="shared" si="63"/>
        <v>563.51</v>
      </c>
      <c r="Q216" s="3" t="str">
        <f t="shared" si="64"/>
        <v>0</v>
      </c>
      <c r="R216" s="3">
        <f t="shared" si="65"/>
        <v>560.69245000000001</v>
      </c>
      <c r="S216" s="3" t="str">
        <f t="shared" si="66"/>
        <v>0</v>
      </c>
      <c r="T216" s="3">
        <f t="shared" si="67"/>
        <v>0</v>
      </c>
      <c r="U216" s="3"/>
      <c r="V216" s="3"/>
      <c r="W216" s="3"/>
      <c r="X216" s="3"/>
      <c r="Y216" s="3"/>
      <c r="Z216" s="3"/>
    </row>
    <row r="217" spans="1:26" x14ac:dyDescent="0.25">
      <c r="A217" s="2">
        <v>46132</v>
      </c>
      <c r="B217" s="3" t="s">
        <v>211</v>
      </c>
      <c r="C217" s="169" t="s">
        <v>266</v>
      </c>
      <c r="D217" s="4"/>
      <c r="E217" s="3"/>
      <c r="F217" s="6">
        <f t="shared" si="69"/>
        <v>0</v>
      </c>
      <c r="G217" s="211" t="e">
        <f t="shared" si="70"/>
        <v>#DIV/0!</v>
      </c>
      <c r="H217" s="3"/>
      <c r="I217" s="3" t="str">
        <f t="shared" si="56"/>
        <v>0</v>
      </c>
      <c r="J217" s="3" t="str">
        <f t="shared" si="57"/>
        <v>0</v>
      </c>
      <c r="K217" s="3" t="str">
        <f t="shared" si="58"/>
        <v>0</v>
      </c>
      <c r="L217" s="3" t="str">
        <f t="shared" si="59"/>
        <v>0</v>
      </c>
      <c r="M217" s="3" t="str">
        <f t="shared" si="60"/>
        <v>0</v>
      </c>
      <c r="N217" s="3" t="str">
        <f t="shared" si="61"/>
        <v>0</v>
      </c>
      <c r="O217" s="3" t="str">
        <f t="shared" si="62"/>
        <v>0</v>
      </c>
      <c r="P217" s="3" t="str">
        <f t="shared" si="63"/>
        <v>0</v>
      </c>
      <c r="Q217" s="3" t="str">
        <f t="shared" si="64"/>
        <v>0</v>
      </c>
      <c r="R217" s="3" t="str">
        <f t="shared" si="65"/>
        <v>0</v>
      </c>
      <c r="S217" s="3" t="str">
        <f t="shared" si="66"/>
        <v>0</v>
      </c>
      <c r="T217" s="3" t="str">
        <f t="shared" si="67"/>
        <v>0</v>
      </c>
      <c r="U217" s="3"/>
      <c r="V217" s="3"/>
      <c r="W217" s="3">
        <v>2230</v>
      </c>
      <c r="X217" s="3"/>
      <c r="Y217" s="3"/>
      <c r="Z217" s="3"/>
    </row>
    <row r="218" spans="1:26" x14ac:dyDescent="0.25">
      <c r="A218" s="2">
        <v>46133</v>
      </c>
      <c r="B218" s="3" t="s">
        <v>169</v>
      </c>
      <c r="C218" s="169" t="s">
        <v>268</v>
      </c>
      <c r="D218" s="4">
        <v>343.73</v>
      </c>
      <c r="E218" s="5">
        <v>0.88</v>
      </c>
      <c r="F218" s="6">
        <f t="shared" si="69"/>
        <v>302.48240000000004</v>
      </c>
      <c r="G218" s="211">
        <f t="shared" si="70"/>
        <v>10.541907892822856</v>
      </c>
      <c r="H218" s="7">
        <v>3623.57</v>
      </c>
      <c r="I218" s="3">
        <f t="shared" si="56"/>
        <v>343.73</v>
      </c>
      <c r="J218" s="3" t="str">
        <f t="shared" si="57"/>
        <v>0</v>
      </c>
      <c r="K218" s="3">
        <f t="shared" si="58"/>
        <v>302.48240000000004</v>
      </c>
      <c r="L218" s="3" t="str">
        <f t="shared" si="59"/>
        <v>0</v>
      </c>
      <c r="M218" s="3">
        <f t="shared" si="60"/>
        <v>3623.57</v>
      </c>
      <c r="N218" s="3" t="str">
        <f t="shared" si="61"/>
        <v>0</v>
      </c>
      <c r="O218" s="3" t="str">
        <f t="shared" si="62"/>
        <v>0</v>
      </c>
      <c r="P218" s="3" t="str">
        <f t="shared" si="63"/>
        <v>0</v>
      </c>
      <c r="Q218" s="3" t="str">
        <f t="shared" si="64"/>
        <v>0</v>
      </c>
      <c r="R218" s="3" t="str">
        <f t="shared" si="65"/>
        <v>0</v>
      </c>
      <c r="S218" s="3" t="str">
        <f t="shared" si="66"/>
        <v>0</v>
      </c>
      <c r="T218" s="3" t="str">
        <f t="shared" si="67"/>
        <v>0</v>
      </c>
      <c r="U218" s="3"/>
      <c r="V218" s="3"/>
      <c r="W218" s="3"/>
      <c r="X218" s="3"/>
      <c r="Y218" s="3">
        <v>15.01</v>
      </c>
      <c r="Z218" s="3">
        <v>1.26</v>
      </c>
    </row>
    <row r="219" spans="1:26" x14ac:dyDescent="0.25">
      <c r="A219" s="2">
        <v>46133</v>
      </c>
      <c r="B219" s="3" t="s">
        <v>170</v>
      </c>
      <c r="C219" s="169" t="s">
        <v>268</v>
      </c>
      <c r="D219" s="4">
        <v>304</v>
      </c>
      <c r="E219" s="209">
        <v>0.995</v>
      </c>
      <c r="F219" s="6">
        <f t="shared" si="69"/>
        <v>302.48</v>
      </c>
      <c r="G219" s="211">
        <f t="shared" si="70"/>
        <v>0</v>
      </c>
      <c r="H219" s="3"/>
      <c r="I219" s="3" t="str">
        <f t="shared" si="56"/>
        <v>0</v>
      </c>
      <c r="J219" s="3" t="str">
        <f t="shared" si="57"/>
        <v>0</v>
      </c>
      <c r="K219" s="3" t="str">
        <f t="shared" si="58"/>
        <v>0</v>
      </c>
      <c r="L219" s="3" t="str">
        <f t="shared" si="59"/>
        <v>0</v>
      </c>
      <c r="M219" s="3" t="str">
        <f t="shared" si="60"/>
        <v>0</v>
      </c>
      <c r="N219" s="3" t="str">
        <f t="shared" si="61"/>
        <v>0</v>
      </c>
      <c r="O219" s="3">
        <f t="shared" si="62"/>
        <v>304</v>
      </c>
      <c r="P219" s="3" t="str">
        <f t="shared" si="63"/>
        <v>0</v>
      </c>
      <c r="Q219" s="3">
        <f t="shared" si="64"/>
        <v>302.48</v>
      </c>
      <c r="R219" s="3" t="str">
        <f t="shared" si="65"/>
        <v>0</v>
      </c>
      <c r="S219" s="3">
        <f t="shared" si="66"/>
        <v>0</v>
      </c>
      <c r="T219" s="3" t="str">
        <f t="shared" si="67"/>
        <v>0</v>
      </c>
      <c r="U219" s="3"/>
      <c r="V219" s="3"/>
      <c r="W219" s="3"/>
      <c r="X219" s="3"/>
      <c r="Y219" s="3"/>
      <c r="Z219" s="3"/>
    </row>
    <row r="220" spans="1:26" x14ac:dyDescent="0.25">
      <c r="A220" s="2">
        <v>46133</v>
      </c>
      <c r="B220" s="3" t="s">
        <v>171</v>
      </c>
      <c r="C220" s="169" t="s">
        <v>268</v>
      </c>
      <c r="D220" s="4"/>
      <c r="E220" s="3"/>
      <c r="F220" s="6">
        <f t="shared" si="69"/>
        <v>0</v>
      </c>
      <c r="G220" s="211" t="e">
        <f t="shared" si="70"/>
        <v>#DIV/0!</v>
      </c>
      <c r="H220" s="3"/>
      <c r="I220" s="3" t="str">
        <f t="shared" si="56"/>
        <v>0</v>
      </c>
      <c r="J220" s="3" t="str">
        <f t="shared" si="57"/>
        <v>0</v>
      </c>
      <c r="K220" s="3" t="str">
        <f t="shared" si="58"/>
        <v>0</v>
      </c>
      <c r="L220" s="3" t="str">
        <f t="shared" si="59"/>
        <v>0</v>
      </c>
      <c r="M220" s="3" t="str">
        <f t="shared" si="60"/>
        <v>0</v>
      </c>
      <c r="N220" s="3" t="str">
        <f t="shared" si="61"/>
        <v>0</v>
      </c>
      <c r="O220" s="3" t="str">
        <f t="shared" si="62"/>
        <v>0</v>
      </c>
      <c r="P220" s="3" t="str">
        <f t="shared" si="63"/>
        <v>0</v>
      </c>
      <c r="Q220" s="3" t="str">
        <f t="shared" si="64"/>
        <v>0</v>
      </c>
      <c r="R220" s="3" t="str">
        <f t="shared" si="65"/>
        <v>0</v>
      </c>
      <c r="S220" s="3" t="str">
        <f t="shared" si="66"/>
        <v>0</v>
      </c>
      <c r="T220" s="3" t="str">
        <f t="shared" si="67"/>
        <v>0</v>
      </c>
      <c r="U220" s="3">
        <v>3620</v>
      </c>
      <c r="V220" s="3"/>
      <c r="W220" s="3"/>
      <c r="X220" s="3"/>
      <c r="Y220" s="3"/>
      <c r="Z220" s="3"/>
    </row>
    <row r="221" spans="1:26" x14ac:dyDescent="0.25">
      <c r="A221" s="2">
        <v>46134</v>
      </c>
      <c r="B221" s="3" t="s">
        <v>169</v>
      </c>
      <c r="C221" s="169" t="s">
        <v>258</v>
      </c>
      <c r="D221" s="6">
        <v>523.11282000000006</v>
      </c>
      <c r="E221" s="5">
        <v>0.88</v>
      </c>
      <c r="F221" s="6">
        <f t="shared" si="69"/>
        <v>460.33928160000005</v>
      </c>
      <c r="G221" s="211">
        <f t="shared" si="70"/>
        <v>3.9607899496708949</v>
      </c>
      <c r="H221" s="7">
        <v>2071.94</v>
      </c>
      <c r="I221" s="3">
        <f t="shared" si="56"/>
        <v>523.11282000000006</v>
      </c>
      <c r="J221" s="3" t="str">
        <f t="shared" si="57"/>
        <v>0</v>
      </c>
      <c r="K221" s="3">
        <f t="shared" si="58"/>
        <v>460.33928160000005</v>
      </c>
      <c r="L221" s="3" t="str">
        <f t="shared" si="59"/>
        <v>0</v>
      </c>
      <c r="M221" s="3">
        <f t="shared" si="60"/>
        <v>2071.94</v>
      </c>
      <c r="N221" s="3" t="str">
        <f t="shared" si="61"/>
        <v>0</v>
      </c>
      <c r="O221" s="3" t="str">
        <f t="shared" si="62"/>
        <v>0</v>
      </c>
      <c r="P221" s="3" t="str">
        <f t="shared" si="63"/>
        <v>0</v>
      </c>
      <c r="Q221" s="3" t="str">
        <f t="shared" si="64"/>
        <v>0</v>
      </c>
      <c r="R221" s="3" t="str">
        <f t="shared" si="65"/>
        <v>0</v>
      </c>
      <c r="S221" s="3" t="str">
        <f t="shared" si="66"/>
        <v>0</v>
      </c>
      <c r="T221" s="3" t="str">
        <f t="shared" si="67"/>
        <v>0</v>
      </c>
      <c r="U221" s="3"/>
      <c r="V221" s="3"/>
      <c r="W221" s="3"/>
      <c r="X221" s="3"/>
      <c r="Y221" s="3"/>
      <c r="Z221" s="3"/>
    </row>
    <row r="222" spans="1:26" x14ac:dyDescent="0.25">
      <c r="A222" s="2">
        <v>46134</v>
      </c>
      <c r="B222" s="3" t="s">
        <v>169</v>
      </c>
      <c r="C222" s="169" t="s">
        <v>255</v>
      </c>
      <c r="D222" s="4">
        <v>389.05856</v>
      </c>
      <c r="E222" s="5">
        <v>0.88</v>
      </c>
      <c r="F222" s="6">
        <f t="shared" si="69"/>
        <v>342.37153280000001</v>
      </c>
      <c r="G222" s="211">
        <f t="shared" si="70"/>
        <v>19.322798089829973</v>
      </c>
      <c r="H222" s="7">
        <v>7517.7</v>
      </c>
      <c r="I222" s="3">
        <f t="shared" si="56"/>
        <v>389.05856</v>
      </c>
      <c r="J222" s="3" t="str">
        <f t="shared" si="57"/>
        <v>0</v>
      </c>
      <c r="K222" s="3">
        <f t="shared" si="58"/>
        <v>342.37153280000001</v>
      </c>
      <c r="L222" s="3" t="str">
        <f t="shared" si="59"/>
        <v>0</v>
      </c>
      <c r="M222" s="3">
        <f t="shared" si="60"/>
        <v>7517.7</v>
      </c>
      <c r="N222" s="3" t="str">
        <f t="shared" si="61"/>
        <v>0</v>
      </c>
      <c r="O222" s="3" t="str">
        <f t="shared" si="62"/>
        <v>0</v>
      </c>
      <c r="P222" s="3" t="str">
        <f t="shared" si="63"/>
        <v>0</v>
      </c>
      <c r="Q222" s="3" t="str">
        <f t="shared" si="64"/>
        <v>0</v>
      </c>
      <c r="R222" s="3" t="str">
        <f t="shared" si="65"/>
        <v>0</v>
      </c>
      <c r="S222" s="3" t="str">
        <f t="shared" si="66"/>
        <v>0</v>
      </c>
      <c r="T222" s="3" t="str">
        <f t="shared" si="67"/>
        <v>0</v>
      </c>
      <c r="U222" s="3"/>
      <c r="V222" s="3"/>
      <c r="W222" s="3"/>
      <c r="X222" s="3"/>
      <c r="Y222" s="3"/>
      <c r="Z222" s="3"/>
    </row>
    <row r="223" spans="1:26" x14ac:dyDescent="0.25">
      <c r="A223" s="2">
        <v>46134</v>
      </c>
      <c r="B223" s="3" t="s">
        <v>170</v>
      </c>
      <c r="C223" s="169" t="s">
        <v>258</v>
      </c>
      <c r="D223" s="4">
        <v>439.89780824999997</v>
      </c>
      <c r="E223" s="209">
        <v>0.995</v>
      </c>
      <c r="F223" s="184">
        <f>D223*E223</f>
        <v>437.69831920874998</v>
      </c>
      <c r="G223" s="211"/>
      <c r="H223" s="210"/>
      <c r="I223" s="3" t="str">
        <f t="shared" si="56"/>
        <v>0</v>
      </c>
      <c r="J223" s="3" t="str">
        <f t="shared" si="57"/>
        <v>0</v>
      </c>
      <c r="K223" s="3" t="str">
        <f t="shared" si="58"/>
        <v>0</v>
      </c>
      <c r="L223" s="3" t="str">
        <f t="shared" si="59"/>
        <v>0</v>
      </c>
      <c r="M223" s="3" t="str">
        <f t="shared" si="60"/>
        <v>0</v>
      </c>
      <c r="N223" s="3" t="str">
        <f t="shared" si="61"/>
        <v>0</v>
      </c>
      <c r="O223" s="3">
        <f t="shared" si="62"/>
        <v>439.89780824999997</v>
      </c>
      <c r="P223" s="3" t="str">
        <f t="shared" si="63"/>
        <v>0</v>
      </c>
      <c r="Q223" s="3">
        <f t="shared" si="64"/>
        <v>437.69831920874998</v>
      </c>
      <c r="R223" s="3" t="str">
        <f t="shared" si="65"/>
        <v>0</v>
      </c>
      <c r="S223" s="3">
        <f t="shared" si="66"/>
        <v>0</v>
      </c>
      <c r="T223" s="3" t="str">
        <f t="shared" si="67"/>
        <v>0</v>
      </c>
      <c r="U223" s="3"/>
      <c r="V223" s="3"/>
      <c r="W223" s="3"/>
      <c r="X223" s="3"/>
      <c r="Y223" s="3"/>
      <c r="Z223" s="3"/>
    </row>
    <row r="224" spans="1:26" x14ac:dyDescent="0.25">
      <c r="A224" s="2">
        <v>46134</v>
      </c>
      <c r="B224" s="3" t="s">
        <v>170</v>
      </c>
      <c r="C224" s="169" t="s">
        <v>255</v>
      </c>
      <c r="D224" s="4">
        <v>405.23643599999997</v>
      </c>
      <c r="E224" s="209">
        <v>0.995</v>
      </c>
      <c r="F224" s="184">
        <f>D224*E224</f>
        <v>403.21025381999999</v>
      </c>
      <c r="G224" s="211"/>
      <c r="H224" s="210"/>
      <c r="I224" s="3" t="str">
        <f t="shared" si="56"/>
        <v>0</v>
      </c>
      <c r="J224" s="3" t="str">
        <f t="shared" si="57"/>
        <v>0</v>
      </c>
      <c r="K224" s="3" t="str">
        <f t="shared" si="58"/>
        <v>0</v>
      </c>
      <c r="L224" s="3" t="str">
        <f t="shared" si="59"/>
        <v>0</v>
      </c>
      <c r="M224" s="3" t="str">
        <f t="shared" si="60"/>
        <v>0</v>
      </c>
      <c r="N224" s="3" t="str">
        <f t="shared" si="61"/>
        <v>0</v>
      </c>
      <c r="O224" s="3">
        <f t="shared" si="62"/>
        <v>405.23643599999997</v>
      </c>
      <c r="P224" s="3" t="str">
        <f t="shared" si="63"/>
        <v>0</v>
      </c>
      <c r="Q224" s="3">
        <f t="shared" si="64"/>
        <v>403.21025381999999</v>
      </c>
      <c r="R224" s="3" t="str">
        <f t="shared" si="65"/>
        <v>0</v>
      </c>
      <c r="S224" s="3">
        <f t="shared" si="66"/>
        <v>0</v>
      </c>
      <c r="T224" s="3" t="str">
        <f t="shared" si="67"/>
        <v>0</v>
      </c>
      <c r="U224" s="3"/>
      <c r="V224" s="3"/>
      <c r="W224" s="3"/>
      <c r="X224" s="3"/>
      <c r="Y224" s="3"/>
      <c r="Z224" s="3"/>
    </row>
    <row r="225" spans="1:26" x14ac:dyDescent="0.25">
      <c r="A225" s="2">
        <v>46134</v>
      </c>
      <c r="B225" s="3" t="s">
        <v>170</v>
      </c>
      <c r="C225" s="169" t="s">
        <v>256</v>
      </c>
      <c r="D225" s="4">
        <v>363.49658399999998</v>
      </c>
      <c r="E225" s="209">
        <v>0.88</v>
      </c>
      <c r="F225" s="184">
        <f>D225*E225</f>
        <v>319.87699391999996</v>
      </c>
      <c r="G225" s="211">
        <f t="shared" ref="G225:G233" si="71">+H225/D225</f>
        <v>4.841613587213244</v>
      </c>
      <c r="H225" s="7">
        <v>1759.91</v>
      </c>
      <c r="I225" s="3" t="str">
        <f t="shared" si="56"/>
        <v>0</v>
      </c>
      <c r="J225" s="3" t="str">
        <f t="shared" si="57"/>
        <v>0</v>
      </c>
      <c r="K225" s="3" t="str">
        <f t="shared" si="58"/>
        <v>0</v>
      </c>
      <c r="L225" s="3" t="str">
        <f t="shared" si="59"/>
        <v>0</v>
      </c>
      <c r="M225" s="3" t="str">
        <f t="shared" si="60"/>
        <v>0</v>
      </c>
      <c r="N225" s="3" t="str">
        <f t="shared" si="61"/>
        <v>0</v>
      </c>
      <c r="O225" s="3">
        <f t="shared" si="62"/>
        <v>363.49658399999998</v>
      </c>
      <c r="P225" s="3" t="str">
        <f t="shared" si="63"/>
        <v>0</v>
      </c>
      <c r="Q225" s="3">
        <f t="shared" si="64"/>
        <v>319.87699391999996</v>
      </c>
      <c r="R225" s="3" t="str">
        <f t="shared" si="65"/>
        <v>0</v>
      </c>
      <c r="S225" s="3">
        <f t="shared" si="66"/>
        <v>1759.91</v>
      </c>
      <c r="T225" s="3" t="str">
        <f t="shared" si="67"/>
        <v>0</v>
      </c>
      <c r="U225" s="3"/>
      <c r="V225" s="3"/>
      <c r="W225" s="3"/>
      <c r="X225" s="3"/>
      <c r="Y225" s="3"/>
      <c r="Z225" s="3"/>
    </row>
    <row r="226" spans="1:26" x14ac:dyDescent="0.25">
      <c r="A226" s="2">
        <v>46134</v>
      </c>
      <c r="B226" s="3" t="s">
        <v>209</v>
      </c>
      <c r="C226" s="169" t="s">
        <v>267</v>
      </c>
      <c r="D226" s="4">
        <v>365</v>
      </c>
      <c r="E226" s="209">
        <v>0.995</v>
      </c>
      <c r="F226" s="184">
        <f t="shared" ref="F226:F233" si="72">+D226*E226</f>
        <v>363.17500000000001</v>
      </c>
      <c r="G226" s="211">
        <f t="shared" si="71"/>
        <v>0</v>
      </c>
      <c r="H226" s="3"/>
      <c r="I226" s="3" t="str">
        <f t="shared" si="56"/>
        <v>0</v>
      </c>
      <c r="J226" s="3" t="str">
        <f t="shared" si="57"/>
        <v>0</v>
      </c>
      <c r="K226" s="3" t="str">
        <f t="shared" si="58"/>
        <v>0</v>
      </c>
      <c r="L226" s="3" t="str">
        <f t="shared" si="59"/>
        <v>0</v>
      </c>
      <c r="M226" s="3" t="str">
        <f t="shared" si="60"/>
        <v>0</v>
      </c>
      <c r="N226" s="3" t="str">
        <f t="shared" si="61"/>
        <v>0</v>
      </c>
      <c r="O226" s="3" t="str">
        <f t="shared" si="62"/>
        <v>0</v>
      </c>
      <c r="P226" s="3">
        <f t="shared" si="63"/>
        <v>365</v>
      </c>
      <c r="Q226" s="3" t="str">
        <f t="shared" si="64"/>
        <v>0</v>
      </c>
      <c r="R226" s="3">
        <f t="shared" si="65"/>
        <v>363.17500000000001</v>
      </c>
      <c r="S226" s="3" t="str">
        <f t="shared" si="66"/>
        <v>0</v>
      </c>
      <c r="T226" s="3">
        <f t="shared" si="67"/>
        <v>0</v>
      </c>
      <c r="U226" s="3"/>
      <c r="V226" s="3"/>
      <c r="W226" s="3"/>
      <c r="X226" s="3"/>
      <c r="Y226" s="3"/>
      <c r="Z226" s="3"/>
    </row>
    <row r="227" spans="1:26" x14ac:dyDescent="0.25">
      <c r="A227" s="2">
        <v>46134</v>
      </c>
      <c r="B227" s="3" t="s">
        <v>171</v>
      </c>
      <c r="C227" s="169" t="s">
        <v>255</v>
      </c>
      <c r="D227" s="4"/>
      <c r="E227" s="3"/>
      <c r="F227" s="6">
        <f t="shared" si="72"/>
        <v>0</v>
      </c>
      <c r="G227" s="211" t="e">
        <f t="shared" si="71"/>
        <v>#DIV/0!</v>
      </c>
      <c r="H227" s="3"/>
      <c r="I227" s="3" t="str">
        <f t="shared" si="56"/>
        <v>0</v>
      </c>
      <c r="J227" s="3" t="str">
        <f t="shared" si="57"/>
        <v>0</v>
      </c>
      <c r="K227" s="3" t="str">
        <f t="shared" si="58"/>
        <v>0</v>
      </c>
      <c r="L227" s="3" t="str">
        <f t="shared" si="59"/>
        <v>0</v>
      </c>
      <c r="M227" s="3" t="str">
        <f t="shared" si="60"/>
        <v>0</v>
      </c>
      <c r="N227" s="3" t="str">
        <f t="shared" si="61"/>
        <v>0</v>
      </c>
      <c r="O227" s="3" t="str">
        <f t="shared" si="62"/>
        <v>0</v>
      </c>
      <c r="P227" s="3" t="str">
        <f t="shared" si="63"/>
        <v>0</v>
      </c>
      <c r="Q227" s="3" t="str">
        <f t="shared" si="64"/>
        <v>0</v>
      </c>
      <c r="R227" s="3" t="str">
        <f t="shared" si="65"/>
        <v>0</v>
      </c>
      <c r="S227" s="3" t="str">
        <f t="shared" si="66"/>
        <v>0</v>
      </c>
      <c r="T227" s="3" t="str">
        <f t="shared" si="67"/>
        <v>0</v>
      </c>
      <c r="U227" s="3">
        <v>7515</v>
      </c>
      <c r="V227" s="3"/>
      <c r="W227" s="3"/>
      <c r="X227" s="3"/>
      <c r="Y227" s="3"/>
      <c r="Z227" s="3"/>
    </row>
    <row r="228" spans="1:26" x14ac:dyDescent="0.25">
      <c r="A228" s="2">
        <v>46134</v>
      </c>
      <c r="B228" s="3" t="s">
        <v>171</v>
      </c>
      <c r="C228" s="3" t="s">
        <v>269</v>
      </c>
      <c r="D228" s="4"/>
      <c r="E228" s="3"/>
      <c r="F228" s="6">
        <f t="shared" si="72"/>
        <v>0</v>
      </c>
      <c r="G228" s="211" t="e">
        <f t="shared" si="71"/>
        <v>#DIV/0!</v>
      </c>
      <c r="H228" s="3"/>
      <c r="I228" s="3" t="str">
        <f t="shared" si="56"/>
        <v>0</v>
      </c>
      <c r="J228" s="3" t="str">
        <f t="shared" si="57"/>
        <v>0</v>
      </c>
      <c r="K228" s="3" t="str">
        <f t="shared" si="58"/>
        <v>0</v>
      </c>
      <c r="L228" s="3" t="str">
        <f t="shared" si="59"/>
        <v>0</v>
      </c>
      <c r="M228" s="3" t="str">
        <f t="shared" si="60"/>
        <v>0</v>
      </c>
      <c r="N228" s="3" t="str">
        <f t="shared" si="61"/>
        <v>0</v>
      </c>
      <c r="O228" s="3" t="str">
        <f t="shared" si="62"/>
        <v>0</v>
      </c>
      <c r="P228" s="3" t="str">
        <f t="shared" si="63"/>
        <v>0</v>
      </c>
      <c r="Q228" s="3" t="str">
        <f t="shared" si="64"/>
        <v>0</v>
      </c>
      <c r="R228" s="3" t="str">
        <f t="shared" si="65"/>
        <v>0</v>
      </c>
      <c r="S228" s="3" t="str">
        <f t="shared" si="66"/>
        <v>0</v>
      </c>
      <c r="T228" s="3" t="str">
        <f t="shared" si="67"/>
        <v>0</v>
      </c>
      <c r="U228" s="3">
        <v>2070</v>
      </c>
      <c r="V228" s="3"/>
      <c r="W228" s="3"/>
      <c r="X228" s="3"/>
      <c r="Y228" s="3"/>
      <c r="Z228" s="3"/>
    </row>
    <row r="229" spans="1:26" x14ac:dyDescent="0.25">
      <c r="A229" s="2">
        <v>46134</v>
      </c>
      <c r="B229" s="3" t="s">
        <v>211</v>
      </c>
      <c r="C229" s="169" t="s">
        <v>267</v>
      </c>
      <c r="D229" s="4"/>
      <c r="E229" s="3"/>
      <c r="F229" s="211">
        <f t="shared" si="72"/>
        <v>0</v>
      </c>
      <c r="G229" s="211" t="e">
        <f t="shared" si="71"/>
        <v>#DIV/0!</v>
      </c>
      <c r="H229" s="3"/>
      <c r="I229" s="3" t="str">
        <f t="shared" si="56"/>
        <v>0</v>
      </c>
      <c r="J229" s="3" t="str">
        <f t="shared" si="57"/>
        <v>0</v>
      </c>
      <c r="K229" s="3" t="str">
        <f t="shared" si="58"/>
        <v>0</v>
      </c>
      <c r="L229" s="3" t="str">
        <f t="shared" si="59"/>
        <v>0</v>
      </c>
      <c r="M229" s="3" t="str">
        <f t="shared" si="60"/>
        <v>0</v>
      </c>
      <c r="N229" s="3" t="str">
        <f t="shared" si="61"/>
        <v>0</v>
      </c>
      <c r="O229" s="3" t="str">
        <f t="shared" si="62"/>
        <v>0</v>
      </c>
      <c r="P229" s="3" t="str">
        <f t="shared" si="63"/>
        <v>0</v>
      </c>
      <c r="Q229" s="3" t="str">
        <f t="shared" si="64"/>
        <v>0</v>
      </c>
      <c r="R229" s="3" t="str">
        <f t="shared" si="65"/>
        <v>0</v>
      </c>
      <c r="S229" s="3" t="str">
        <f t="shared" si="66"/>
        <v>0</v>
      </c>
      <c r="T229" s="3" t="str">
        <f t="shared" si="67"/>
        <v>0</v>
      </c>
      <c r="U229" s="3"/>
      <c r="V229" s="3"/>
      <c r="W229" s="3">
        <v>1760</v>
      </c>
      <c r="X229" s="3"/>
      <c r="Y229" s="3"/>
      <c r="Z229" s="3"/>
    </row>
    <row r="230" spans="1:26" x14ac:dyDescent="0.25">
      <c r="A230" s="2">
        <v>46135</v>
      </c>
      <c r="B230" s="3" t="s">
        <v>169</v>
      </c>
      <c r="C230" s="3" t="s">
        <v>261</v>
      </c>
      <c r="D230" s="4">
        <v>564</v>
      </c>
      <c r="E230" s="5">
        <v>0.88</v>
      </c>
      <c r="F230" s="6">
        <f t="shared" si="72"/>
        <v>496.32</v>
      </c>
      <c r="G230" s="211">
        <f t="shared" si="71"/>
        <v>35.131737588652484</v>
      </c>
      <c r="H230" s="7">
        <v>19814.3</v>
      </c>
      <c r="I230" s="3">
        <f t="shared" si="56"/>
        <v>564</v>
      </c>
      <c r="J230" s="3" t="str">
        <f t="shared" si="57"/>
        <v>0</v>
      </c>
      <c r="K230" s="3">
        <f t="shared" si="58"/>
        <v>496.32</v>
      </c>
      <c r="L230" s="3" t="str">
        <f t="shared" si="59"/>
        <v>0</v>
      </c>
      <c r="M230" s="3">
        <f t="shared" si="60"/>
        <v>19814.3</v>
      </c>
      <c r="N230" s="3" t="str">
        <f t="shared" si="61"/>
        <v>0</v>
      </c>
      <c r="O230" s="3" t="str">
        <f t="shared" si="62"/>
        <v>0</v>
      </c>
      <c r="P230" s="3" t="str">
        <f t="shared" si="63"/>
        <v>0</v>
      </c>
      <c r="Q230" s="3" t="str">
        <f t="shared" si="64"/>
        <v>0</v>
      </c>
      <c r="R230" s="3" t="str">
        <f t="shared" si="65"/>
        <v>0</v>
      </c>
      <c r="S230" s="3" t="str">
        <f t="shared" si="66"/>
        <v>0</v>
      </c>
      <c r="T230" s="3" t="str">
        <f t="shared" si="67"/>
        <v>0</v>
      </c>
      <c r="U230" s="3"/>
      <c r="V230" s="3"/>
      <c r="W230" s="3"/>
      <c r="X230" s="3"/>
      <c r="Y230" s="3"/>
      <c r="Z230" s="3"/>
    </row>
    <row r="231" spans="1:26" x14ac:dyDescent="0.25">
      <c r="A231" s="2">
        <v>46135</v>
      </c>
      <c r="B231" s="3" t="s">
        <v>169</v>
      </c>
      <c r="C231" s="169" t="s">
        <v>270</v>
      </c>
      <c r="D231" s="4">
        <v>319.87699391999996</v>
      </c>
      <c r="E231" s="5">
        <v>0.88</v>
      </c>
      <c r="F231" s="6">
        <f t="shared" si="72"/>
        <v>281.49175464959995</v>
      </c>
      <c r="G231" s="211">
        <f t="shared" si="71"/>
        <v>5.3770669122586712E-2</v>
      </c>
      <c r="H231" s="7">
        <v>17.2</v>
      </c>
      <c r="I231" s="3">
        <f t="shared" si="56"/>
        <v>319.87699391999996</v>
      </c>
      <c r="J231" s="3" t="str">
        <f t="shared" si="57"/>
        <v>0</v>
      </c>
      <c r="K231" s="3">
        <f t="shared" si="58"/>
        <v>281.49175464959995</v>
      </c>
      <c r="L231" s="3" t="str">
        <f t="shared" si="59"/>
        <v>0</v>
      </c>
      <c r="M231" s="3">
        <f t="shared" si="60"/>
        <v>17.2</v>
      </c>
      <c r="N231" s="3" t="str">
        <f t="shared" si="61"/>
        <v>0</v>
      </c>
      <c r="O231" s="3" t="str">
        <f t="shared" si="62"/>
        <v>0</v>
      </c>
      <c r="P231" s="3" t="str">
        <f t="shared" si="63"/>
        <v>0</v>
      </c>
      <c r="Q231" s="3" t="str">
        <f t="shared" si="64"/>
        <v>0</v>
      </c>
      <c r="R231" s="3" t="str">
        <f t="shared" si="65"/>
        <v>0</v>
      </c>
      <c r="S231" s="3" t="str">
        <f t="shared" si="66"/>
        <v>0</v>
      </c>
      <c r="T231" s="3" t="str">
        <f t="shared" si="67"/>
        <v>0</v>
      </c>
      <c r="U231" s="3"/>
      <c r="V231" s="3"/>
      <c r="W231" s="3"/>
      <c r="X231" s="3"/>
      <c r="Y231" s="3"/>
      <c r="Z231" s="3"/>
    </row>
    <row r="232" spans="1:26" x14ac:dyDescent="0.25">
      <c r="A232" s="2">
        <v>46135</v>
      </c>
      <c r="B232" s="3" t="s">
        <v>170</v>
      </c>
      <c r="C232" s="3" t="s">
        <v>261</v>
      </c>
      <c r="D232" s="4">
        <v>24</v>
      </c>
      <c r="E232" s="209">
        <v>0.995</v>
      </c>
      <c r="F232" s="6">
        <f t="shared" si="72"/>
        <v>23.88</v>
      </c>
      <c r="G232" s="211">
        <f t="shared" si="71"/>
        <v>0</v>
      </c>
      <c r="H232" s="3"/>
      <c r="I232" s="3" t="str">
        <f t="shared" si="56"/>
        <v>0</v>
      </c>
      <c r="J232" s="3" t="str">
        <f t="shared" si="57"/>
        <v>0</v>
      </c>
      <c r="K232" s="3" t="str">
        <f t="shared" si="58"/>
        <v>0</v>
      </c>
      <c r="L232" s="3" t="str">
        <f t="shared" si="59"/>
        <v>0</v>
      </c>
      <c r="M232" s="3" t="str">
        <f t="shared" si="60"/>
        <v>0</v>
      </c>
      <c r="N232" s="3" t="str">
        <f t="shared" si="61"/>
        <v>0</v>
      </c>
      <c r="O232" s="3">
        <f t="shared" si="62"/>
        <v>24</v>
      </c>
      <c r="P232" s="3" t="str">
        <f t="shared" si="63"/>
        <v>0</v>
      </c>
      <c r="Q232" s="3">
        <f t="shared" si="64"/>
        <v>23.88</v>
      </c>
      <c r="R232" s="3" t="str">
        <f t="shared" si="65"/>
        <v>0</v>
      </c>
      <c r="S232" s="3">
        <f t="shared" si="66"/>
        <v>0</v>
      </c>
      <c r="T232" s="3" t="str">
        <f t="shared" si="67"/>
        <v>0</v>
      </c>
      <c r="U232" s="3"/>
      <c r="V232" s="3"/>
      <c r="W232" s="3"/>
      <c r="X232" s="3"/>
      <c r="Y232" s="3"/>
      <c r="Z232" s="3"/>
    </row>
    <row r="233" spans="1:26" x14ac:dyDescent="0.25">
      <c r="A233" s="2">
        <v>46135</v>
      </c>
      <c r="B233" s="3" t="s">
        <v>170</v>
      </c>
      <c r="C233" s="169" t="s">
        <v>270</v>
      </c>
      <c r="D233" s="3">
        <v>319.87699391999996</v>
      </c>
      <c r="E233" s="3">
        <v>0.995</v>
      </c>
      <c r="F233" s="6">
        <f t="shared" si="72"/>
        <v>318.27760895039995</v>
      </c>
      <c r="G233" s="211">
        <f t="shared" si="71"/>
        <v>0</v>
      </c>
      <c r="H233" s="3"/>
      <c r="I233" s="3" t="str">
        <f t="shared" si="56"/>
        <v>0</v>
      </c>
      <c r="J233" s="3" t="str">
        <f t="shared" si="57"/>
        <v>0</v>
      </c>
      <c r="K233" s="3" t="str">
        <f t="shared" si="58"/>
        <v>0</v>
      </c>
      <c r="L233" s="3" t="str">
        <f t="shared" si="59"/>
        <v>0</v>
      </c>
      <c r="M233" s="3" t="str">
        <f t="shared" si="60"/>
        <v>0</v>
      </c>
      <c r="N233" s="3" t="str">
        <f t="shared" si="61"/>
        <v>0</v>
      </c>
      <c r="O233" s="3">
        <f t="shared" si="62"/>
        <v>319.87699391999996</v>
      </c>
      <c r="P233" s="3" t="str">
        <f t="shared" si="63"/>
        <v>0</v>
      </c>
      <c r="Q233" s="3">
        <f t="shared" si="64"/>
        <v>318.27760895039995</v>
      </c>
      <c r="R233" s="3" t="str">
        <f t="shared" si="65"/>
        <v>0</v>
      </c>
      <c r="S233" s="3">
        <f t="shared" si="66"/>
        <v>0</v>
      </c>
      <c r="T233" s="3" t="str">
        <f t="shared" si="67"/>
        <v>0</v>
      </c>
      <c r="U233" s="3"/>
      <c r="V233" s="3"/>
      <c r="W233" s="3"/>
      <c r="X233" s="3"/>
      <c r="Y233" s="3">
        <v>-497246.75</v>
      </c>
      <c r="Z233" s="3">
        <v>-990.39</v>
      </c>
    </row>
    <row r="234" spans="1:26" x14ac:dyDescent="0.25">
      <c r="A234" s="2">
        <v>46136</v>
      </c>
      <c r="B234" s="3" t="s">
        <v>170</v>
      </c>
      <c r="C234" s="169" t="s">
        <v>255</v>
      </c>
      <c r="D234" s="4">
        <v>471.8713472</v>
      </c>
      <c r="E234" s="209">
        <v>0.995</v>
      </c>
      <c r="F234" s="184">
        <f>D234*E234</f>
        <v>469.51199046400001</v>
      </c>
      <c r="G234" s="211"/>
      <c r="H234" s="210"/>
      <c r="I234" s="3" t="str">
        <f t="shared" si="56"/>
        <v>0</v>
      </c>
      <c r="J234" s="3" t="str">
        <f t="shared" si="57"/>
        <v>0</v>
      </c>
      <c r="K234" s="3" t="str">
        <f t="shared" si="58"/>
        <v>0</v>
      </c>
      <c r="L234" s="3" t="str">
        <f t="shared" si="59"/>
        <v>0</v>
      </c>
      <c r="M234" s="3" t="str">
        <f t="shared" si="60"/>
        <v>0</v>
      </c>
      <c r="N234" s="3" t="str">
        <f t="shared" si="61"/>
        <v>0</v>
      </c>
      <c r="O234" s="3">
        <f t="shared" si="62"/>
        <v>471.8713472</v>
      </c>
      <c r="P234" s="3" t="str">
        <f t="shared" si="63"/>
        <v>0</v>
      </c>
      <c r="Q234" s="3">
        <f t="shared" si="64"/>
        <v>469.51199046400001</v>
      </c>
      <c r="R234" s="3" t="str">
        <f t="shared" si="65"/>
        <v>0</v>
      </c>
      <c r="S234" s="3">
        <f t="shared" si="66"/>
        <v>0</v>
      </c>
      <c r="T234" s="3" t="str">
        <f t="shared" si="67"/>
        <v>0</v>
      </c>
      <c r="U234" s="3"/>
      <c r="V234" s="3"/>
      <c r="W234" s="3"/>
      <c r="X234" s="3"/>
      <c r="Y234" s="3"/>
      <c r="Z234" s="3"/>
    </row>
    <row r="235" spans="1:26" x14ac:dyDescent="0.25">
      <c r="A235" s="2">
        <v>46136</v>
      </c>
      <c r="B235" s="3" t="s">
        <v>170</v>
      </c>
      <c r="C235" s="169" t="s">
        <v>256</v>
      </c>
      <c r="D235" s="4">
        <v>471.8713472</v>
      </c>
      <c r="E235" s="209">
        <v>0.88</v>
      </c>
      <c r="F235" s="184">
        <f>D235*E235</f>
        <v>415.246785536</v>
      </c>
      <c r="G235" s="211">
        <f>H235/D235</f>
        <v>3.6185392695104501</v>
      </c>
      <c r="H235" s="210">
        <v>1707.4849999999999</v>
      </c>
      <c r="I235" s="3" t="str">
        <f t="shared" si="56"/>
        <v>0</v>
      </c>
      <c r="J235" s="3" t="str">
        <f t="shared" si="57"/>
        <v>0</v>
      </c>
      <c r="K235" s="3" t="str">
        <f t="shared" si="58"/>
        <v>0</v>
      </c>
      <c r="L235" s="3" t="str">
        <f t="shared" si="59"/>
        <v>0</v>
      </c>
      <c r="M235" s="3" t="str">
        <f t="shared" si="60"/>
        <v>0</v>
      </c>
      <c r="N235" s="3" t="str">
        <f t="shared" si="61"/>
        <v>0</v>
      </c>
      <c r="O235" s="3">
        <f t="shared" si="62"/>
        <v>471.8713472</v>
      </c>
      <c r="P235" s="3" t="str">
        <f t="shared" si="63"/>
        <v>0</v>
      </c>
      <c r="Q235" s="3">
        <f t="shared" si="64"/>
        <v>415.246785536</v>
      </c>
      <c r="R235" s="3" t="str">
        <f t="shared" si="65"/>
        <v>0</v>
      </c>
      <c r="S235" s="3">
        <f t="shared" si="66"/>
        <v>1707.4849999999999</v>
      </c>
      <c r="T235" s="3" t="str">
        <f t="shared" si="67"/>
        <v>0</v>
      </c>
      <c r="U235" s="3"/>
      <c r="V235" s="3"/>
      <c r="W235" s="3"/>
      <c r="X235" s="3"/>
      <c r="Y235" s="3"/>
      <c r="Z235" s="3"/>
    </row>
    <row r="236" spans="1:26" x14ac:dyDescent="0.25">
      <c r="A236" s="2">
        <v>46136</v>
      </c>
      <c r="B236" s="3" t="s">
        <v>169</v>
      </c>
      <c r="C236" s="169" t="s">
        <v>255</v>
      </c>
      <c r="D236" s="232">
        <v>1038.3155200000001</v>
      </c>
      <c r="E236" s="171">
        <v>0.88</v>
      </c>
      <c r="F236" s="172">
        <f t="shared" ref="F236:F241" si="73">+D236*E236</f>
        <v>913.71765760000005</v>
      </c>
      <c r="G236" s="211">
        <f t="shared" ref="G236:G241" si="74">+H236/D236</f>
        <v>4.6574956329266843</v>
      </c>
      <c r="H236" s="176">
        <v>4835.95</v>
      </c>
      <c r="I236" s="3">
        <f t="shared" si="56"/>
        <v>1038.3155200000001</v>
      </c>
      <c r="J236" s="3" t="str">
        <f t="shared" si="57"/>
        <v>0</v>
      </c>
      <c r="K236" s="3">
        <f t="shared" si="58"/>
        <v>913.71765760000005</v>
      </c>
      <c r="L236" s="3" t="str">
        <f t="shared" si="59"/>
        <v>0</v>
      </c>
      <c r="M236" s="3">
        <f t="shared" si="60"/>
        <v>4835.95</v>
      </c>
      <c r="N236" s="3" t="str">
        <f t="shared" si="61"/>
        <v>0</v>
      </c>
      <c r="O236" s="3" t="str">
        <f t="shared" si="62"/>
        <v>0</v>
      </c>
      <c r="P236" s="3" t="str">
        <f t="shared" si="63"/>
        <v>0</v>
      </c>
      <c r="Q236" s="3" t="str">
        <f t="shared" si="64"/>
        <v>0</v>
      </c>
      <c r="R236" s="3" t="str">
        <f t="shared" si="65"/>
        <v>0</v>
      </c>
      <c r="S236" s="3" t="str">
        <f t="shared" si="66"/>
        <v>0</v>
      </c>
      <c r="T236" s="3" t="str">
        <f t="shared" si="67"/>
        <v>0</v>
      </c>
      <c r="U236" s="3"/>
      <c r="V236" s="3"/>
      <c r="W236" s="3"/>
      <c r="X236" s="3"/>
      <c r="Y236" s="3"/>
      <c r="Z236" s="3"/>
    </row>
    <row r="237" spans="1:26" x14ac:dyDescent="0.25">
      <c r="A237" s="2">
        <v>46136</v>
      </c>
      <c r="B237" s="3" t="s">
        <v>209</v>
      </c>
      <c r="C237" s="169" t="s">
        <v>267</v>
      </c>
      <c r="D237" s="232">
        <v>321</v>
      </c>
      <c r="E237" s="173">
        <v>0.995</v>
      </c>
      <c r="F237" s="174">
        <f t="shared" si="73"/>
        <v>319.39499999999998</v>
      </c>
      <c r="G237" s="211">
        <f t="shared" si="74"/>
        <v>0</v>
      </c>
      <c r="H237" s="3"/>
      <c r="I237" s="3" t="str">
        <f t="shared" si="56"/>
        <v>0</v>
      </c>
      <c r="J237" s="3" t="str">
        <f t="shared" si="57"/>
        <v>0</v>
      </c>
      <c r="K237" s="3" t="str">
        <f t="shared" si="58"/>
        <v>0</v>
      </c>
      <c r="L237" s="3" t="str">
        <f t="shared" si="59"/>
        <v>0</v>
      </c>
      <c r="M237" s="3" t="str">
        <f t="shared" si="60"/>
        <v>0</v>
      </c>
      <c r="N237" s="3" t="str">
        <f t="shared" si="61"/>
        <v>0</v>
      </c>
      <c r="O237" s="3" t="str">
        <f t="shared" si="62"/>
        <v>0</v>
      </c>
      <c r="P237" s="3">
        <f t="shared" si="63"/>
        <v>321</v>
      </c>
      <c r="Q237" s="3" t="str">
        <f t="shared" si="64"/>
        <v>0</v>
      </c>
      <c r="R237" s="3">
        <f t="shared" si="65"/>
        <v>319.39499999999998</v>
      </c>
      <c r="S237" s="3" t="str">
        <f t="shared" si="66"/>
        <v>0</v>
      </c>
      <c r="T237" s="3">
        <f t="shared" si="67"/>
        <v>0</v>
      </c>
      <c r="U237" s="3"/>
      <c r="V237" s="3"/>
      <c r="W237" s="3"/>
      <c r="X237" s="3"/>
      <c r="Y237" s="3"/>
      <c r="Z237" s="3"/>
    </row>
    <row r="238" spans="1:26" x14ac:dyDescent="0.25">
      <c r="A238" s="2">
        <v>46136</v>
      </c>
      <c r="B238" s="3" t="s">
        <v>211</v>
      </c>
      <c r="C238" s="169" t="s">
        <v>267</v>
      </c>
      <c r="D238" s="4"/>
      <c r="E238" s="3"/>
      <c r="F238" s="211">
        <f t="shared" si="73"/>
        <v>0</v>
      </c>
      <c r="G238" s="211" t="e">
        <f t="shared" si="74"/>
        <v>#DIV/0!</v>
      </c>
      <c r="H238" s="3"/>
      <c r="I238" s="3" t="str">
        <f t="shared" si="56"/>
        <v>0</v>
      </c>
      <c r="J238" s="3" t="str">
        <f t="shared" si="57"/>
        <v>0</v>
      </c>
      <c r="K238" s="3" t="str">
        <f t="shared" si="58"/>
        <v>0</v>
      </c>
      <c r="L238" s="3" t="str">
        <f t="shared" si="59"/>
        <v>0</v>
      </c>
      <c r="M238" s="3" t="str">
        <f t="shared" si="60"/>
        <v>0</v>
      </c>
      <c r="N238" s="3" t="str">
        <f t="shared" si="61"/>
        <v>0</v>
      </c>
      <c r="O238" s="3" t="str">
        <f t="shared" si="62"/>
        <v>0</v>
      </c>
      <c r="P238" s="3" t="str">
        <f t="shared" si="63"/>
        <v>0</v>
      </c>
      <c r="Q238" s="3" t="str">
        <f t="shared" si="64"/>
        <v>0</v>
      </c>
      <c r="R238" s="3" t="str">
        <f t="shared" si="65"/>
        <v>0</v>
      </c>
      <c r="S238" s="3" t="str">
        <f t="shared" si="66"/>
        <v>0</v>
      </c>
      <c r="T238" s="3" t="str">
        <f t="shared" si="67"/>
        <v>0</v>
      </c>
      <c r="U238" s="3"/>
      <c r="V238" s="3"/>
      <c r="W238" s="3">
        <v>1707</v>
      </c>
      <c r="X238" s="3"/>
      <c r="Y238" s="3"/>
      <c r="Z238" s="3"/>
    </row>
    <row r="239" spans="1:26" x14ac:dyDescent="0.25">
      <c r="A239" s="2">
        <v>46136</v>
      </c>
      <c r="B239" s="3" t="s">
        <v>171</v>
      </c>
      <c r="C239" s="169" t="s">
        <v>255</v>
      </c>
      <c r="D239" s="4"/>
      <c r="E239" s="3"/>
      <c r="F239" s="6">
        <f t="shared" si="73"/>
        <v>0</v>
      </c>
      <c r="G239" s="211" t="e">
        <f t="shared" si="74"/>
        <v>#DIV/0!</v>
      </c>
      <c r="H239" s="3"/>
      <c r="I239" s="3" t="str">
        <f t="shared" si="56"/>
        <v>0</v>
      </c>
      <c r="J239" s="3" t="str">
        <f t="shared" si="57"/>
        <v>0</v>
      </c>
      <c r="K239" s="3" t="str">
        <f t="shared" si="58"/>
        <v>0</v>
      </c>
      <c r="L239" s="3" t="str">
        <f t="shared" si="59"/>
        <v>0</v>
      </c>
      <c r="M239" s="3" t="str">
        <f t="shared" si="60"/>
        <v>0</v>
      </c>
      <c r="N239" s="3" t="str">
        <f t="shared" si="61"/>
        <v>0</v>
      </c>
      <c r="O239" s="3" t="str">
        <f t="shared" si="62"/>
        <v>0</v>
      </c>
      <c r="P239" s="3" t="str">
        <f t="shared" si="63"/>
        <v>0</v>
      </c>
      <c r="Q239" s="3" t="str">
        <f t="shared" si="64"/>
        <v>0</v>
      </c>
      <c r="R239" s="3" t="str">
        <f t="shared" si="65"/>
        <v>0</v>
      </c>
      <c r="S239" s="3" t="str">
        <f t="shared" si="66"/>
        <v>0</v>
      </c>
      <c r="T239" s="3" t="str">
        <f t="shared" si="67"/>
        <v>0</v>
      </c>
      <c r="U239" s="3">
        <v>4840</v>
      </c>
      <c r="V239" s="3"/>
      <c r="W239" s="3"/>
      <c r="X239" s="3"/>
      <c r="Y239" s="3"/>
      <c r="Z239" s="3"/>
    </row>
    <row r="240" spans="1:26" x14ac:dyDescent="0.25">
      <c r="A240" s="2">
        <v>46137</v>
      </c>
      <c r="B240" s="3" t="s">
        <v>169</v>
      </c>
      <c r="C240" s="169" t="s">
        <v>257</v>
      </c>
      <c r="D240" s="4">
        <v>248.92</v>
      </c>
      <c r="E240" s="5">
        <v>0.88</v>
      </c>
      <c r="F240" s="6">
        <f t="shared" si="73"/>
        <v>219.0496</v>
      </c>
      <c r="G240" s="211">
        <f t="shared" si="74"/>
        <v>12.639000482082597</v>
      </c>
      <c r="H240" s="7">
        <v>3146.1</v>
      </c>
      <c r="I240" s="3">
        <f t="shared" si="56"/>
        <v>248.92</v>
      </c>
      <c r="J240" s="3" t="str">
        <f t="shared" si="57"/>
        <v>0</v>
      </c>
      <c r="K240" s="3">
        <f t="shared" si="58"/>
        <v>219.0496</v>
      </c>
      <c r="L240" s="3" t="str">
        <f t="shared" si="59"/>
        <v>0</v>
      </c>
      <c r="M240" s="3">
        <f t="shared" si="60"/>
        <v>3146.1</v>
      </c>
      <c r="N240" s="3" t="str">
        <f t="shared" si="61"/>
        <v>0</v>
      </c>
      <c r="O240" s="3" t="str">
        <f t="shared" si="62"/>
        <v>0</v>
      </c>
      <c r="P240" s="3" t="str">
        <f t="shared" si="63"/>
        <v>0</v>
      </c>
      <c r="Q240" s="3" t="str">
        <f t="shared" si="64"/>
        <v>0</v>
      </c>
      <c r="R240" s="3" t="str">
        <f t="shared" si="65"/>
        <v>0</v>
      </c>
      <c r="S240" s="3" t="str">
        <f t="shared" si="66"/>
        <v>0</v>
      </c>
      <c r="T240" s="3" t="str">
        <f t="shared" si="67"/>
        <v>0</v>
      </c>
      <c r="U240" s="3"/>
      <c r="V240" s="3"/>
      <c r="W240" s="3"/>
      <c r="X240" s="3"/>
      <c r="Y240" s="3"/>
      <c r="Z240" s="3"/>
    </row>
    <row r="241" spans="1:26" x14ac:dyDescent="0.25">
      <c r="A241" s="2">
        <v>46137</v>
      </c>
      <c r="B241" s="3" t="s">
        <v>169</v>
      </c>
      <c r="C241" s="3" t="s">
        <v>265</v>
      </c>
      <c r="D241" s="4">
        <v>255</v>
      </c>
      <c r="E241" s="5">
        <v>0.88</v>
      </c>
      <c r="F241" s="6">
        <f t="shared" si="73"/>
        <v>224.4</v>
      </c>
      <c r="G241" s="211">
        <f t="shared" si="74"/>
        <v>1.7317647058823529</v>
      </c>
      <c r="H241" s="7">
        <f>36.8*12</f>
        <v>441.59999999999997</v>
      </c>
      <c r="I241" s="3">
        <f t="shared" si="56"/>
        <v>255</v>
      </c>
      <c r="J241" s="3" t="str">
        <f t="shared" si="57"/>
        <v>0</v>
      </c>
      <c r="K241" s="3">
        <f t="shared" si="58"/>
        <v>224.4</v>
      </c>
      <c r="L241" s="3" t="str">
        <f t="shared" si="59"/>
        <v>0</v>
      </c>
      <c r="M241" s="3">
        <f t="shared" si="60"/>
        <v>441.59999999999997</v>
      </c>
      <c r="N241" s="3" t="str">
        <f t="shared" si="61"/>
        <v>0</v>
      </c>
      <c r="O241" s="3" t="str">
        <f t="shared" si="62"/>
        <v>0</v>
      </c>
      <c r="P241" s="3" t="str">
        <f t="shared" si="63"/>
        <v>0</v>
      </c>
      <c r="Q241" s="3" t="str">
        <f t="shared" si="64"/>
        <v>0</v>
      </c>
      <c r="R241" s="3" t="str">
        <f t="shared" si="65"/>
        <v>0</v>
      </c>
      <c r="S241" s="3" t="str">
        <f t="shared" si="66"/>
        <v>0</v>
      </c>
      <c r="T241" s="3" t="str">
        <f t="shared" si="67"/>
        <v>0</v>
      </c>
      <c r="U241" s="3"/>
      <c r="V241" s="3"/>
      <c r="W241" s="3"/>
      <c r="X241" s="3"/>
      <c r="Y241" s="3"/>
      <c r="Z241" s="3"/>
    </row>
    <row r="242" spans="1:26" x14ac:dyDescent="0.25">
      <c r="A242" s="2">
        <v>46137</v>
      </c>
      <c r="B242" s="3" t="s">
        <v>170</v>
      </c>
      <c r="C242" s="169" t="s">
        <v>256</v>
      </c>
      <c r="D242" s="4">
        <v>533.25184000000002</v>
      </c>
      <c r="E242" s="209">
        <v>0.88</v>
      </c>
      <c r="F242" s="184">
        <f>D242*E242</f>
        <v>469.26161920000004</v>
      </c>
      <c r="G242" s="211">
        <f>H242/D242</f>
        <v>3.0179033231277739</v>
      </c>
      <c r="H242" s="210">
        <v>1609.3025</v>
      </c>
      <c r="I242" s="3" t="str">
        <f t="shared" si="56"/>
        <v>0</v>
      </c>
      <c r="J242" s="3" t="str">
        <f t="shared" si="57"/>
        <v>0</v>
      </c>
      <c r="K242" s="3" t="str">
        <f t="shared" si="58"/>
        <v>0</v>
      </c>
      <c r="L242" s="3" t="str">
        <f t="shared" si="59"/>
        <v>0</v>
      </c>
      <c r="M242" s="3" t="str">
        <f t="shared" si="60"/>
        <v>0</v>
      </c>
      <c r="N242" s="3" t="str">
        <f t="shared" si="61"/>
        <v>0</v>
      </c>
      <c r="O242" s="3">
        <f t="shared" si="62"/>
        <v>533.25184000000002</v>
      </c>
      <c r="P242" s="3" t="str">
        <f t="shared" si="63"/>
        <v>0</v>
      </c>
      <c r="Q242" s="3">
        <f t="shared" si="64"/>
        <v>469.26161920000004</v>
      </c>
      <c r="R242" s="3" t="str">
        <f t="shared" si="65"/>
        <v>0</v>
      </c>
      <c r="S242" s="3">
        <f t="shared" si="66"/>
        <v>1609.3025</v>
      </c>
      <c r="T242" s="3" t="str">
        <f t="shared" si="67"/>
        <v>0</v>
      </c>
      <c r="U242" s="3"/>
      <c r="V242" s="3"/>
      <c r="W242" s="3"/>
      <c r="X242" s="3"/>
      <c r="Y242" s="3"/>
      <c r="Z242" s="3"/>
    </row>
    <row r="243" spans="1:26" x14ac:dyDescent="0.25">
      <c r="A243" s="2">
        <v>46137</v>
      </c>
      <c r="B243" s="3" t="s">
        <v>170</v>
      </c>
      <c r="C243" s="3" t="s">
        <v>261</v>
      </c>
      <c r="D243" s="4">
        <v>653</v>
      </c>
      <c r="E243" s="209">
        <v>0.995</v>
      </c>
      <c r="F243" s="184">
        <f>D243*E243</f>
        <v>649.73500000000001</v>
      </c>
      <c r="G243" s="211"/>
      <c r="H243" s="210"/>
      <c r="I243" s="3" t="str">
        <f t="shared" si="56"/>
        <v>0</v>
      </c>
      <c r="J243" s="3" t="str">
        <f t="shared" si="57"/>
        <v>0</v>
      </c>
      <c r="K243" s="3" t="str">
        <f t="shared" si="58"/>
        <v>0</v>
      </c>
      <c r="L243" s="3" t="str">
        <f t="shared" si="59"/>
        <v>0</v>
      </c>
      <c r="M243" s="3" t="str">
        <f t="shared" si="60"/>
        <v>0</v>
      </c>
      <c r="N243" s="3" t="str">
        <f t="shared" si="61"/>
        <v>0</v>
      </c>
      <c r="O243" s="3">
        <f t="shared" si="62"/>
        <v>653</v>
      </c>
      <c r="P243" s="3" t="str">
        <f t="shared" si="63"/>
        <v>0</v>
      </c>
      <c r="Q243" s="3">
        <f t="shared" si="64"/>
        <v>649.73500000000001</v>
      </c>
      <c r="R243" s="3" t="str">
        <f t="shared" si="65"/>
        <v>0</v>
      </c>
      <c r="S243" s="3">
        <f t="shared" si="66"/>
        <v>0</v>
      </c>
      <c r="T243" s="3" t="str">
        <f t="shared" si="67"/>
        <v>0</v>
      </c>
      <c r="U243" s="3"/>
      <c r="V243" s="3"/>
      <c r="W243" s="3"/>
      <c r="X243" s="3"/>
      <c r="Y243" s="3"/>
      <c r="Z243" s="3"/>
    </row>
    <row r="244" spans="1:26" x14ac:dyDescent="0.25">
      <c r="A244" s="2">
        <v>46137</v>
      </c>
      <c r="B244" s="3" t="s">
        <v>209</v>
      </c>
      <c r="C244" s="169" t="s">
        <v>267</v>
      </c>
      <c r="D244" s="4">
        <v>312</v>
      </c>
      <c r="E244" s="209">
        <v>0.995</v>
      </c>
      <c r="F244" s="184">
        <f>+D244*E244</f>
        <v>310.44</v>
      </c>
      <c r="G244" s="6">
        <f>+H244/D244</f>
        <v>0</v>
      </c>
      <c r="H244" s="3"/>
      <c r="I244" s="3" t="str">
        <f t="shared" si="56"/>
        <v>0</v>
      </c>
      <c r="J244" s="3" t="str">
        <f t="shared" si="57"/>
        <v>0</v>
      </c>
      <c r="K244" s="3" t="str">
        <f t="shared" si="58"/>
        <v>0</v>
      </c>
      <c r="L244" s="3" t="str">
        <f t="shared" si="59"/>
        <v>0</v>
      </c>
      <c r="M244" s="3" t="str">
        <f t="shared" si="60"/>
        <v>0</v>
      </c>
      <c r="N244" s="3" t="str">
        <f t="shared" si="61"/>
        <v>0</v>
      </c>
      <c r="O244" s="3" t="str">
        <f t="shared" si="62"/>
        <v>0</v>
      </c>
      <c r="P244" s="3">
        <f t="shared" si="63"/>
        <v>312</v>
      </c>
      <c r="Q244" s="3" t="str">
        <f t="shared" si="64"/>
        <v>0</v>
      </c>
      <c r="R244" s="3">
        <f t="shared" si="65"/>
        <v>310.44</v>
      </c>
      <c r="S244" s="3" t="str">
        <f t="shared" si="66"/>
        <v>0</v>
      </c>
      <c r="T244" s="3">
        <f t="shared" si="67"/>
        <v>0</v>
      </c>
      <c r="U244" s="3"/>
      <c r="V244" s="3"/>
      <c r="W244" s="3"/>
      <c r="X244" s="3"/>
      <c r="Y244" s="3"/>
      <c r="Z244" s="3"/>
    </row>
    <row r="245" spans="1:26" x14ac:dyDescent="0.25">
      <c r="A245" s="2">
        <v>46137</v>
      </c>
      <c r="B245" s="3" t="s">
        <v>211</v>
      </c>
      <c r="C245" s="169" t="s">
        <v>267</v>
      </c>
      <c r="D245" s="4"/>
      <c r="E245" s="3"/>
      <c r="F245" s="6">
        <f>+D245*E245</f>
        <v>0</v>
      </c>
      <c r="G245" s="6" t="e">
        <f>+H245/D245</f>
        <v>#DIV/0!</v>
      </c>
      <c r="H245" s="3"/>
      <c r="I245" s="3" t="str">
        <f t="shared" si="56"/>
        <v>0</v>
      </c>
      <c r="J245" s="3" t="str">
        <f t="shared" si="57"/>
        <v>0</v>
      </c>
      <c r="K245" s="3" t="str">
        <f t="shared" si="58"/>
        <v>0</v>
      </c>
      <c r="L245" s="3" t="str">
        <f t="shared" si="59"/>
        <v>0</v>
      </c>
      <c r="M245" s="3" t="str">
        <f t="shared" si="60"/>
        <v>0</v>
      </c>
      <c r="N245" s="3" t="str">
        <f t="shared" si="61"/>
        <v>0</v>
      </c>
      <c r="O245" s="3" t="str">
        <f t="shared" si="62"/>
        <v>0</v>
      </c>
      <c r="P245" s="3" t="str">
        <f t="shared" si="63"/>
        <v>0</v>
      </c>
      <c r="Q245" s="3" t="str">
        <f t="shared" si="64"/>
        <v>0</v>
      </c>
      <c r="R245" s="3" t="str">
        <f t="shared" si="65"/>
        <v>0</v>
      </c>
      <c r="S245" s="3" t="str">
        <f t="shared" si="66"/>
        <v>0</v>
      </c>
      <c r="T245" s="3" t="str">
        <f t="shared" si="67"/>
        <v>0</v>
      </c>
      <c r="U245" s="3"/>
      <c r="V245" s="3"/>
      <c r="W245" s="3">
        <v>1610</v>
      </c>
      <c r="X245" s="3"/>
      <c r="Y245" s="3"/>
      <c r="Z245" s="3"/>
    </row>
    <row r="246" spans="1:26" x14ac:dyDescent="0.25">
      <c r="A246" s="2">
        <v>46139</v>
      </c>
      <c r="B246" s="3" t="s">
        <v>170</v>
      </c>
      <c r="C246" s="169" t="s">
        <v>257</v>
      </c>
      <c r="D246" s="4">
        <v>1095.5999999999999</v>
      </c>
      <c r="E246" s="209">
        <v>0.995</v>
      </c>
      <c r="F246" s="184">
        <f>D246*E246</f>
        <v>1090.1219999999998</v>
      </c>
      <c r="G246" s="6"/>
      <c r="H246" s="210"/>
      <c r="I246" s="3" t="str">
        <f t="shared" si="56"/>
        <v>0</v>
      </c>
      <c r="J246" s="3" t="str">
        <f t="shared" si="57"/>
        <v>0</v>
      </c>
      <c r="K246" s="3" t="str">
        <f t="shared" si="58"/>
        <v>0</v>
      </c>
      <c r="L246" s="3" t="str">
        <f t="shared" si="59"/>
        <v>0</v>
      </c>
      <c r="M246" s="3" t="str">
        <f t="shared" si="60"/>
        <v>0</v>
      </c>
      <c r="N246" s="3" t="str">
        <f t="shared" si="61"/>
        <v>0</v>
      </c>
      <c r="O246" s="3">
        <f t="shared" si="62"/>
        <v>1095.5999999999999</v>
      </c>
      <c r="P246" s="3" t="str">
        <f t="shared" si="63"/>
        <v>0</v>
      </c>
      <c r="Q246" s="3">
        <f t="shared" si="64"/>
        <v>1090.1219999999998</v>
      </c>
      <c r="R246" s="3" t="str">
        <f t="shared" si="65"/>
        <v>0</v>
      </c>
      <c r="S246" s="3">
        <f t="shared" si="66"/>
        <v>0</v>
      </c>
      <c r="T246" s="3" t="str">
        <f t="shared" si="67"/>
        <v>0</v>
      </c>
      <c r="U246" s="3"/>
      <c r="V246" s="3"/>
      <c r="W246" s="3"/>
      <c r="X246" s="3"/>
      <c r="Y246" s="3"/>
      <c r="Z246" s="3"/>
    </row>
    <row r="247" spans="1:26" x14ac:dyDescent="0.25">
      <c r="A247" s="2">
        <v>46139</v>
      </c>
      <c r="B247" s="3" t="s">
        <v>170</v>
      </c>
      <c r="C247" s="169" t="s">
        <v>256</v>
      </c>
      <c r="D247" s="4">
        <v>533.25184000000002</v>
      </c>
      <c r="E247" s="209">
        <v>0.88</v>
      </c>
      <c r="F247" s="184">
        <f>D247*E247</f>
        <v>469.26161920000004</v>
      </c>
      <c r="G247" s="6">
        <f t="shared" ref="G247:G252" si="75">+H247/D247</f>
        <v>2.7804545409538575</v>
      </c>
      <c r="H247" s="210">
        <v>1482.6824999999999</v>
      </c>
      <c r="I247" s="3" t="str">
        <f t="shared" si="56"/>
        <v>0</v>
      </c>
      <c r="J247" s="3" t="str">
        <f t="shared" si="57"/>
        <v>0</v>
      </c>
      <c r="K247" s="3" t="str">
        <f t="shared" si="58"/>
        <v>0</v>
      </c>
      <c r="L247" s="3" t="str">
        <f t="shared" si="59"/>
        <v>0</v>
      </c>
      <c r="M247" s="3" t="str">
        <f t="shared" si="60"/>
        <v>0</v>
      </c>
      <c r="N247" s="3" t="str">
        <f t="shared" si="61"/>
        <v>0</v>
      </c>
      <c r="O247" s="3">
        <f t="shared" si="62"/>
        <v>533.25184000000002</v>
      </c>
      <c r="P247" s="3" t="str">
        <f t="shared" si="63"/>
        <v>0</v>
      </c>
      <c r="Q247" s="3">
        <f t="shared" si="64"/>
        <v>469.26161920000004</v>
      </c>
      <c r="R247" s="3" t="str">
        <f t="shared" si="65"/>
        <v>0</v>
      </c>
      <c r="S247" s="3">
        <f t="shared" si="66"/>
        <v>1482.6824999999999</v>
      </c>
      <c r="T247" s="3" t="str">
        <f t="shared" si="67"/>
        <v>0</v>
      </c>
      <c r="U247" s="3"/>
      <c r="V247" s="3"/>
      <c r="W247" s="3"/>
      <c r="X247" s="3"/>
      <c r="Y247" s="3"/>
      <c r="Z247" s="3"/>
    </row>
    <row r="248" spans="1:26" x14ac:dyDescent="0.25">
      <c r="A248" s="2">
        <v>46139</v>
      </c>
      <c r="B248" s="3" t="s">
        <v>169</v>
      </c>
      <c r="C248" s="169" t="s">
        <v>257</v>
      </c>
      <c r="D248" s="4">
        <v>363.49658399999998</v>
      </c>
      <c r="E248" s="5">
        <v>0.88</v>
      </c>
      <c r="F248" s="6">
        <f>+D248*E248</f>
        <v>319.87699391999996</v>
      </c>
      <c r="G248" s="6">
        <f t="shared" si="75"/>
        <v>5.3571342502629955</v>
      </c>
      <c r="H248" s="7">
        <v>1947.3</v>
      </c>
      <c r="I248" s="3">
        <f t="shared" si="56"/>
        <v>363.49658399999998</v>
      </c>
      <c r="J248" s="3" t="str">
        <f t="shared" si="57"/>
        <v>0</v>
      </c>
      <c r="K248" s="3">
        <f t="shared" si="58"/>
        <v>319.87699391999996</v>
      </c>
      <c r="L248" s="3" t="str">
        <f t="shared" si="59"/>
        <v>0</v>
      </c>
      <c r="M248" s="3">
        <f t="shared" si="60"/>
        <v>1947.3</v>
      </c>
      <c r="N248" s="3" t="str">
        <f t="shared" si="61"/>
        <v>0</v>
      </c>
      <c r="O248" s="3" t="str">
        <f t="shared" si="62"/>
        <v>0</v>
      </c>
      <c r="P248" s="3" t="str">
        <f t="shared" si="63"/>
        <v>0</v>
      </c>
      <c r="Q248" s="3" t="str">
        <f t="shared" si="64"/>
        <v>0</v>
      </c>
      <c r="R248" s="3" t="str">
        <f t="shared" si="65"/>
        <v>0</v>
      </c>
      <c r="S248" s="3" t="str">
        <f t="shared" si="66"/>
        <v>0</v>
      </c>
      <c r="T248" s="3" t="str">
        <f t="shared" si="67"/>
        <v>0</v>
      </c>
      <c r="U248" s="3"/>
      <c r="V248" s="3"/>
      <c r="W248" s="3"/>
      <c r="X248" s="3"/>
      <c r="Y248" s="3"/>
      <c r="Z248" s="3"/>
    </row>
    <row r="249" spans="1:26" x14ac:dyDescent="0.25">
      <c r="A249" s="2">
        <v>46139</v>
      </c>
      <c r="B249" s="3" t="s">
        <v>209</v>
      </c>
      <c r="C249" s="169" t="s">
        <v>267</v>
      </c>
      <c r="D249" s="4">
        <v>365</v>
      </c>
      <c r="E249" s="209">
        <v>0.995</v>
      </c>
      <c r="F249" s="184">
        <f>+D249*E249</f>
        <v>363.17500000000001</v>
      </c>
      <c r="G249" s="6">
        <f t="shared" si="75"/>
        <v>0</v>
      </c>
      <c r="H249" s="3"/>
      <c r="I249" s="3" t="str">
        <f t="shared" si="56"/>
        <v>0</v>
      </c>
      <c r="J249" s="3" t="str">
        <f t="shared" si="57"/>
        <v>0</v>
      </c>
      <c r="K249" s="3" t="str">
        <f t="shared" si="58"/>
        <v>0</v>
      </c>
      <c r="L249" s="3" t="str">
        <f t="shared" si="59"/>
        <v>0</v>
      </c>
      <c r="M249" s="3" t="str">
        <f t="shared" si="60"/>
        <v>0</v>
      </c>
      <c r="N249" s="3" t="str">
        <f t="shared" si="61"/>
        <v>0</v>
      </c>
      <c r="O249" s="3" t="str">
        <f t="shared" si="62"/>
        <v>0</v>
      </c>
      <c r="P249" s="3">
        <f t="shared" si="63"/>
        <v>365</v>
      </c>
      <c r="Q249" s="3" t="str">
        <f t="shared" si="64"/>
        <v>0</v>
      </c>
      <c r="R249" s="3">
        <f t="shared" si="65"/>
        <v>363.17500000000001</v>
      </c>
      <c r="S249" s="3" t="str">
        <f t="shared" si="66"/>
        <v>0</v>
      </c>
      <c r="T249" s="3">
        <f t="shared" si="67"/>
        <v>0</v>
      </c>
      <c r="U249" s="3"/>
      <c r="V249" s="3"/>
      <c r="W249" s="3"/>
      <c r="X249" s="3"/>
      <c r="Y249" s="3"/>
      <c r="Z249" s="3"/>
    </row>
    <row r="250" spans="1:26" x14ac:dyDescent="0.25">
      <c r="A250" s="2">
        <v>46139</v>
      </c>
      <c r="B250" s="3" t="s">
        <v>211</v>
      </c>
      <c r="C250" s="169" t="s">
        <v>267</v>
      </c>
      <c r="D250" s="4"/>
      <c r="E250" s="3"/>
      <c r="F250" s="6">
        <f>+D250*E250</f>
        <v>0</v>
      </c>
      <c r="G250" s="6" t="e">
        <f t="shared" si="75"/>
        <v>#DIV/0!</v>
      </c>
      <c r="H250" s="3"/>
      <c r="I250" s="3" t="str">
        <f t="shared" si="56"/>
        <v>0</v>
      </c>
      <c r="J250" s="3" t="str">
        <f t="shared" si="57"/>
        <v>0</v>
      </c>
      <c r="K250" s="3" t="str">
        <f t="shared" si="58"/>
        <v>0</v>
      </c>
      <c r="L250" s="3" t="str">
        <f t="shared" si="59"/>
        <v>0</v>
      </c>
      <c r="M250" s="3" t="str">
        <f t="shared" si="60"/>
        <v>0</v>
      </c>
      <c r="N250" s="3" t="str">
        <f t="shared" si="61"/>
        <v>0</v>
      </c>
      <c r="O250" s="3" t="str">
        <f t="shared" si="62"/>
        <v>0</v>
      </c>
      <c r="P250" s="3" t="str">
        <f t="shared" si="63"/>
        <v>0</v>
      </c>
      <c r="Q250" s="3" t="str">
        <f t="shared" si="64"/>
        <v>0</v>
      </c>
      <c r="R250" s="3" t="str">
        <f t="shared" si="65"/>
        <v>0</v>
      </c>
      <c r="S250" s="3" t="str">
        <f t="shared" si="66"/>
        <v>0</v>
      </c>
      <c r="T250" s="3" t="str">
        <f t="shared" si="67"/>
        <v>0</v>
      </c>
      <c r="U250" s="3"/>
      <c r="V250" s="3"/>
      <c r="W250" s="3">
        <v>1480</v>
      </c>
      <c r="X250" s="3"/>
      <c r="Y250" s="3"/>
      <c r="Z250" s="3"/>
    </row>
    <row r="251" spans="1:26" x14ac:dyDescent="0.25">
      <c r="A251" s="2">
        <v>46140</v>
      </c>
      <c r="B251" s="3" t="s">
        <v>169</v>
      </c>
      <c r="C251" s="169" t="s">
        <v>257</v>
      </c>
      <c r="D251" s="4">
        <v>165.17599999999999</v>
      </c>
      <c r="E251" s="5">
        <v>0.88</v>
      </c>
      <c r="F251" s="6">
        <f>+D251*E251</f>
        <v>145.35487999999998</v>
      </c>
      <c r="G251" s="6">
        <f t="shared" si="75"/>
        <v>3.3891122196929344</v>
      </c>
      <c r="H251" s="7">
        <v>559.80000000000007</v>
      </c>
      <c r="I251" s="3">
        <f t="shared" si="56"/>
        <v>165.17599999999999</v>
      </c>
      <c r="J251" s="3" t="str">
        <f t="shared" si="57"/>
        <v>0</v>
      </c>
      <c r="K251" s="3">
        <f t="shared" si="58"/>
        <v>145.35487999999998</v>
      </c>
      <c r="L251" s="3" t="str">
        <f t="shared" si="59"/>
        <v>0</v>
      </c>
      <c r="M251" s="3">
        <f t="shared" si="60"/>
        <v>559.80000000000007</v>
      </c>
      <c r="N251" s="3" t="str">
        <f t="shared" si="61"/>
        <v>0</v>
      </c>
      <c r="O251" s="3" t="str">
        <f t="shared" si="62"/>
        <v>0</v>
      </c>
      <c r="P251" s="3" t="str">
        <f t="shared" si="63"/>
        <v>0</v>
      </c>
      <c r="Q251" s="3" t="str">
        <f t="shared" si="64"/>
        <v>0</v>
      </c>
      <c r="R251" s="3" t="str">
        <f t="shared" si="65"/>
        <v>0</v>
      </c>
      <c r="S251" s="3" t="str">
        <f t="shared" si="66"/>
        <v>0</v>
      </c>
      <c r="T251" s="3" t="str">
        <f t="shared" si="67"/>
        <v>0</v>
      </c>
      <c r="U251" s="3"/>
      <c r="V251" s="3"/>
      <c r="W251" s="3"/>
      <c r="X251" s="3"/>
      <c r="Y251" s="3"/>
      <c r="Z251" s="3"/>
    </row>
    <row r="252" spans="1:26" x14ac:dyDescent="0.25">
      <c r="A252" s="2">
        <v>46140</v>
      </c>
      <c r="B252" s="3" t="s">
        <v>170</v>
      </c>
      <c r="C252" s="169" t="s">
        <v>257</v>
      </c>
      <c r="D252" s="4">
        <v>934.64799999999991</v>
      </c>
      <c r="E252" s="209">
        <v>0.995</v>
      </c>
      <c r="F252" s="184">
        <f>D252*E252</f>
        <v>929.97475999999995</v>
      </c>
      <c r="G252" s="6">
        <f t="shared" si="75"/>
        <v>0</v>
      </c>
      <c r="H252" s="3"/>
      <c r="I252" s="3" t="str">
        <f t="shared" si="56"/>
        <v>0</v>
      </c>
      <c r="J252" s="3" t="str">
        <f t="shared" si="57"/>
        <v>0</v>
      </c>
      <c r="K252" s="3" t="str">
        <f t="shared" si="58"/>
        <v>0</v>
      </c>
      <c r="L252" s="3" t="str">
        <f t="shared" si="59"/>
        <v>0</v>
      </c>
      <c r="M252" s="3" t="str">
        <f t="shared" si="60"/>
        <v>0</v>
      </c>
      <c r="N252" s="3" t="str">
        <f t="shared" si="61"/>
        <v>0</v>
      </c>
      <c r="O252" s="3">
        <f t="shared" si="62"/>
        <v>934.64799999999991</v>
      </c>
      <c r="P252" s="3" t="str">
        <f t="shared" si="63"/>
        <v>0</v>
      </c>
      <c r="Q252" s="3">
        <f t="shared" si="64"/>
        <v>929.97475999999995</v>
      </c>
      <c r="R252" s="3" t="str">
        <f t="shared" si="65"/>
        <v>0</v>
      </c>
      <c r="S252" s="3">
        <f t="shared" si="66"/>
        <v>0</v>
      </c>
      <c r="T252" s="3" t="str">
        <f t="shared" si="67"/>
        <v>0</v>
      </c>
      <c r="U252" s="3"/>
      <c r="V252" s="3"/>
      <c r="W252" s="3"/>
      <c r="X252" s="3"/>
      <c r="Y252" s="3"/>
      <c r="Z252" s="3"/>
    </row>
    <row r="253" spans="1:26" x14ac:dyDescent="0.25">
      <c r="A253" s="2">
        <v>46141</v>
      </c>
      <c r="B253" s="3" t="s">
        <v>170</v>
      </c>
      <c r="C253" s="169" t="s">
        <v>260</v>
      </c>
      <c r="D253" s="4">
        <v>1258</v>
      </c>
      <c r="E253" s="209">
        <v>0.88</v>
      </c>
      <c r="F253" s="184">
        <f>D253*E253</f>
        <v>1107.04</v>
      </c>
      <c r="G253" s="6">
        <f>H253/D253</f>
        <v>1.43879173290938</v>
      </c>
      <c r="H253" s="233">
        <v>1810</v>
      </c>
      <c r="I253" s="3" t="str">
        <f t="shared" si="56"/>
        <v>0</v>
      </c>
      <c r="J253" s="3" t="str">
        <f t="shared" si="57"/>
        <v>0</v>
      </c>
      <c r="K253" s="3" t="str">
        <f t="shared" si="58"/>
        <v>0</v>
      </c>
      <c r="L253" s="3" t="str">
        <f t="shared" si="59"/>
        <v>0</v>
      </c>
      <c r="M253" s="3" t="str">
        <f t="shared" si="60"/>
        <v>0</v>
      </c>
      <c r="N253" s="3" t="str">
        <f t="shared" si="61"/>
        <v>0</v>
      </c>
      <c r="O253" s="3">
        <f t="shared" si="62"/>
        <v>1258</v>
      </c>
      <c r="P253" s="3" t="str">
        <f t="shared" si="63"/>
        <v>0</v>
      </c>
      <c r="Q253" s="3">
        <f t="shared" si="64"/>
        <v>1107.04</v>
      </c>
      <c r="R253" s="3" t="str">
        <f t="shared" si="65"/>
        <v>0</v>
      </c>
      <c r="S253" s="3">
        <f t="shared" si="66"/>
        <v>1810</v>
      </c>
      <c r="T253" s="3" t="str">
        <f t="shared" si="67"/>
        <v>0</v>
      </c>
      <c r="U253" s="3"/>
      <c r="V253" s="3"/>
      <c r="W253" s="3"/>
      <c r="X253" s="3"/>
      <c r="Y253" s="3"/>
      <c r="Z253" s="3"/>
    </row>
    <row r="254" spans="1:26" x14ac:dyDescent="0.25">
      <c r="A254" s="2">
        <v>46141</v>
      </c>
      <c r="B254" s="3" t="s">
        <v>209</v>
      </c>
      <c r="C254" s="169" t="s">
        <v>266</v>
      </c>
      <c r="D254" s="4">
        <v>489.45600000000002</v>
      </c>
      <c r="E254" s="209">
        <v>0.995</v>
      </c>
      <c r="F254" s="184">
        <f>+D254*E254</f>
        <v>487.00872000000004</v>
      </c>
      <c r="G254" s="6">
        <f t="shared" ref="G254:G267" si="76">+H254/D254</f>
        <v>0</v>
      </c>
      <c r="H254" s="3"/>
      <c r="I254" s="3" t="str">
        <f t="shared" si="56"/>
        <v>0</v>
      </c>
      <c r="J254" s="3" t="str">
        <f t="shared" si="57"/>
        <v>0</v>
      </c>
      <c r="K254" s="3" t="str">
        <f t="shared" si="58"/>
        <v>0</v>
      </c>
      <c r="L254" s="3" t="str">
        <f t="shared" si="59"/>
        <v>0</v>
      </c>
      <c r="M254" s="3" t="str">
        <f t="shared" si="60"/>
        <v>0</v>
      </c>
      <c r="N254" s="3" t="str">
        <f t="shared" si="61"/>
        <v>0</v>
      </c>
      <c r="O254" s="3" t="str">
        <f t="shared" si="62"/>
        <v>0</v>
      </c>
      <c r="P254" s="3">
        <f t="shared" si="63"/>
        <v>489.45600000000002</v>
      </c>
      <c r="Q254" s="3" t="str">
        <f t="shared" si="64"/>
        <v>0</v>
      </c>
      <c r="R254" s="3">
        <f t="shared" si="65"/>
        <v>487.00872000000004</v>
      </c>
      <c r="S254" s="3" t="str">
        <f t="shared" si="66"/>
        <v>0</v>
      </c>
      <c r="T254" s="3">
        <f t="shared" si="67"/>
        <v>0</v>
      </c>
      <c r="U254" s="3"/>
      <c r="V254" s="3"/>
      <c r="W254" s="3"/>
      <c r="X254" s="3"/>
      <c r="Y254" s="3"/>
      <c r="Z254" s="3"/>
    </row>
    <row r="255" spans="1:26" x14ac:dyDescent="0.25">
      <c r="A255" s="2">
        <v>46141</v>
      </c>
      <c r="B255" s="3" t="s">
        <v>211</v>
      </c>
      <c r="C255" s="169" t="s">
        <v>266</v>
      </c>
      <c r="D255" s="4"/>
      <c r="E255" s="3"/>
      <c r="F255" s="6">
        <f>+D255*E255</f>
        <v>0</v>
      </c>
      <c r="G255" s="6" t="e">
        <f t="shared" si="76"/>
        <v>#DIV/0!</v>
      </c>
      <c r="H255" s="3"/>
      <c r="I255" s="3" t="str">
        <f t="shared" si="56"/>
        <v>0</v>
      </c>
      <c r="J255" s="3" t="str">
        <f t="shared" si="57"/>
        <v>0</v>
      </c>
      <c r="K255" s="3" t="str">
        <f t="shared" si="58"/>
        <v>0</v>
      </c>
      <c r="L255" s="3" t="str">
        <f t="shared" si="59"/>
        <v>0</v>
      </c>
      <c r="M255" s="3" t="str">
        <f t="shared" si="60"/>
        <v>0</v>
      </c>
      <c r="N255" s="3" t="str">
        <f t="shared" si="61"/>
        <v>0</v>
      </c>
      <c r="O255" s="3" t="str">
        <f t="shared" si="62"/>
        <v>0</v>
      </c>
      <c r="P255" s="3" t="str">
        <f t="shared" si="63"/>
        <v>0</v>
      </c>
      <c r="Q255" s="3" t="str">
        <f t="shared" si="64"/>
        <v>0</v>
      </c>
      <c r="R255" s="3" t="str">
        <f t="shared" si="65"/>
        <v>0</v>
      </c>
      <c r="S255" s="3" t="str">
        <f t="shared" si="66"/>
        <v>0</v>
      </c>
      <c r="T255" s="3" t="str">
        <f t="shared" si="67"/>
        <v>0</v>
      </c>
      <c r="U255" s="3"/>
      <c r="V255" s="3"/>
      <c r="W255" s="3">
        <v>1810</v>
      </c>
      <c r="X255" s="3"/>
      <c r="Y255" s="3"/>
      <c r="Z255" s="3"/>
    </row>
    <row r="256" spans="1:26" x14ac:dyDescent="0.25">
      <c r="A256" s="2">
        <v>46085</v>
      </c>
      <c r="B256" s="3" t="s">
        <v>169</v>
      </c>
      <c r="C256" s="169" t="s">
        <v>268</v>
      </c>
      <c r="D256" s="170">
        <v>424.67</v>
      </c>
      <c r="E256" s="171">
        <v>0.88</v>
      </c>
      <c r="F256" s="211">
        <f>+D256*E256</f>
        <v>373.70960000000002</v>
      </c>
      <c r="G256" s="224">
        <f t="shared" si="76"/>
        <v>5.6009136505992885</v>
      </c>
      <c r="H256" s="176">
        <v>2378.54</v>
      </c>
      <c r="I256" s="158">
        <f t="shared" si="56"/>
        <v>424.67</v>
      </c>
      <c r="J256" s="3" t="str">
        <f t="shared" si="57"/>
        <v>0</v>
      </c>
      <c r="K256" s="3">
        <f t="shared" si="58"/>
        <v>373.70960000000002</v>
      </c>
      <c r="L256" s="3" t="str">
        <f t="shared" si="59"/>
        <v>0</v>
      </c>
      <c r="M256" s="3">
        <f t="shared" si="60"/>
        <v>2378.54</v>
      </c>
      <c r="N256" s="3" t="str">
        <f t="shared" si="61"/>
        <v>0</v>
      </c>
      <c r="O256" s="3" t="str">
        <f t="shared" si="62"/>
        <v>0</v>
      </c>
      <c r="P256" s="3" t="str">
        <f t="shared" si="63"/>
        <v>0</v>
      </c>
      <c r="Q256" s="3" t="str">
        <f t="shared" si="64"/>
        <v>0</v>
      </c>
      <c r="R256" s="3" t="str">
        <f t="shared" si="65"/>
        <v>0</v>
      </c>
      <c r="S256" s="3" t="str">
        <f t="shared" si="66"/>
        <v>0</v>
      </c>
      <c r="T256" s="3" t="str">
        <f t="shared" si="67"/>
        <v>0</v>
      </c>
      <c r="U256" s="3"/>
      <c r="V256" s="3"/>
      <c r="W256" s="3"/>
      <c r="X256" s="3"/>
      <c r="Y256" s="3"/>
      <c r="Z256" s="3"/>
    </row>
    <row r="257" spans="1:26" x14ac:dyDescent="0.25">
      <c r="A257" s="2">
        <v>46085</v>
      </c>
      <c r="B257" s="3" t="s">
        <v>169</v>
      </c>
      <c r="C257" s="169" t="s">
        <v>282</v>
      </c>
      <c r="D257" s="170">
        <v>1664.19</v>
      </c>
      <c r="E257" s="171">
        <v>0.88</v>
      </c>
      <c r="F257" s="211">
        <f>+D257*E257</f>
        <v>1464.4872</v>
      </c>
      <c r="G257" s="224">
        <f t="shared" si="76"/>
        <v>4.42</v>
      </c>
      <c r="H257" s="176">
        <v>7355.7197999999999</v>
      </c>
      <c r="I257" s="158">
        <f t="shared" si="56"/>
        <v>1664.19</v>
      </c>
      <c r="J257" s="3" t="str">
        <f t="shared" si="57"/>
        <v>0</v>
      </c>
      <c r="K257" s="3">
        <f t="shared" si="58"/>
        <v>1464.4872</v>
      </c>
      <c r="L257" s="3" t="str">
        <f t="shared" si="59"/>
        <v>0</v>
      </c>
      <c r="M257" s="3">
        <f t="shared" si="60"/>
        <v>7355.7197999999999</v>
      </c>
      <c r="N257" s="3" t="str">
        <f t="shared" si="61"/>
        <v>0</v>
      </c>
      <c r="O257" s="3" t="str">
        <f t="shared" si="62"/>
        <v>0</v>
      </c>
      <c r="P257" s="3" t="str">
        <f t="shared" si="63"/>
        <v>0</v>
      </c>
      <c r="Q257" s="3" t="str">
        <f t="shared" si="64"/>
        <v>0</v>
      </c>
      <c r="R257" s="3" t="str">
        <f t="shared" si="65"/>
        <v>0</v>
      </c>
      <c r="S257" s="3" t="str">
        <f t="shared" si="66"/>
        <v>0</v>
      </c>
      <c r="T257" s="3" t="str">
        <f t="shared" si="67"/>
        <v>0</v>
      </c>
      <c r="U257" s="3"/>
      <c r="V257" s="3"/>
      <c r="W257" s="3"/>
      <c r="X257" s="3"/>
      <c r="Y257" s="3"/>
      <c r="Z257" s="3"/>
    </row>
    <row r="258" spans="1:26" x14ac:dyDescent="0.25">
      <c r="A258" s="2">
        <v>46085</v>
      </c>
      <c r="B258" s="3" t="s">
        <v>170</v>
      </c>
      <c r="C258" s="169" t="s">
        <v>282</v>
      </c>
      <c r="D258" s="170">
        <v>1001.35</v>
      </c>
      <c r="E258" s="171">
        <v>1</v>
      </c>
      <c r="F258" s="231">
        <f>D258*E258</f>
        <v>1001.35</v>
      </c>
      <c r="G258" s="224">
        <f t="shared" si="76"/>
        <v>0</v>
      </c>
      <c r="H258" s="3"/>
      <c r="I258" s="158" t="str">
        <f t="shared" ref="I258:I273" si="77">IF(B258="SALES",D258,"0")</f>
        <v>0</v>
      </c>
      <c r="J258" s="3" t="str">
        <f t="shared" ref="J258:J273" si="78">IF(B258="SALES RETURN",D258,"0")</f>
        <v>0</v>
      </c>
      <c r="K258" s="3" t="str">
        <f t="shared" ref="K258:K273" si="79">IF(B258="SALES",F258,"0")</f>
        <v>0</v>
      </c>
      <c r="L258" s="3" t="str">
        <f t="shared" ref="L258:L273" si="80">IF(B258="SALES RETURN",F258,"0")</f>
        <v>0</v>
      </c>
      <c r="M258" s="3" t="str">
        <f t="shared" ref="M258:M273" si="81">IF(B258="SALES",H258,"0")</f>
        <v>0</v>
      </c>
      <c r="N258" s="3" t="str">
        <f t="shared" ref="N258:N273" si="82">IF(B258="SALES RETURN",H258,"0")</f>
        <v>0</v>
      </c>
      <c r="O258" s="3">
        <f t="shared" ref="O258:O273" si="83">IF(B258="PURCHASE",D258,"0")</f>
        <v>1001.35</v>
      </c>
      <c r="P258" s="3" t="str">
        <f t="shared" ref="P258:P273" si="84">IF(B258="METAL PAYMENT",D258,"0")</f>
        <v>0</v>
      </c>
      <c r="Q258" s="3">
        <f t="shared" ref="Q258:Q273" si="85">IF(B258="PURCHASE",F258,"0")</f>
        <v>1001.35</v>
      </c>
      <c r="R258" s="3" t="str">
        <f t="shared" ref="R258:R273" si="86">IF(B258="METAL PAYMENT",F258,"0")</f>
        <v>0</v>
      </c>
      <c r="S258" s="3">
        <f t="shared" ref="S258:S273" si="87">IF(B258="PURCHASE",H258,"0")</f>
        <v>0</v>
      </c>
      <c r="T258" s="3" t="str">
        <f t="shared" ref="T258:T273" si="88">IF(B258="METAL PAYMENT",H258,"0")</f>
        <v>0</v>
      </c>
      <c r="U258" s="3"/>
      <c r="V258" s="3"/>
      <c r="W258" s="3"/>
      <c r="X258" s="3"/>
      <c r="Y258" s="3"/>
      <c r="Z258" s="3"/>
    </row>
    <row r="259" spans="1:26" x14ac:dyDescent="0.25">
      <c r="A259" s="2">
        <v>46085</v>
      </c>
      <c r="B259" s="3" t="s">
        <v>170</v>
      </c>
      <c r="C259" s="169" t="s">
        <v>282</v>
      </c>
      <c r="D259" s="170">
        <v>465.46</v>
      </c>
      <c r="E259" s="171">
        <v>0.995</v>
      </c>
      <c r="F259" s="231">
        <f>D259*E259</f>
        <v>463.1327</v>
      </c>
      <c r="G259" s="224">
        <f t="shared" si="76"/>
        <v>0</v>
      </c>
      <c r="H259" s="3"/>
      <c r="I259" s="158" t="str">
        <f t="shared" si="77"/>
        <v>0</v>
      </c>
      <c r="J259" s="3" t="str">
        <f t="shared" si="78"/>
        <v>0</v>
      </c>
      <c r="K259" s="3" t="str">
        <f t="shared" si="79"/>
        <v>0</v>
      </c>
      <c r="L259" s="3" t="str">
        <f t="shared" si="80"/>
        <v>0</v>
      </c>
      <c r="M259" s="3" t="str">
        <f t="shared" si="81"/>
        <v>0</v>
      </c>
      <c r="N259" s="3" t="str">
        <f t="shared" si="82"/>
        <v>0</v>
      </c>
      <c r="O259" s="3">
        <f t="shared" si="83"/>
        <v>465.46</v>
      </c>
      <c r="P259" s="3" t="str">
        <f t="shared" si="84"/>
        <v>0</v>
      </c>
      <c r="Q259" s="3">
        <f t="shared" si="85"/>
        <v>463.1327</v>
      </c>
      <c r="R259" s="3" t="str">
        <f t="shared" si="86"/>
        <v>0</v>
      </c>
      <c r="S259" s="3">
        <f t="shared" si="87"/>
        <v>0</v>
      </c>
      <c r="T259" s="3" t="str">
        <f t="shared" si="88"/>
        <v>0</v>
      </c>
      <c r="U259" s="3"/>
      <c r="V259" s="3"/>
      <c r="W259" s="3"/>
      <c r="X259" s="3"/>
      <c r="Y259" s="3"/>
      <c r="Z259" s="3"/>
    </row>
    <row r="260" spans="1:26" x14ac:dyDescent="0.25">
      <c r="A260" s="2">
        <v>46094</v>
      </c>
      <c r="B260" s="3" t="s">
        <v>169</v>
      </c>
      <c r="C260" s="169" t="s">
        <v>268</v>
      </c>
      <c r="D260" s="170">
        <v>39.74</v>
      </c>
      <c r="E260" s="171">
        <v>0.88</v>
      </c>
      <c r="F260" s="231">
        <f>D260*E260</f>
        <v>34.971200000000003</v>
      </c>
      <c r="G260" s="224">
        <f t="shared" si="76"/>
        <v>9.9999999999999982</v>
      </c>
      <c r="H260" s="176">
        <v>397.4</v>
      </c>
      <c r="I260" s="158">
        <f t="shared" si="77"/>
        <v>39.74</v>
      </c>
      <c r="J260" s="3" t="str">
        <f t="shared" si="78"/>
        <v>0</v>
      </c>
      <c r="K260" s="3">
        <f t="shared" si="79"/>
        <v>34.971200000000003</v>
      </c>
      <c r="L260" s="3" t="str">
        <f t="shared" si="80"/>
        <v>0</v>
      </c>
      <c r="M260" s="3">
        <f t="shared" si="81"/>
        <v>397.4</v>
      </c>
      <c r="N260" s="3" t="str">
        <f t="shared" si="82"/>
        <v>0</v>
      </c>
      <c r="O260" s="3" t="str">
        <f t="shared" si="83"/>
        <v>0</v>
      </c>
      <c r="P260" s="3" t="str">
        <f t="shared" si="84"/>
        <v>0</v>
      </c>
      <c r="Q260" s="3" t="str">
        <f t="shared" si="85"/>
        <v>0</v>
      </c>
      <c r="R260" s="3" t="str">
        <f t="shared" si="86"/>
        <v>0</v>
      </c>
      <c r="S260" s="3" t="str">
        <f t="shared" si="87"/>
        <v>0</v>
      </c>
      <c r="T260" s="3" t="str">
        <f t="shared" si="88"/>
        <v>0</v>
      </c>
      <c r="U260" s="3"/>
      <c r="V260" s="3"/>
      <c r="W260" s="3"/>
      <c r="X260" s="3"/>
      <c r="Y260" s="3"/>
      <c r="Z260" s="3"/>
    </row>
    <row r="261" spans="1:26" x14ac:dyDescent="0.25">
      <c r="A261" s="2">
        <v>46094</v>
      </c>
      <c r="B261" s="3" t="s">
        <v>170</v>
      </c>
      <c r="C261" s="169" t="s">
        <v>268</v>
      </c>
      <c r="D261" s="170">
        <v>410.73</v>
      </c>
      <c r="E261" s="171">
        <v>0.995</v>
      </c>
      <c r="F261" s="231">
        <f>D261*E261</f>
        <v>408.67635000000001</v>
      </c>
      <c r="G261" s="237">
        <f t="shared" si="76"/>
        <v>0</v>
      </c>
      <c r="H261" s="3"/>
      <c r="I261" s="158" t="str">
        <f t="shared" si="77"/>
        <v>0</v>
      </c>
      <c r="J261" s="3" t="str">
        <f t="shared" si="78"/>
        <v>0</v>
      </c>
      <c r="K261" s="3" t="str">
        <f t="shared" si="79"/>
        <v>0</v>
      </c>
      <c r="L261" s="3" t="str">
        <f t="shared" si="80"/>
        <v>0</v>
      </c>
      <c r="M261" s="3" t="str">
        <f t="shared" si="81"/>
        <v>0</v>
      </c>
      <c r="N261" s="3" t="str">
        <f t="shared" si="82"/>
        <v>0</v>
      </c>
      <c r="O261" s="3">
        <f t="shared" si="83"/>
        <v>410.73</v>
      </c>
      <c r="P261" s="3" t="str">
        <f t="shared" si="84"/>
        <v>0</v>
      </c>
      <c r="Q261" s="3">
        <f t="shared" si="85"/>
        <v>408.67635000000001</v>
      </c>
      <c r="R261" s="3" t="str">
        <f t="shared" si="86"/>
        <v>0</v>
      </c>
      <c r="S261" s="3">
        <f t="shared" si="87"/>
        <v>0</v>
      </c>
      <c r="T261" s="3" t="str">
        <f t="shared" si="88"/>
        <v>0</v>
      </c>
      <c r="U261" s="3"/>
      <c r="V261" s="3"/>
      <c r="W261" s="3"/>
      <c r="X261" s="3"/>
      <c r="Y261" s="3"/>
      <c r="Z261" s="3"/>
    </row>
    <row r="262" spans="1:26" x14ac:dyDescent="0.25">
      <c r="A262" s="2">
        <v>46094</v>
      </c>
      <c r="B262" s="3" t="s">
        <v>171</v>
      </c>
      <c r="C262" s="169" t="s">
        <v>268</v>
      </c>
      <c r="D262" s="4"/>
      <c r="E262" s="171"/>
      <c r="F262" s="231">
        <f>+D262*E262</f>
        <v>0</v>
      </c>
      <c r="G262" s="237" t="e">
        <f t="shared" si="76"/>
        <v>#DIV/0!</v>
      </c>
      <c r="H262" s="3"/>
      <c r="I262" s="158" t="str">
        <f t="shared" si="77"/>
        <v>0</v>
      </c>
      <c r="J262" s="3" t="str">
        <f t="shared" si="78"/>
        <v>0</v>
      </c>
      <c r="K262" s="3" t="str">
        <f t="shared" si="79"/>
        <v>0</v>
      </c>
      <c r="L262" s="3" t="str">
        <f t="shared" si="80"/>
        <v>0</v>
      </c>
      <c r="M262" s="3" t="str">
        <f t="shared" si="81"/>
        <v>0</v>
      </c>
      <c r="N262" s="3" t="str">
        <f t="shared" si="82"/>
        <v>0</v>
      </c>
      <c r="O262" s="3" t="str">
        <f t="shared" si="83"/>
        <v>0</v>
      </c>
      <c r="P262" s="3" t="str">
        <f t="shared" si="84"/>
        <v>0</v>
      </c>
      <c r="Q262" s="3" t="str">
        <f t="shared" si="85"/>
        <v>0</v>
      </c>
      <c r="R262" s="3" t="str">
        <f t="shared" si="86"/>
        <v>0</v>
      </c>
      <c r="S262" s="3" t="str">
        <f t="shared" si="87"/>
        <v>0</v>
      </c>
      <c r="T262" s="3" t="str">
        <f t="shared" si="88"/>
        <v>0</v>
      </c>
      <c r="U262" s="3">
        <v>2725</v>
      </c>
      <c r="V262" s="3"/>
      <c r="W262" s="3"/>
      <c r="X262" s="3"/>
      <c r="Y262" s="3"/>
      <c r="Z262" s="3"/>
    </row>
    <row r="263" spans="1:26" x14ac:dyDescent="0.25">
      <c r="A263" s="2">
        <v>46106</v>
      </c>
      <c r="B263" s="3" t="s">
        <v>171</v>
      </c>
      <c r="C263" s="169" t="s">
        <v>270</v>
      </c>
      <c r="D263" s="4"/>
      <c r="E263" s="3"/>
      <c r="F263" s="211">
        <f>+D263*E263</f>
        <v>0</v>
      </c>
      <c r="G263" s="237" t="e">
        <f t="shared" si="76"/>
        <v>#DIV/0!</v>
      </c>
      <c r="H263" s="3"/>
      <c r="I263" s="158" t="str">
        <f t="shared" si="77"/>
        <v>0</v>
      </c>
      <c r="J263" s="3" t="str">
        <f t="shared" si="78"/>
        <v>0</v>
      </c>
      <c r="K263" s="3" t="str">
        <f t="shared" si="79"/>
        <v>0</v>
      </c>
      <c r="L263" s="3" t="str">
        <f t="shared" si="80"/>
        <v>0</v>
      </c>
      <c r="M263" s="3" t="str">
        <f t="shared" si="81"/>
        <v>0</v>
      </c>
      <c r="N263" s="3" t="str">
        <f t="shared" si="82"/>
        <v>0</v>
      </c>
      <c r="O263" s="3" t="str">
        <f t="shared" si="83"/>
        <v>0</v>
      </c>
      <c r="P263" s="3" t="str">
        <f t="shared" si="84"/>
        <v>0</v>
      </c>
      <c r="Q263" s="3" t="str">
        <f t="shared" si="85"/>
        <v>0</v>
      </c>
      <c r="R263" s="3" t="str">
        <f t="shared" si="86"/>
        <v>0</v>
      </c>
      <c r="S263" s="3" t="str">
        <f t="shared" si="87"/>
        <v>0</v>
      </c>
      <c r="T263" s="3" t="str">
        <f t="shared" si="88"/>
        <v>0</v>
      </c>
      <c r="U263" s="3">
        <v>10000</v>
      </c>
      <c r="V263" s="3"/>
      <c r="W263" s="3"/>
      <c r="X263" s="3"/>
      <c r="Y263" s="3"/>
      <c r="Z263" s="3"/>
    </row>
    <row r="264" spans="1:26" x14ac:dyDescent="0.25">
      <c r="A264" s="2">
        <v>46109</v>
      </c>
      <c r="B264" s="3" t="s">
        <v>169</v>
      </c>
      <c r="C264" s="3" t="s">
        <v>276</v>
      </c>
      <c r="D264" s="170">
        <v>3378.4</v>
      </c>
      <c r="E264" s="171">
        <v>0.88</v>
      </c>
      <c r="F264" s="211">
        <f>+D264*E264</f>
        <v>2972.9920000000002</v>
      </c>
      <c r="G264" s="224">
        <f t="shared" si="76"/>
        <v>8.3282470992185651</v>
      </c>
      <c r="H264" s="176">
        <v>28136.15</v>
      </c>
      <c r="I264" s="158">
        <f t="shared" si="77"/>
        <v>3378.4</v>
      </c>
      <c r="J264" s="3" t="str">
        <f t="shared" si="78"/>
        <v>0</v>
      </c>
      <c r="K264" s="3">
        <f t="shared" si="79"/>
        <v>2972.9920000000002</v>
      </c>
      <c r="L264" s="3" t="str">
        <f t="shared" si="80"/>
        <v>0</v>
      </c>
      <c r="M264" s="3">
        <f t="shared" si="81"/>
        <v>28136.15</v>
      </c>
      <c r="N264" s="3" t="str">
        <f t="shared" si="82"/>
        <v>0</v>
      </c>
      <c r="O264" s="3" t="str">
        <f t="shared" si="83"/>
        <v>0</v>
      </c>
      <c r="P264" s="3" t="str">
        <f t="shared" si="84"/>
        <v>0</v>
      </c>
      <c r="Q264" s="3" t="str">
        <f t="shared" si="85"/>
        <v>0</v>
      </c>
      <c r="R264" s="3" t="str">
        <f t="shared" si="86"/>
        <v>0</v>
      </c>
      <c r="S264" s="3" t="str">
        <f t="shared" si="87"/>
        <v>0</v>
      </c>
      <c r="T264" s="3" t="str">
        <f t="shared" si="88"/>
        <v>0</v>
      </c>
      <c r="U264" s="3"/>
      <c r="V264" s="3"/>
      <c r="W264" s="3"/>
      <c r="X264" s="3"/>
      <c r="Y264" s="3"/>
      <c r="Z264" s="3"/>
    </row>
    <row r="265" spans="1:26" x14ac:dyDescent="0.25">
      <c r="A265" s="2">
        <v>46109</v>
      </c>
      <c r="B265" s="3" t="s">
        <v>170</v>
      </c>
      <c r="C265" s="3" t="s">
        <v>276</v>
      </c>
      <c r="D265" s="170">
        <v>1705.8</v>
      </c>
      <c r="E265" s="171">
        <v>0.995</v>
      </c>
      <c r="F265" s="211">
        <f>D265*E265</f>
        <v>1697.271</v>
      </c>
      <c r="G265" s="172">
        <f t="shared" si="76"/>
        <v>0</v>
      </c>
      <c r="H265" s="238"/>
      <c r="I265" s="3" t="str">
        <f t="shared" si="77"/>
        <v>0</v>
      </c>
      <c r="J265" s="3" t="str">
        <f t="shared" si="78"/>
        <v>0</v>
      </c>
      <c r="K265" s="3" t="str">
        <f t="shared" si="79"/>
        <v>0</v>
      </c>
      <c r="L265" s="3" t="str">
        <f t="shared" si="80"/>
        <v>0</v>
      </c>
      <c r="M265" s="3" t="str">
        <f t="shared" si="81"/>
        <v>0</v>
      </c>
      <c r="N265" s="3" t="str">
        <f t="shared" si="82"/>
        <v>0</v>
      </c>
      <c r="O265" s="3">
        <f t="shared" si="83"/>
        <v>1705.8</v>
      </c>
      <c r="P265" s="3" t="str">
        <f t="shared" si="84"/>
        <v>0</v>
      </c>
      <c r="Q265" s="3">
        <f t="shared" si="85"/>
        <v>1697.271</v>
      </c>
      <c r="R265" s="3" t="str">
        <f t="shared" si="86"/>
        <v>0</v>
      </c>
      <c r="S265" s="3">
        <f t="shared" si="87"/>
        <v>0</v>
      </c>
      <c r="T265" s="3" t="str">
        <f t="shared" si="88"/>
        <v>0</v>
      </c>
      <c r="U265" s="3"/>
      <c r="V265" s="3"/>
      <c r="W265" s="3"/>
      <c r="X265" s="3"/>
      <c r="Y265" s="3"/>
      <c r="Z265" s="3"/>
    </row>
    <row r="266" spans="1:26" x14ac:dyDescent="0.25">
      <c r="A266" s="2">
        <v>46055</v>
      </c>
      <c r="B266" s="3" t="s">
        <v>169</v>
      </c>
      <c r="C266" s="169" t="s">
        <v>283</v>
      </c>
      <c r="D266" s="232">
        <v>1664.5</v>
      </c>
      <c r="E266" s="171">
        <v>0.88</v>
      </c>
      <c r="F266" s="211">
        <f>+D266*E266</f>
        <v>1464.76</v>
      </c>
      <c r="G266" s="172">
        <f t="shared" si="76"/>
        <v>8.7300690898167623</v>
      </c>
      <c r="H266" s="176">
        <v>14531.2</v>
      </c>
      <c r="I266" s="3">
        <f t="shared" si="77"/>
        <v>1664.5</v>
      </c>
      <c r="J266" s="3" t="str">
        <f t="shared" si="78"/>
        <v>0</v>
      </c>
      <c r="K266" s="3">
        <f t="shared" si="79"/>
        <v>1464.76</v>
      </c>
      <c r="L266" s="3" t="str">
        <f t="shared" si="80"/>
        <v>0</v>
      </c>
      <c r="M266" s="3">
        <f t="shared" si="81"/>
        <v>14531.2</v>
      </c>
      <c r="N266" s="3" t="str">
        <f t="shared" si="82"/>
        <v>0</v>
      </c>
      <c r="O266" s="3" t="str">
        <f t="shared" si="83"/>
        <v>0</v>
      </c>
      <c r="P266" s="3" t="str">
        <f t="shared" si="84"/>
        <v>0</v>
      </c>
      <c r="Q266" s="3" t="str">
        <f t="shared" si="85"/>
        <v>0</v>
      </c>
      <c r="R266" s="3" t="str">
        <f t="shared" si="86"/>
        <v>0</v>
      </c>
      <c r="S266" s="3" t="str">
        <f t="shared" si="87"/>
        <v>0</v>
      </c>
      <c r="T266" s="3" t="str">
        <f t="shared" si="88"/>
        <v>0</v>
      </c>
      <c r="U266" s="3"/>
      <c r="V266" s="3"/>
      <c r="W266" s="3"/>
      <c r="X266" s="3"/>
      <c r="Y266" s="3"/>
      <c r="Z266" s="3"/>
    </row>
    <row r="267" spans="1:26" x14ac:dyDescent="0.25">
      <c r="A267" s="2">
        <v>46055</v>
      </c>
      <c r="B267" s="3" t="s">
        <v>169</v>
      </c>
      <c r="C267" s="3" t="s">
        <v>280</v>
      </c>
      <c r="D267" s="232">
        <v>68.8</v>
      </c>
      <c r="E267" s="171">
        <v>0.88</v>
      </c>
      <c r="F267" s="211">
        <f>+D267*E267</f>
        <v>60.543999999999997</v>
      </c>
      <c r="G267" s="172">
        <f t="shared" si="76"/>
        <v>3</v>
      </c>
      <c r="H267" s="176">
        <v>206.4</v>
      </c>
      <c r="I267" s="3">
        <f t="shared" si="77"/>
        <v>68.8</v>
      </c>
      <c r="J267" s="3" t="str">
        <f t="shared" si="78"/>
        <v>0</v>
      </c>
      <c r="K267" s="3">
        <f t="shared" si="79"/>
        <v>60.543999999999997</v>
      </c>
      <c r="L267" s="3" t="str">
        <f t="shared" si="80"/>
        <v>0</v>
      </c>
      <c r="M267" s="3">
        <f t="shared" si="81"/>
        <v>206.4</v>
      </c>
      <c r="N267" s="3" t="str">
        <f t="shared" si="82"/>
        <v>0</v>
      </c>
      <c r="O267" s="3" t="str">
        <f t="shared" si="83"/>
        <v>0</v>
      </c>
      <c r="P267" s="3" t="str">
        <f t="shared" si="84"/>
        <v>0</v>
      </c>
      <c r="Q267" s="3" t="str">
        <f t="shared" si="85"/>
        <v>0</v>
      </c>
      <c r="R267" s="3" t="str">
        <f t="shared" si="86"/>
        <v>0</v>
      </c>
      <c r="S267" s="3" t="str">
        <f t="shared" si="87"/>
        <v>0</v>
      </c>
      <c r="T267" s="3" t="str">
        <f t="shared" si="88"/>
        <v>0</v>
      </c>
      <c r="U267" s="3"/>
      <c r="V267" s="3"/>
      <c r="W267" s="3"/>
      <c r="X267" s="3"/>
      <c r="Y267" s="3"/>
      <c r="Z267" s="3"/>
    </row>
    <row r="268" spans="1:26" x14ac:dyDescent="0.25">
      <c r="A268" s="2">
        <v>46055</v>
      </c>
      <c r="B268" s="3" t="s">
        <v>170</v>
      </c>
      <c r="C268" s="3" t="s">
        <v>280</v>
      </c>
      <c r="D268" s="232">
        <v>60.84</v>
      </c>
      <c r="E268" s="173">
        <v>0.995</v>
      </c>
      <c r="F268" s="231">
        <f>D268*E268</f>
        <v>60.535800000000002</v>
      </c>
      <c r="G268" s="3"/>
      <c r="H268" s="3">
        <f>D268*G268</f>
        <v>0</v>
      </c>
      <c r="I268" s="3" t="str">
        <f t="shared" si="77"/>
        <v>0</v>
      </c>
      <c r="J268" s="3" t="str">
        <f t="shared" si="78"/>
        <v>0</v>
      </c>
      <c r="K268" s="3" t="str">
        <f t="shared" si="79"/>
        <v>0</v>
      </c>
      <c r="L268" s="3" t="str">
        <f t="shared" si="80"/>
        <v>0</v>
      </c>
      <c r="M268" s="3" t="str">
        <f t="shared" si="81"/>
        <v>0</v>
      </c>
      <c r="N268" s="3" t="str">
        <f t="shared" si="82"/>
        <v>0</v>
      </c>
      <c r="O268" s="3">
        <f t="shared" si="83"/>
        <v>60.84</v>
      </c>
      <c r="P268" s="3" t="str">
        <f t="shared" si="84"/>
        <v>0</v>
      </c>
      <c r="Q268" s="3">
        <f t="shared" si="85"/>
        <v>60.535800000000002</v>
      </c>
      <c r="R268" s="3" t="str">
        <f t="shared" si="86"/>
        <v>0</v>
      </c>
      <c r="S268" s="3">
        <f t="shared" si="87"/>
        <v>0</v>
      </c>
      <c r="T268" s="3" t="str">
        <f t="shared" si="88"/>
        <v>0</v>
      </c>
      <c r="U268" s="3"/>
      <c r="V268" s="3"/>
      <c r="W268" s="3"/>
      <c r="X268" s="3"/>
      <c r="Y268" s="3"/>
      <c r="Z268" s="3"/>
    </row>
    <row r="269" spans="1:26" x14ac:dyDescent="0.25">
      <c r="A269" s="2">
        <v>46055</v>
      </c>
      <c r="B269" s="3" t="s">
        <v>171</v>
      </c>
      <c r="C269" s="169" t="s">
        <v>283</v>
      </c>
      <c r="D269" s="4"/>
      <c r="E269" s="239"/>
      <c r="F269" s="239">
        <f>D269*E269</f>
        <v>0</v>
      </c>
      <c r="G269" s="3"/>
      <c r="H269" s="3">
        <f>D269*G269</f>
        <v>0</v>
      </c>
      <c r="I269" s="3" t="str">
        <f t="shared" si="77"/>
        <v>0</v>
      </c>
      <c r="J269" s="3" t="str">
        <f t="shared" si="78"/>
        <v>0</v>
      </c>
      <c r="K269" s="3" t="str">
        <f t="shared" si="79"/>
        <v>0</v>
      </c>
      <c r="L269" s="3" t="str">
        <f t="shared" si="80"/>
        <v>0</v>
      </c>
      <c r="M269" s="3" t="str">
        <f t="shared" si="81"/>
        <v>0</v>
      </c>
      <c r="N269" s="3" t="str">
        <f t="shared" si="82"/>
        <v>0</v>
      </c>
      <c r="O269" s="3" t="str">
        <f t="shared" si="83"/>
        <v>0</v>
      </c>
      <c r="P269" s="3" t="str">
        <f t="shared" si="84"/>
        <v>0</v>
      </c>
      <c r="Q269" s="3" t="str">
        <f t="shared" si="85"/>
        <v>0</v>
      </c>
      <c r="R269" s="3" t="str">
        <f t="shared" si="86"/>
        <v>0</v>
      </c>
      <c r="S269" s="3" t="str">
        <f t="shared" si="87"/>
        <v>0</v>
      </c>
      <c r="T269" s="3" t="str">
        <f t="shared" si="88"/>
        <v>0</v>
      </c>
      <c r="U269" s="3">
        <v>104035</v>
      </c>
      <c r="V269" s="3"/>
      <c r="W269" s="3"/>
      <c r="X269" s="3"/>
      <c r="Y269" s="3"/>
      <c r="Z269" s="3"/>
    </row>
    <row r="270" spans="1:26" x14ac:dyDescent="0.25">
      <c r="A270" s="2">
        <v>46055</v>
      </c>
      <c r="B270" s="3" t="s">
        <v>171</v>
      </c>
      <c r="C270" s="3" t="s">
        <v>280</v>
      </c>
      <c r="D270" s="4"/>
      <c r="E270" s="173"/>
      <c r="F270" s="239">
        <f>D270*E270</f>
        <v>0</v>
      </c>
      <c r="G270" s="172"/>
      <c r="H270" s="3">
        <f>D270*G270</f>
        <v>0</v>
      </c>
      <c r="I270" s="3" t="str">
        <f t="shared" si="77"/>
        <v>0</v>
      </c>
      <c r="J270" s="3" t="str">
        <f t="shared" si="78"/>
        <v>0</v>
      </c>
      <c r="K270" s="3" t="str">
        <f t="shared" si="79"/>
        <v>0</v>
      </c>
      <c r="L270" s="3" t="str">
        <f t="shared" si="80"/>
        <v>0</v>
      </c>
      <c r="M270" s="3" t="str">
        <f t="shared" si="81"/>
        <v>0</v>
      </c>
      <c r="N270" s="3" t="str">
        <f t="shared" si="82"/>
        <v>0</v>
      </c>
      <c r="O270" s="3" t="str">
        <f t="shared" si="83"/>
        <v>0</v>
      </c>
      <c r="P270" s="3" t="str">
        <f t="shared" si="84"/>
        <v>0</v>
      </c>
      <c r="Q270" s="3" t="str">
        <f t="shared" si="85"/>
        <v>0</v>
      </c>
      <c r="R270" s="3" t="str">
        <f t="shared" si="86"/>
        <v>0</v>
      </c>
      <c r="S270" s="3" t="str">
        <f t="shared" si="87"/>
        <v>0</v>
      </c>
      <c r="T270" s="3" t="str">
        <f t="shared" si="88"/>
        <v>0</v>
      </c>
      <c r="U270" s="3">
        <v>206</v>
      </c>
      <c r="V270" s="3"/>
      <c r="W270" s="3"/>
      <c r="X270" s="3"/>
      <c r="Y270" s="3"/>
      <c r="Z270" s="3"/>
    </row>
    <row r="271" spans="1:26" x14ac:dyDescent="0.25">
      <c r="A271" s="2">
        <v>46056</v>
      </c>
      <c r="B271" s="3" t="s">
        <v>170</v>
      </c>
      <c r="C271" s="169" t="s">
        <v>283</v>
      </c>
      <c r="D271" s="232">
        <v>1723.6</v>
      </c>
      <c r="E271" s="173">
        <v>0.995</v>
      </c>
      <c r="F271" s="239">
        <f>D271*E271</f>
        <v>1714.982</v>
      </c>
      <c r="G271" s="172"/>
      <c r="H271" s="176">
        <f>D271*G271</f>
        <v>0</v>
      </c>
      <c r="I271" s="3" t="str">
        <f t="shared" si="77"/>
        <v>0</v>
      </c>
      <c r="J271" s="3" t="str">
        <f t="shared" si="78"/>
        <v>0</v>
      </c>
      <c r="K271" s="3" t="str">
        <f t="shared" si="79"/>
        <v>0</v>
      </c>
      <c r="L271" s="3" t="str">
        <f t="shared" si="80"/>
        <v>0</v>
      </c>
      <c r="M271" s="3" t="str">
        <f t="shared" si="81"/>
        <v>0</v>
      </c>
      <c r="N271" s="3" t="str">
        <f t="shared" si="82"/>
        <v>0</v>
      </c>
      <c r="O271" s="3">
        <f t="shared" si="83"/>
        <v>1723.6</v>
      </c>
      <c r="P271" s="3" t="str">
        <f t="shared" si="84"/>
        <v>0</v>
      </c>
      <c r="Q271" s="3">
        <f t="shared" si="85"/>
        <v>1714.982</v>
      </c>
      <c r="R271" s="3" t="str">
        <f t="shared" si="86"/>
        <v>0</v>
      </c>
      <c r="S271" s="3">
        <f t="shared" si="87"/>
        <v>0</v>
      </c>
      <c r="T271" s="3" t="str">
        <f t="shared" si="88"/>
        <v>0</v>
      </c>
      <c r="U271" s="3"/>
      <c r="V271" s="3"/>
      <c r="W271" s="3"/>
      <c r="X271" s="3"/>
      <c r="Y271" s="3"/>
      <c r="Z271" s="3"/>
    </row>
    <row r="272" spans="1:26" x14ac:dyDescent="0.25">
      <c r="A272" s="2">
        <v>46056</v>
      </c>
      <c r="B272" s="169" t="s">
        <v>170</v>
      </c>
      <c r="C272" s="169" t="s">
        <v>283</v>
      </c>
      <c r="D272" s="232">
        <v>1049.76</v>
      </c>
      <c r="E272" s="173">
        <v>0.999</v>
      </c>
      <c r="F272" s="239">
        <f>D272*E272</f>
        <v>1048.7102399999999</v>
      </c>
      <c r="G272" s="172"/>
      <c r="H272" s="176">
        <f>D272*G272</f>
        <v>0</v>
      </c>
      <c r="I272" s="3" t="str">
        <f t="shared" si="77"/>
        <v>0</v>
      </c>
      <c r="J272" s="3" t="str">
        <f t="shared" si="78"/>
        <v>0</v>
      </c>
      <c r="K272" s="3" t="str">
        <f t="shared" si="79"/>
        <v>0</v>
      </c>
      <c r="L272" s="3" t="str">
        <f t="shared" si="80"/>
        <v>0</v>
      </c>
      <c r="M272" s="3" t="str">
        <f t="shared" si="81"/>
        <v>0</v>
      </c>
      <c r="N272" s="3" t="str">
        <f t="shared" si="82"/>
        <v>0</v>
      </c>
      <c r="O272" s="3">
        <f t="shared" si="83"/>
        <v>1049.76</v>
      </c>
      <c r="P272" s="3" t="str">
        <f t="shared" si="84"/>
        <v>0</v>
      </c>
      <c r="Q272" s="3">
        <f t="shared" si="85"/>
        <v>1048.7102399999999</v>
      </c>
      <c r="R272" s="3" t="str">
        <f t="shared" si="86"/>
        <v>0</v>
      </c>
      <c r="S272" s="3">
        <f t="shared" si="87"/>
        <v>0</v>
      </c>
      <c r="T272" s="3" t="str">
        <f t="shared" si="88"/>
        <v>0</v>
      </c>
      <c r="U272" s="3"/>
      <c r="V272" s="3"/>
      <c r="W272" s="3"/>
      <c r="X272" s="3"/>
      <c r="Y272" s="3"/>
      <c r="Z272" s="3"/>
    </row>
    <row r="273" spans="1:26" x14ac:dyDescent="0.25">
      <c r="A273" s="2">
        <v>46057</v>
      </c>
      <c r="B273" s="169" t="s">
        <v>169</v>
      </c>
      <c r="C273" s="169" t="s">
        <v>283</v>
      </c>
      <c r="D273" s="232">
        <v>1525.9</v>
      </c>
      <c r="E273" s="173">
        <v>0.88</v>
      </c>
      <c r="F273" s="239">
        <f>+D273*E273</f>
        <v>1342.7920000000001</v>
      </c>
      <c r="G273" s="172">
        <f>+H273/D273</f>
        <v>8.9694606461760262</v>
      </c>
      <c r="H273" s="176">
        <v>13686.5</v>
      </c>
      <c r="I273" s="3">
        <f t="shared" si="77"/>
        <v>1525.9</v>
      </c>
      <c r="J273" s="3" t="str">
        <f t="shared" si="78"/>
        <v>0</v>
      </c>
      <c r="K273" s="3">
        <f t="shared" si="79"/>
        <v>1342.7920000000001</v>
      </c>
      <c r="L273" s="3" t="str">
        <f t="shared" si="80"/>
        <v>0</v>
      </c>
      <c r="M273" s="3">
        <f t="shared" si="81"/>
        <v>13686.5</v>
      </c>
      <c r="N273" s="3" t="str">
        <f t="shared" si="82"/>
        <v>0</v>
      </c>
      <c r="O273" s="3" t="str">
        <f t="shared" si="83"/>
        <v>0</v>
      </c>
      <c r="P273" s="3" t="str">
        <f t="shared" si="84"/>
        <v>0</v>
      </c>
      <c r="Q273" s="3" t="str">
        <f t="shared" si="85"/>
        <v>0</v>
      </c>
      <c r="R273" s="3" t="str">
        <f t="shared" si="86"/>
        <v>0</v>
      </c>
      <c r="S273" s="3" t="str">
        <f t="shared" si="87"/>
        <v>0</v>
      </c>
      <c r="T273" s="3" t="str">
        <f t="shared" si="88"/>
        <v>0</v>
      </c>
      <c r="U273" s="3"/>
      <c r="V273" s="3"/>
      <c r="W273" s="3"/>
      <c r="X273" s="3"/>
      <c r="Y273" s="3"/>
      <c r="Z273" s="3"/>
    </row>
    <row r="274" spans="1:26" x14ac:dyDescent="0.25">
      <c r="A274" s="2">
        <v>46057</v>
      </c>
      <c r="B274" s="169" t="s">
        <v>171</v>
      </c>
      <c r="C274" s="169" t="s">
        <v>283</v>
      </c>
      <c r="D274" s="4"/>
      <c r="E274" s="173"/>
      <c r="F274" s="239"/>
      <c r="G274" s="172"/>
      <c r="H274" s="176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>
        <v>13685</v>
      </c>
      <c r="V274" s="3"/>
      <c r="W274" s="3"/>
      <c r="X274" s="3"/>
      <c r="Y274" s="3"/>
      <c r="Z274" s="3"/>
    </row>
    <row r="275" spans="1:26" x14ac:dyDescent="0.25">
      <c r="A275" s="2">
        <v>46058</v>
      </c>
      <c r="B275" s="169" t="s">
        <v>169</v>
      </c>
      <c r="C275" s="169" t="s">
        <v>272</v>
      </c>
      <c r="D275" s="232">
        <v>1593.76</v>
      </c>
      <c r="E275" s="173">
        <v>0.88</v>
      </c>
      <c r="F275" s="239">
        <f>+D275*E275</f>
        <v>1402.5088000000001</v>
      </c>
      <c r="G275" s="172">
        <f>+H275/D275</f>
        <v>10.459448097580564</v>
      </c>
      <c r="H275" s="176">
        <v>16669.849999999999</v>
      </c>
      <c r="I275" s="3">
        <f t="shared" ref="I275:I306" si="89">IF(B275="SALES",D275,"0")</f>
        <v>1593.76</v>
      </c>
      <c r="J275" s="3" t="str">
        <f t="shared" ref="J275:J306" si="90">IF(B275="SALES RETURN",D275,"0")</f>
        <v>0</v>
      </c>
      <c r="K275" s="3">
        <f t="shared" ref="K275:K306" si="91">IF(B275="SALES",F275,"0")</f>
        <v>1402.5088000000001</v>
      </c>
      <c r="L275" s="3" t="str">
        <f t="shared" ref="L275:L306" si="92">IF(B275="SALES RETURN",F275,"0")</f>
        <v>0</v>
      </c>
      <c r="M275" s="3">
        <f t="shared" ref="M275:M306" si="93">IF(B275="SALES",H275,"0")</f>
        <v>16669.849999999999</v>
      </c>
      <c r="N275" s="3" t="str">
        <f t="shared" ref="N275:N306" si="94">IF(B275="SALES RETURN",H275,"0")</f>
        <v>0</v>
      </c>
      <c r="O275" s="3" t="str">
        <f t="shared" ref="O275:O306" si="95">IF(B275="PURCHASE",D275,"0")</f>
        <v>0</v>
      </c>
      <c r="P275" s="3" t="str">
        <f t="shared" ref="P275:P306" si="96">IF(B275="METAL PAYMENT",D275,"0")</f>
        <v>0</v>
      </c>
      <c r="Q275" s="3" t="str">
        <f t="shared" ref="Q275:Q306" si="97">IF(B275="PURCHASE",F275,"0")</f>
        <v>0</v>
      </c>
      <c r="R275" s="3" t="str">
        <f t="shared" ref="R275:R306" si="98">IF(B275="METAL PAYMENT",F275,"0")</f>
        <v>0</v>
      </c>
      <c r="S275" s="3" t="str">
        <f t="shared" ref="S275:S306" si="99">IF(B275="PURCHASE",H275,"0")</f>
        <v>0</v>
      </c>
      <c r="T275" s="3" t="str">
        <f t="shared" ref="T275:T306" si="100">IF(B275="METAL PAYMENT",H275,"0")</f>
        <v>0</v>
      </c>
      <c r="U275" s="3"/>
      <c r="V275" s="3"/>
      <c r="W275" s="3"/>
      <c r="X275" s="3"/>
      <c r="Y275" s="3"/>
      <c r="Z275" s="3"/>
    </row>
    <row r="276" spans="1:26" x14ac:dyDescent="0.25">
      <c r="A276" s="2">
        <v>46058</v>
      </c>
      <c r="B276" s="169" t="s">
        <v>170</v>
      </c>
      <c r="C276" s="169" t="s">
        <v>272</v>
      </c>
      <c r="D276" s="232">
        <v>1000</v>
      </c>
      <c r="E276" s="173">
        <v>0.995</v>
      </c>
      <c r="F276" s="239">
        <f>+D276*E276</f>
        <v>995</v>
      </c>
      <c r="G276" s="172"/>
      <c r="H276" s="176"/>
      <c r="I276" s="3" t="str">
        <f t="shared" si="89"/>
        <v>0</v>
      </c>
      <c r="J276" s="3" t="str">
        <f t="shared" si="90"/>
        <v>0</v>
      </c>
      <c r="K276" s="3" t="str">
        <f t="shared" si="91"/>
        <v>0</v>
      </c>
      <c r="L276" s="3" t="str">
        <f t="shared" si="92"/>
        <v>0</v>
      </c>
      <c r="M276" s="3" t="str">
        <f t="shared" si="93"/>
        <v>0</v>
      </c>
      <c r="N276" s="3" t="str">
        <f t="shared" si="94"/>
        <v>0</v>
      </c>
      <c r="O276" s="3">
        <f t="shared" si="95"/>
        <v>1000</v>
      </c>
      <c r="P276" s="3" t="str">
        <f t="shared" si="96"/>
        <v>0</v>
      </c>
      <c r="Q276" s="3">
        <f t="shared" si="97"/>
        <v>995</v>
      </c>
      <c r="R276" s="3" t="str">
        <f t="shared" si="98"/>
        <v>0</v>
      </c>
      <c r="S276" s="3">
        <f t="shared" si="99"/>
        <v>0</v>
      </c>
      <c r="T276" s="3" t="str">
        <f t="shared" si="100"/>
        <v>0</v>
      </c>
      <c r="U276" s="3"/>
      <c r="V276" s="3"/>
      <c r="W276" s="3"/>
      <c r="X276" s="3"/>
      <c r="Y276" s="3"/>
      <c r="Z276" s="3"/>
    </row>
    <row r="277" spans="1:26" x14ac:dyDescent="0.25">
      <c r="A277" s="2">
        <v>46059</v>
      </c>
      <c r="B277" s="3" t="s">
        <v>169</v>
      </c>
      <c r="C277" s="169" t="s">
        <v>283</v>
      </c>
      <c r="D277" s="4">
        <v>2168.3000000000002</v>
      </c>
      <c r="E277" s="239">
        <v>0.88</v>
      </c>
      <c r="F277" s="239">
        <f>+D277*E277</f>
        <v>1908.1040000000003</v>
      </c>
      <c r="G277" s="240">
        <f>+H277/D277</f>
        <v>9.979546188258082</v>
      </c>
      <c r="H277" s="241">
        <v>21638.65</v>
      </c>
      <c r="I277" s="3">
        <f t="shared" si="89"/>
        <v>2168.3000000000002</v>
      </c>
      <c r="J277" s="3" t="str">
        <f t="shared" si="90"/>
        <v>0</v>
      </c>
      <c r="K277" s="3">
        <f t="shared" si="91"/>
        <v>1908.1040000000003</v>
      </c>
      <c r="L277" s="3" t="str">
        <f t="shared" si="92"/>
        <v>0</v>
      </c>
      <c r="M277" s="3">
        <f t="shared" si="93"/>
        <v>21638.65</v>
      </c>
      <c r="N277" s="3" t="str">
        <f t="shared" si="94"/>
        <v>0</v>
      </c>
      <c r="O277" s="3" t="str">
        <f t="shared" si="95"/>
        <v>0</v>
      </c>
      <c r="P277" s="3" t="str">
        <f t="shared" si="96"/>
        <v>0</v>
      </c>
      <c r="Q277" s="3" t="str">
        <f t="shared" si="97"/>
        <v>0</v>
      </c>
      <c r="R277" s="3" t="str">
        <f t="shared" si="98"/>
        <v>0</v>
      </c>
      <c r="S277" s="3" t="str">
        <f t="shared" si="99"/>
        <v>0</v>
      </c>
      <c r="T277" s="3" t="str">
        <f t="shared" si="100"/>
        <v>0</v>
      </c>
      <c r="U277" s="3"/>
      <c r="V277" s="3"/>
      <c r="W277" s="3"/>
      <c r="X277" s="3"/>
      <c r="Y277" s="3"/>
      <c r="Z277" s="3"/>
    </row>
    <row r="278" spans="1:26" x14ac:dyDescent="0.25">
      <c r="A278" s="2">
        <v>46059</v>
      </c>
      <c r="B278" s="3" t="s">
        <v>169</v>
      </c>
      <c r="C278" s="169" t="s">
        <v>257</v>
      </c>
      <c r="D278" s="4">
        <v>433.6</v>
      </c>
      <c r="E278" s="239">
        <v>0.88</v>
      </c>
      <c r="F278" s="239">
        <f>+D278*E278</f>
        <v>381.56800000000004</v>
      </c>
      <c r="G278" s="240">
        <f>+H278/D278</f>
        <v>7</v>
      </c>
      <c r="H278" s="241">
        <v>3035.2000000000003</v>
      </c>
      <c r="I278" s="3">
        <f t="shared" si="89"/>
        <v>433.6</v>
      </c>
      <c r="J278" s="3" t="str">
        <f t="shared" si="90"/>
        <v>0</v>
      </c>
      <c r="K278" s="3">
        <f t="shared" si="91"/>
        <v>381.56800000000004</v>
      </c>
      <c r="L278" s="3" t="str">
        <f t="shared" si="92"/>
        <v>0</v>
      </c>
      <c r="M278" s="3">
        <f t="shared" si="93"/>
        <v>3035.2000000000003</v>
      </c>
      <c r="N278" s="3" t="str">
        <f t="shared" si="94"/>
        <v>0</v>
      </c>
      <c r="O278" s="3" t="str">
        <f t="shared" si="95"/>
        <v>0</v>
      </c>
      <c r="P278" s="3" t="str">
        <f t="shared" si="96"/>
        <v>0</v>
      </c>
      <c r="Q278" s="3" t="str">
        <f t="shared" si="97"/>
        <v>0</v>
      </c>
      <c r="R278" s="3" t="str">
        <f t="shared" si="98"/>
        <v>0</v>
      </c>
      <c r="S278" s="3" t="str">
        <f t="shared" si="99"/>
        <v>0</v>
      </c>
      <c r="T278" s="3" t="str">
        <f t="shared" si="100"/>
        <v>0</v>
      </c>
      <c r="U278" s="3"/>
      <c r="V278" s="3"/>
      <c r="W278" s="3"/>
      <c r="X278" s="3"/>
      <c r="Y278" s="3"/>
      <c r="Z278" s="3"/>
    </row>
    <row r="279" spans="1:26" x14ac:dyDescent="0.25">
      <c r="A279" s="2">
        <v>46059</v>
      </c>
      <c r="B279" s="3" t="s">
        <v>169</v>
      </c>
      <c r="C279" s="169" t="s">
        <v>268</v>
      </c>
      <c r="D279" s="4">
        <v>547.32000000000005</v>
      </c>
      <c r="E279" s="239">
        <v>0.88</v>
      </c>
      <c r="F279" s="239">
        <f>+D279*E279</f>
        <v>481.64160000000004</v>
      </c>
      <c r="G279" s="240">
        <f>+H279/D279</f>
        <v>6.5965248848936628</v>
      </c>
      <c r="H279" s="241">
        <v>3610.41</v>
      </c>
      <c r="I279" s="3">
        <f t="shared" si="89"/>
        <v>547.32000000000005</v>
      </c>
      <c r="J279" s="3" t="str">
        <f t="shared" si="90"/>
        <v>0</v>
      </c>
      <c r="K279" s="3">
        <f t="shared" si="91"/>
        <v>481.64160000000004</v>
      </c>
      <c r="L279" s="3" t="str">
        <f t="shared" si="92"/>
        <v>0</v>
      </c>
      <c r="M279" s="3">
        <f t="shared" si="93"/>
        <v>3610.41</v>
      </c>
      <c r="N279" s="3" t="str">
        <f t="shared" si="94"/>
        <v>0</v>
      </c>
      <c r="O279" s="3" t="str">
        <f t="shared" si="95"/>
        <v>0</v>
      </c>
      <c r="P279" s="3" t="str">
        <f t="shared" si="96"/>
        <v>0</v>
      </c>
      <c r="Q279" s="3" t="str">
        <f t="shared" si="97"/>
        <v>0</v>
      </c>
      <c r="R279" s="3" t="str">
        <f t="shared" si="98"/>
        <v>0</v>
      </c>
      <c r="S279" s="3" t="str">
        <f t="shared" si="99"/>
        <v>0</v>
      </c>
      <c r="T279" s="3" t="str">
        <f t="shared" si="100"/>
        <v>0</v>
      </c>
      <c r="U279" s="3"/>
      <c r="V279" s="3"/>
      <c r="W279" s="3"/>
      <c r="X279" s="3"/>
      <c r="Y279" s="3"/>
      <c r="Z279" s="3"/>
    </row>
    <row r="280" spans="1:26" x14ac:dyDescent="0.25">
      <c r="A280" s="2">
        <v>46059</v>
      </c>
      <c r="B280" s="3" t="s">
        <v>170</v>
      </c>
      <c r="C280" s="169" t="s">
        <v>283</v>
      </c>
      <c r="D280" s="4">
        <v>3542.78</v>
      </c>
      <c r="E280" s="239">
        <v>0.995</v>
      </c>
      <c r="F280" s="239">
        <f t="shared" ref="F280:F287" si="101">D280*E280</f>
        <v>3525.0661</v>
      </c>
      <c r="G280" s="240"/>
      <c r="H280" s="241"/>
      <c r="I280" s="3" t="str">
        <f t="shared" si="89"/>
        <v>0</v>
      </c>
      <c r="J280" s="3" t="str">
        <f t="shared" si="90"/>
        <v>0</v>
      </c>
      <c r="K280" s="3" t="str">
        <f t="shared" si="91"/>
        <v>0</v>
      </c>
      <c r="L280" s="3" t="str">
        <f t="shared" si="92"/>
        <v>0</v>
      </c>
      <c r="M280" s="3" t="str">
        <f t="shared" si="93"/>
        <v>0</v>
      </c>
      <c r="N280" s="3" t="str">
        <f t="shared" si="94"/>
        <v>0</v>
      </c>
      <c r="O280" s="3">
        <f t="shared" si="95"/>
        <v>3542.78</v>
      </c>
      <c r="P280" s="3" t="str">
        <f t="shared" si="96"/>
        <v>0</v>
      </c>
      <c r="Q280" s="3">
        <f t="shared" si="97"/>
        <v>3525.0661</v>
      </c>
      <c r="R280" s="3" t="str">
        <f t="shared" si="98"/>
        <v>0</v>
      </c>
      <c r="S280" s="3">
        <f t="shared" si="99"/>
        <v>0</v>
      </c>
      <c r="T280" s="3" t="str">
        <f t="shared" si="100"/>
        <v>0</v>
      </c>
      <c r="U280" s="3"/>
      <c r="V280" s="3"/>
      <c r="W280" s="3"/>
      <c r="X280" s="3"/>
      <c r="Y280" s="3"/>
      <c r="Z280" s="3"/>
    </row>
    <row r="281" spans="1:26" x14ac:dyDescent="0.25">
      <c r="A281" s="2">
        <v>46059</v>
      </c>
      <c r="B281" s="3" t="s">
        <v>170</v>
      </c>
      <c r="C281" s="169" t="s">
        <v>268</v>
      </c>
      <c r="D281" s="4">
        <v>484.06</v>
      </c>
      <c r="E281" s="239">
        <v>0.995</v>
      </c>
      <c r="F281" s="239">
        <f t="shared" si="101"/>
        <v>481.6397</v>
      </c>
      <c r="G281" s="240"/>
      <c r="H281" s="241"/>
      <c r="I281" s="3" t="str">
        <f t="shared" si="89"/>
        <v>0</v>
      </c>
      <c r="J281" s="3" t="str">
        <f t="shared" si="90"/>
        <v>0</v>
      </c>
      <c r="K281" s="3" t="str">
        <f t="shared" si="91"/>
        <v>0</v>
      </c>
      <c r="L281" s="3" t="str">
        <f t="shared" si="92"/>
        <v>0</v>
      </c>
      <c r="M281" s="3" t="str">
        <f t="shared" si="93"/>
        <v>0</v>
      </c>
      <c r="N281" s="3" t="str">
        <f t="shared" si="94"/>
        <v>0</v>
      </c>
      <c r="O281" s="3">
        <f t="shared" si="95"/>
        <v>484.06</v>
      </c>
      <c r="P281" s="3" t="str">
        <f t="shared" si="96"/>
        <v>0</v>
      </c>
      <c r="Q281" s="3">
        <f t="shared" si="97"/>
        <v>481.6397</v>
      </c>
      <c r="R281" s="3" t="str">
        <f t="shared" si="98"/>
        <v>0</v>
      </c>
      <c r="S281" s="3">
        <f t="shared" si="99"/>
        <v>0</v>
      </c>
      <c r="T281" s="3" t="str">
        <f t="shared" si="100"/>
        <v>0</v>
      </c>
      <c r="U281" s="3"/>
      <c r="V281" s="3"/>
      <c r="W281" s="3"/>
      <c r="X281" s="3"/>
      <c r="Y281" s="3"/>
      <c r="Z281" s="3"/>
    </row>
    <row r="282" spans="1:26" x14ac:dyDescent="0.25">
      <c r="A282" s="2">
        <v>46059</v>
      </c>
      <c r="B282" s="3" t="s">
        <v>171</v>
      </c>
      <c r="C282" s="169" t="s">
        <v>268</v>
      </c>
      <c r="D282" s="4"/>
      <c r="E282" s="239"/>
      <c r="F282" s="239">
        <f t="shared" si="101"/>
        <v>0</v>
      </c>
      <c r="G282" s="240"/>
      <c r="H282" s="241">
        <f>D282*G282</f>
        <v>0</v>
      </c>
      <c r="I282" s="3" t="str">
        <f t="shared" si="89"/>
        <v>0</v>
      </c>
      <c r="J282" s="3" t="str">
        <f t="shared" si="90"/>
        <v>0</v>
      </c>
      <c r="K282" s="3" t="str">
        <f t="shared" si="91"/>
        <v>0</v>
      </c>
      <c r="L282" s="3" t="str">
        <f t="shared" si="92"/>
        <v>0</v>
      </c>
      <c r="M282" s="3" t="str">
        <f t="shared" si="93"/>
        <v>0</v>
      </c>
      <c r="N282" s="3" t="str">
        <f t="shared" si="94"/>
        <v>0</v>
      </c>
      <c r="O282" s="3" t="str">
        <f t="shared" si="95"/>
        <v>0</v>
      </c>
      <c r="P282" s="3" t="str">
        <f t="shared" si="96"/>
        <v>0</v>
      </c>
      <c r="Q282" s="3" t="str">
        <f t="shared" si="97"/>
        <v>0</v>
      </c>
      <c r="R282" s="3" t="str">
        <f t="shared" si="98"/>
        <v>0</v>
      </c>
      <c r="S282" s="3" t="str">
        <f t="shared" si="99"/>
        <v>0</v>
      </c>
      <c r="T282" s="3" t="str">
        <f t="shared" si="100"/>
        <v>0</v>
      </c>
      <c r="U282" s="3">
        <v>3610</v>
      </c>
      <c r="V282" s="3"/>
      <c r="W282" s="3"/>
      <c r="X282" s="3"/>
      <c r="Y282" s="3"/>
      <c r="Z282" s="3"/>
    </row>
    <row r="283" spans="1:26" x14ac:dyDescent="0.25">
      <c r="A283" s="2">
        <v>46060</v>
      </c>
      <c r="B283" s="3" t="s">
        <v>169</v>
      </c>
      <c r="C283" s="169" t="s">
        <v>283</v>
      </c>
      <c r="D283" s="4">
        <v>1928.9</v>
      </c>
      <c r="E283" s="239">
        <v>0.88</v>
      </c>
      <c r="F283" s="239">
        <f t="shared" si="101"/>
        <v>1697.432</v>
      </c>
      <c r="G283" s="240">
        <f>+H283/D283</f>
        <v>10.764373477111308</v>
      </c>
      <c r="H283" s="241">
        <v>20763.400000000001</v>
      </c>
      <c r="I283" s="3">
        <f t="shared" si="89"/>
        <v>1928.9</v>
      </c>
      <c r="J283" s="3" t="str">
        <f t="shared" si="90"/>
        <v>0</v>
      </c>
      <c r="K283" s="3">
        <f t="shared" si="91"/>
        <v>1697.432</v>
      </c>
      <c r="L283" s="3" t="str">
        <f t="shared" si="92"/>
        <v>0</v>
      </c>
      <c r="M283" s="3">
        <f t="shared" si="93"/>
        <v>20763.400000000001</v>
      </c>
      <c r="N283" s="3" t="str">
        <f t="shared" si="94"/>
        <v>0</v>
      </c>
      <c r="O283" s="3" t="str">
        <f t="shared" si="95"/>
        <v>0</v>
      </c>
      <c r="P283" s="3" t="str">
        <f t="shared" si="96"/>
        <v>0</v>
      </c>
      <c r="Q283" s="3" t="str">
        <f t="shared" si="97"/>
        <v>0</v>
      </c>
      <c r="R283" s="3" t="str">
        <f t="shared" si="98"/>
        <v>0</v>
      </c>
      <c r="S283" s="3" t="str">
        <f t="shared" si="99"/>
        <v>0</v>
      </c>
      <c r="T283" s="3" t="str">
        <f t="shared" si="100"/>
        <v>0</v>
      </c>
      <c r="U283" s="3"/>
      <c r="V283" s="3"/>
      <c r="W283" s="3"/>
      <c r="X283" s="3"/>
      <c r="Y283" s="3"/>
      <c r="Z283" s="3"/>
    </row>
    <row r="284" spans="1:26" x14ac:dyDescent="0.25">
      <c r="A284" s="2">
        <v>46060</v>
      </c>
      <c r="B284" s="3" t="s">
        <v>170</v>
      </c>
      <c r="C284" s="169" t="s">
        <v>283</v>
      </c>
      <c r="D284" s="4">
        <v>1000</v>
      </c>
      <c r="E284" s="239">
        <v>0.995</v>
      </c>
      <c r="F284" s="239">
        <f t="shared" si="101"/>
        <v>995</v>
      </c>
      <c r="G284" s="240"/>
      <c r="H284" s="241">
        <f>D284*G284</f>
        <v>0</v>
      </c>
      <c r="I284" s="3" t="str">
        <f t="shared" si="89"/>
        <v>0</v>
      </c>
      <c r="J284" s="3" t="str">
        <f t="shared" si="90"/>
        <v>0</v>
      </c>
      <c r="K284" s="3" t="str">
        <f t="shared" si="91"/>
        <v>0</v>
      </c>
      <c r="L284" s="3" t="str">
        <f t="shared" si="92"/>
        <v>0</v>
      </c>
      <c r="M284" s="3" t="str">
        <f t="shared" si="93"/>
        <v>0</v>
      </c>
      <c r="N284" s="3" t="str">
        <f t="shared" si="94"/>
        <v>0</v>
      </c>
      <c r="O284" s="3">
        <f t="shared" si="95"/>
        <v>1000</v>
      </c>
      <c r="P284" s="3" t="str">
        <f t="shared" si="96"/>
        <v>0</v>
      </c>
      <c r="Q284" s="3">
        <f t="shared" si="97"/>
        <v>995</v>
      </c>
      <c r="R284" s="3" t="str">
        <f t="shared" si="98"/>
        <v>0</v>
      </c>
      <c r="S284" s="3">
        <f t="shared" si="99"/>
        <v>0</v>
      </c>
      <c r="T284" s="3" t="str">
        <f t="shared" si="100"/>
        <v>0</v>
      </c>
      <c r="U284" s="3"/>
      <c r="V284" s="3"/>
      <c r="W284" s="3"/>
      <c r="X284" s="3"/>
      <c r="Y284" s="3"/>
      <c r="Z284" s="3"/>
    </row>
    <row r="285" spans="1:26" x14ac:dyDescent="0.25">
      <c r="A285" s="2">
        <v>46062</v>
      </c>
      <c r="B285" s="3" t="s">
        <v>169</v>
      </c>
      <c r="C285" s="169" t="s">
        <v>283</v>
      </c>
      <c r="D285" s="4">
        <v>603.4</v>
      </c>
      <c r="E285" s="239">
        <v>0.88</v>
      </c>
      <c r="F285" s="239">
        <f t="shared" si="101"/>
        <v>530.99199999999996</v>
      </c>
      <c r="G285" s="240">
        <f>+H285/D285</f>
        <v>8.0263506794829311</v>
      </c>
      <c r="H285" s="241">
        <v>4843.1000000000004</v>
      </c>
      <c r="I285" s="3">
        <f t="shared" si="89"/>
        <v>603.4</v>
      </c>
      <c r="J285" s="3" t="str">
        <f t="shared" si="90"/>
        <v>0</v>
      </c>
      <c r="K285" s="3">
        <f t="shared" si="91"/>
        <v>530.99199999999996</v>
      </c>
      <c r="L285" s="3" t="str">
        <f t="shared" si="92"/>
        <v>0</v>
      </c>
      <c r="M285" s="3">
        <f t="shared" si="93"/>
        <v>4843.1000000000004</v>
      </c>
      <c r="N285" s="3" t="str">
        <f t="shared" si="94"/>
        <v>0</v>
      </c>
      <c r="O285" s="3" t="str">
        <f t="shared" si="95"/>
        <v>0</v>
      </c>
      <c r="P285" s="3" t="str">
        <f t="shared" si="96"/>
        <v>0</v>
      </c>
      <c r="Q285" s="3" t="str">
        <f t="shared" si="97"/>
        <v>0</v>
      </c>
      <c r="R285" s="3" t="str">
        <f t="shared" si="98"/>
        <v>0</v>
      </c>
      <c r="S285" s="3" t="str">
        <f t="shared" si="99"/>
        <v>0</v>
      </c>
      <c r="T285" s="3" t="str">
        <f t="shared" si="100"/>
        <v>0</v>
      </c>
      <c r="U285" s="3"/>
      <c r="V285" s="3"/>
      <c r="W285" s="3"/>
      <c r="X285" s="3"/>
      <c r="Y285" s="3"/>
      <c r="Z285" s="3"/>
    </row>
    <row r="286" spans="1:26" x14ac:dyDescent="0.25">
      <c r="A286" s="2">
        <v>46060</v>
      </c>
      <c r="B286" s="2" t="s">
        <v>209</v>
      </c>
      <c r="C286" s="169" t="s">
        <v>270</v>
      </c>
      <c r="D286" s="4">
        <v>1000</v>
      </c>
      <c r="E286" s="239">
        <v>0.995</v>
      </c>
      <c r="F286" s="239">
        <f t="shared" si="101"/>
        <v>995</v>
      </c>
      <c r="G286" s="240"/>
      <c r="H286" s="241">
        <f>D286*G286</f>
        <v>0</v>
      </c>
      <c r="I286" s="3" t="str">
        <f t="shared" si="89"/>
        <v>0</v>
      </c>
      <c r="J286" s="3" t="str">
        <f t="shared" si="90"/>
        <v>0</v>
      </c>
      <c r="K286" s="3" t="str">
        <f t="shared" si="91"/>
        <v>0</v>
      </c>
      <c r="L286" s="3" t="str">
        <f t="shared" si="92"/>
        <v>0</v>
      </c>
      <c r="M286" s="3" t="str">
        <f t="shared" si="93"/>
        <v>0</v>
      </c>
      <c r="N286" s="3" t="str">
        <f t="shared" si="94"/>
        <v>0</v>
      </c>
      <c r="O286" s="3" t="str">
        <f t="shared" si="95"/>
        <v>0</v>
      </c>
      <c r="P286" s="3">
        <f t="shared" si="96"/>
        <v>1000</v>
      </c>
      <c r="Q286" s="3" t="str">
        <f t="shared" si="97"/>
        <v>0</v>
      </c>
      <c r="R286" s="3">
        <f t="shared" si="98"/>
        <v>995</v>
      </c>
      <c r="S286" s="3" t="str">
        <f t="shared" si="99"/>
        <v>0</v>
      </c>
      <c r="T286" s="3">
        <f t="shared" si="100"/>
        <v>0</v>
      </c>
      <c r="U286" s="3"/>
      <c r="V286" s="3"/>
      <c r="W286" s="3"/>
      <c r="X286" s="3"/>
      <c r="Y286" s="3"/>
      <c r="Z286" s="3"/>
    </row>
    <row r="287" spans="1:26" x14ac:dyDescent="0.25">
      <c r="A287" s="2">
        <v>46063</v>
      </c>
      <c r="B287" s="2" t="s">
        <v>209</v>
      </c>
      <c r="C287" s="169" t="s">
        <v>270</v>
      </c>
      <c r="D287" s="4">
        <v>1000</v>
      </c>
      <c r="E287" s="239">
        <v>0.995</v>
      </c>
      <c r="F287" s="239">
        <f t="shared" si="101"/>
        <v>995</v>
      </c>
      <c r="G287" s="240"/>
      <c r="H287" s="241">
        <f>D287*G287</f>
        <v>0</v>
      </c>
      <c r="I287" s="3" t="str">
        <f t="shared" si="89"/>
        <v>0</v>
      </c>
      <c r="J287" s="3" t="str">
        <f t="shared" si="90"/>
        <v>0</v>
      </c>
      <c r="K287" s="3" t="str">
        <f t="shared" si="91"/>
        <v>0</v>
      </c>
      <c r="L287" s="3" t="str">
        <f t="shared" si="92"/>
        <v>0</v>
      </c>
      <c r="M287" s="3" t="str">
        <f t="shared" si="93"/>
        <v>0</v>
      </c>
      <c r="N287" s="3" t="str">
        <f t="shared" si="94"/>
        <v>0</v>
      </c>
      <c r="O287" s="3" t="str">
        <f t="shared" si="95"/>
        <v>0</v>
      </c>
      <c r="P287" s="3">
        <f t="shared" si="96"/>
        <v>1000</v>
      </c>
      <c r="Q287" s="3" t="str">
        <f t="shared" si="97"/>
        <v>0</v>
      </c>
      <c r="R287" s="3">
        <f t="shared" si="98"/>
        <v>995</v>
      </c>
      <c r="S287" s="3" t="str">
        <f t="shared" si="99"/>
        <v>0</v>
      </c>
      <c r="T287" s="3">
        <f t="shared" si="100"/>
        <v>0</v>
      </c>
      <c r="U287" s="3"/>
      <c r="V287" s="3"/>
      <c r="W287" s="3"/>
      <c r="X287" s="3"/>
      <c r="Y287" s="3"/>
      <c r="Z287" s="3"/>
    </row>
    <row r="288" spans="1:26" x14ac:dyDescent="0.25">
      <c r="A288" s="2">
        <v>46063</v>
      </c>
      <c r="B288" s="3" t="s">
        <v>169</v>
      </c>
      <c r="C288" s="169" t="s">
        <v>283</v>
      </c>
      <c r="D288" s="4">
        <v>939.3</v>
      </c>
      <c r="E288" s="239">
        <v>0.88</v>
      </c>
      <c r="F288" s="239">
        <f>+D288*E288</f>
        <v>826.58399999999995</v>
      </c>
      <c r="G288" s="240">
        <f>+H288/D288</f>
        <v>7.6656552752049407</v>
      </c>
      <c r="H288" s="241">
        <v>7200.35</v>
      </c>
      <c r="I288" s="3">
        <f t="shared" si="89"/>
        <v>939.3</v>
      </c>
      <c r="J288" s="3" t="str">
        <f t="shared" si="90"/>
        <v>0</v>
      </c>
      <c r="K288" s="3">
        <f t="shared" si="91"/>
        <v>826.58399999999995</v>
      </c>
      <c r="L288" s="3" t="str">
        <f t="shared" si="92"/>
        <v>0</v>
      </c>
      <c r="M288" s="3">
        <f t="shared" si="93"/>
        <v>7200.35</v>
      </c>
      <c r="N288" s="3" t="str">
        <f t="shared" si="94"/>
        <v>0</v>
      </c>
      <c r="O288" s="3" t="str">
        <f t="shared" si="95"/>
        <v>0</v>
      </c>
      <c r="P288" s="3" t="str">
        <f t="shared" si="96"/>
        <v>0</v>
      </c>
      <c r="Q288" s="3" t="str">
        <f t="shared" si="97"/>
        <v>0</v>
      </c>
      <c r="R288" s="3" t="str">
        <f t="shared" si="98"/>
        <v>0</v>
      </c>
      <c r="S288" s="3" t="str">
        <f t="shared" si="99"/>
        <v>0</v>
      </c>
      <c r="T288" s="3" t="str">
        <f t="shared" si="100"/>
        <v>0</v>
      </c>
      <c r="U288" s="3"/>
      <c r="V288" s="3"/>
      <c r="W288" s="3"/>
      <c r="X288" s="3"/>
      <c r="Y288" s="3"/>
      <c r="Z288" s="3"/>
    </row>
    <row r="289" spans="1:26" x14ac:dyDescent="0.25">
      <c r="A289" s="2">
        <v>46063</v>
      </c>
      <c r="B289" s="3" t="s">
        <v>169</v>
      </c>
      <c r="C289" s="169" t="s">
        <v>255</v>
      </c>
      <c r="D289" s="4">
        <v>389.05856</v>
      </c>
      <c r="E289" s="239">
        <v>0.88</v>
      </c>
      <c r="F289" s="239">
        <f>+D289*E289</f>
        <v>342.37153280000001</v>
      </c>
      <c r="G289" s="240">
        <f>+H289/D289</f>
        <v>12.800129625730378</v>
      </c>
      <c r="H289" s="241">
        <v>4980</v>
      </c>
      <c r="I289" s="3">
        <f t="shared" si="89"/>
        <v>389.05856</v>
      </c>
      <c r="J289" s="3" t="str">
        <f t="shared" si="90"/>
        <v>0</v>
      </c>
      <c r="K289" s="3">
        <f t="shared" si="91"/>
        <v>342.37153280000001</v>
      </c>
      <c r="L289" s="3" t="str">
        <f t="shared" si="92"/>
        <v>0</v>
      </c>
      <c r="M289" s="3">
        <f t="shared" si="93"/>
        <v>4980</v>
      </c>
      <c r="N289" s="3" t="str">
        <f t="shared" si="94"/>
        <v>0</v>
      </c>
      <c r="O289" s="3" t="str">
        <f t="shared" si="95"/>
        <v>0</v>
      </c>
      <c r="P289" s="3" t="str">
        <f t="shared" si="96"/>
        <v>0</v>
      </c>
      <c r="Q289" s="3" t="str">
        <f t="shared" si="97"/>
        <v>0</v>
      </c>
      <c r="R289" s="3" t="str">
        <f t="shared" si="98"/>
        <v>0</v>
      </c>
      <c r="S289" s="3" t="str">
        <f t="shared" si="99"/>
        <v>0</v>
      </c>
      <c r="T289" s="3" t="str">
        <f t="shared" si="100"/>
        <v>0</v>
      </c>
      <c r="U289" s="3"/>
      <c r="V289" s="3"/>
      <c r="W289" s="3"/>
      <c r="X289" s="3"/>
      <c r="Y289" s="3"/>
      <c r="Z289" s="3"/>
    </row>
    <row r="290" spans="1:26" x14ac:dyDescent="0.25">
      <c r="A290" s="2">
        <v>46063</v>
      </c>
      <c r="B290" s="3" t="s">
        <v>170</v>
      </c>
      <c r="C290" s="169" t="s">
        <v>283</v>
      </c>
      <c r="D290" s="4">
        <v>439.89780824999997</v>
      </c>
      <c r="E290" s="239">
        <v>0.995</v>
      </c>
      <c r="F290" s="239">
        <f>D290*E290</f>
        <v>437.69831920874998</v>
      </c>
      <c r="G290" s="240"/>
      <c r="H290" s="241">
        <f>D290*G290</f>
        <v>0</v>
      </c>
      <c r="I290" s="3" t="str">
        <f t="shared" si="89"/>
        <v>0</v>
      </c>
      <c r="J290" s="3" t="str">
        <f t="shared" si="90"/>
        <v>0</v>
      </c>
      <c r="K290" s="3" t="str">
        <f t="shared" si="91"/>
        <v>0</v>
      </c>
      <c r="L290" s="3" t="str">
        <f t="shared" si="92"/>
        <v>0</v>
      </c>
      <c r="M290" s="3" t="str">
        <f t="shared" si="93"/>
        <v>0</v>
      </c>
      <c r="N290" s="3" t="str">
        <f t="shared" si="94"/>
        <v>0</v>
      </c>
      <c r="O290" s="3">
        <f t="shared" si="95"/>
        <v>439.89780824999997</v>
      </c>
      <c r="P290" s="3" t="str">
        <f t="shared" si="96"/>
        <v>0</v>
      </c>
      <c r="Q290" s="3">
        <f t="shared" si="97"/>
        <v>437.69831920874998</v>
      </c>
      <c r="R290" s="3" t="str">
        <f t="shared" si="98"/>
        <v>0</v>
      </c>
      <c r="S290" s="3">
        <f t="shared" si="99"/>
        <v>0</v>
      </c>
      <c r="T290" s="3" t="str">
        <f t="shared" si="100"/>
        <v>0</v>
      </c>
      <c r="U290" s="3"/>
      <c r="V290" s="3"/>
      <c r="W290" s="3"/>
      <c r="X290" s="3"/>
      <c r="Y290" s="3"/>
      <c r="Z290" s="3"/>
    </row>
    <row r="291" spans="1:26" x14ac:dyDescent="0.25">
      <c r="A291" s="2">
        <v>46063</v>
      </c>
      <c r="B291" s="3" t="s">
        <v>170</v>
      </c>
      <c r="C291" s="169" t="s">
        <v>255</v>
      </c>
      <c r="D291" s="4">
        <v>405.23643599999997</v>
      </c>
      <c r="E291" s="239">
        <v>0.995</v>
      </c>
      <c r="F291" s="239">
        <f>D291*E291</f>
        <v>403.21025381999999</v>
      </c>
      <c r="G291" s="240"/>
      <c r="H291" s="241">
        <f>D291*G291</f>
        <v>0</v>
      </c>
      <c r="I291" s="3" t="str">
        <f t="shared" si="89"/>
        <v>0</v>
      </c>
      <c r="J291" s="3" t="str">
        <f t="shared" si="90"/>
        <v>0</v>
      </c>
      <c r="K291" s="3" t="str">
        <f t="shared" si="91"/>
        <v>0</v>
      </c>
      <c r="L291" s="3" t="str">
        <f t="shared" si="92"/>
        <v>0</v>
      </c>
      <c r="M291" s="3" t="str">
        <f t="shared" si="93"/>
        <v>0</v>
      </c>
      <c r="N291" s="3" t="str">
        <f t="shared" si="94"/>
        <v>0</v>
      </c>
      <c r="O291" s="3">
        <f t="shared" si="95"/>
        <v>405.23643599999997</v>
      </c>
      <c r="P291" s="3" t="str">
        <f t="shared" si="96"/>
        <v>0</v>
      </c>
      <c r="Q291" s="3">
        <f t="shared" si="97"/>
        <v>403.21025381999999</v>
      </c>
      <c r="R291" s="3" t="str">
        <f t="shared" si="98"/>
        <v>0</v>
      </c>
      <c r="S291" s="3">
        <f t="shared" si="99"/>
        <v>0</v>
      </c>
      <c r="T291" s="3" t="str">
        <f t="shared" si="100"/>
        <v>0</v>
      </c>
      <c r="U291" s="3"/>
      <c r="V291" s="3"/>
      <c r="W291" s="3"/>
      <c r="X291" s="3"/>
      <c r="Y291" s="3"/>
      <c r="Z291" s="3"/>
    </row>
    <row r="292" spans="1:26" x14ac:dyDescent="0.25">
      <c r="A292" s="2">
        <v>46065</v>
      </c>
      <c r="B292" s="3" t="s">
        <v>169</v>
      </c>
      <c r="C292" s="169" t="s">
        <v>283</v>
      </c>
      <c r="D292" s="4">
        <v>536.21744000000001</v>
      </c>
      <c r="E292" s="239">
        <v>0.88</v>
      </c>
      <c r="F292" s="239">
        <f>+D292*E292</f>
        <v>471.8713472</v>
      </c>
      <c r="G292" s="240">
        <f>+H292/D292</f>
        <v>32.559832444092088</v>
      </c>
      <c r="H292" s="241">
        <v>17459.150000000001</v>
      </c>
      <c r="I292" s="3">
        <f t="shared" si="89"/>
        <v>536.21744000000001</v>
      </c>
      <c r="J292" s="3" t="str">
        <f t="shared" si="90"/>
        <v>0</v>
      </c>
      <c r="K292" s="3">
        <f t="shared" si="91"/>
        <v>471.8713472</v>
      </c>
      <c r="L292" s="3" t="str">
        <f t="shared" si="92"/>
        <v>0</v>
      </c>
      <c r="M292" s="3">
        <f t="shared" si="93"/>
        <v>17459.150000000001</v>
      </c>
      <c r="N292" s="3" t="str">
        <f t="shared" si="94"/>
        <v>0</v>
      </c>
      <c r="O292" s="3" t="str">
        <f t="shared" si="95"/>
        <v>0</v>
      </c>
      <c r="P292" s="3" t="str">
        <f t="shared" si="96"/>
        <v>0</v>
      </c>
      <c r="Q292" s="3" t="str">
        <f t="shared" si="97"/>
        <v>0</v>
      </c>
      <c r="R292" s="3" t="str">
        <f t="shared" si="98"/>
        <v>0</v>
      </c>
      <c r="S292" s="3" t="str">
        <f t="shared" si="99"/>
        <v>0</v>
      </c>
      <c r="T292" s="3" t="str">
        <f t="shared" si="100"/>
        <v>0</v>
      </c>
      <c r="U292" s="3"/>
      <c r="V292" s="3"/>
      <c r="W292" s="3"/>
      <c r="X292" s="3"/>
      <c r="Y292" s="3"/>
      <c r="Z292" s="3"/>
    </row>
    <row r="293" spans="1:26" x14ac:dyDescent="0.25">
      <c r="A293" s="2">
        <v>46065</v>
      </c>
      <c r="B293" s="3" t="s">
        <v>170</v>
      </c>
      <c r="C293" s="169" t="s">
        <v>283</v>
      </c>
      <c r="D293" s="4">
        <v>400.90688</v>
      </c>
      <c r="E293" s="239">
        <v>0.995</v>
      </c>
      <c r="F293" s="239">
        <f>+D293*E293</f>
        <v>398.90234559999999</v>
      </c>
      <c r="G293" s="240"/>
      <c r="H293" s="241">
        <f>D293*G293</f>
        <v>0</v>
      </c>
      <c r="I293" s="3" t="str">
        <f t="shared" si="89"/>
        <v>0</v>
      </c>
      <c r="J293" s="3" t="str">
        <f t="shared" si="90"/>
        <v>0</v>
      </c>
      <c r="K293" s="3" t="str">
        <f t="shared" si="91"/>
        <v>0</v>
      </c>
      <c r="L293" s="3" t="str">
        <f t="shared" si="92"/>
        <v>0</v>
      </c>
      <c r="M293" s="3" t="str">
        <f t="shared" si="93"/>
        <v>0</v>
      </c>
      <c r="N293" s="3" t="str">
        <f t="shared" si="94"/>
        <v>0</v>
      </c>
      <c r="O293" s="3">
        <f t="shared" si="95"/>
        <v>400.90688</v>
      </c>
      <c r="P293" s="3" t="str">
        <f t="shared" si="96"/>
        <v>0</v>
      </c>
      <c r="Q293" s="3">
        <f t="shared" si="97"/>
        <v>398.90234559999999</v>
      </c>
      <c r="R293" s="3" t="str">
        <f t="shared" si="98"/>
        <v>0</v>
      </c>
      <c r="S293" s="3">
        <f t="shared" si="99"/>
        <v>0</v>
      </c>
      <c r="T293" s="3" t="str">
        <f t="shared" si="100"/>
        <v>0</v>
      </c>
      <c r="U293" s="3"/>
      <c r="V293" s="3"/>
      <c r="W293" s="3"/>
      <c r="X293" s="3"/>
      <c r="Y293" s="3"/>
      <c r="Z293" s="3"/>
    </row>
    <row r="294" spans="1:26" x14ac:dyDescent="0.25">
      <c r="A294" s="2">
        <v>46066</v>
      </c>
      <c r="B294" s="3" t="s">
        <v>169</v>
      </c>
      <c r="C294" s="169" t="s">
        <v>283</v>
      </c>
      <c r="D294" s="4">
        <v>1174.0044800000001</v>
      </c>
      <c r="E294" s="239">
        <v>0.88</v>
      </c>
      <c r="F294" s="239">
        <f>+D294*E294</f>
        <v>1033.1239424</v>
      </c>
      <c r="G294" s="240">
        <f>+H294/D294</f>
        <v>7.7389823929803061</v>
      </c>
      <c r="H294" s="241">
        <v>9085.6</v>
      </c>
      <c r="I294" s="3">
        <f t="shared" si="89"/>
        <v>1174.0044800000001</v>
      </c>
      <c r="J294" s="3" t="str">
        <f t="shared" si="90"/>
        <v>0</v>
      </c>
      <c r="K294" s="3">
        <f t="shared" si="91"/>
        <v>1033.1239424</v>
      </c>
      <c r="L294" s="3" t="str">
        <f t="shared" si="92"/>
        <v>0</v>
      </c>
      <c r="M294" s="3">
        <f t="shared" si="93"/>
        <v>9085.6</v>
      </c>
      <c r="N294" s="3" t="str">
        <f t="shared" si="94"/>
        <v>0</v>
      </c>
      <c r="O294" s="3" t="str">
        <f t="shared" si="95"/>
        <v>0</v>
      </c>
      <c r="P294" s="3" t="str">
        <f t="shared" si="96"/>
        <v>0</v>
      </c>
      <c r="Q294" s="3" t="str">
        <f t="shared" si="97"/>
        <v>0</v>
      </c>
      <c r="R294" s="3" t="str">
        <f t="shared" si="98"/>
        <v>0</v>
      </c>
      <c r="S294" s="3" t="str">
        <f t="shared" si="99"/>
        <v>0</v>
      </c>
      <c r="T294" s="3" t="str">
        <f t="shared" si="100"/>
        <v>0</v>
      </c>
      <c r="U294" s="3"/>
      <c r="V294" s="3"/>
      <c r="W294" s="3"/>
      <c r="X294" s="3"/>
      <c r="Y294" s="3"/>
      <c r="Z294" s="3"/>
    </row>
    <row r="295" spans="1:26" x14ac:dyDescent="0.25">
      <c r="A295" s="2">
        <v>46066</v>
      </c>
      <c r="B295" s="3" t="s">
        <v>169</v>
      </c>
      <c r="C295" s="169" t="s">
        <v>255</v>
      </c>
      <c r="D295" s="4">
        <v>342.37153280000001</v>
      </c>
      <c r="E295" s="239">
        <v>0.88</v>
      </c>
      <c r="F295" s="239">
        <f>+D295*E295</f>
        <v>301.28694886400001</v>
      </c>
      <c r="G295" s="240">
        <f>+H295/D295</f>
        <v>9.2758880214938237</v>
      </c>
      <c r="H295" s="241">
        <v>3175.8</v>
      </c>
      <c r="I295" s="3">
        <f t="shared" si="89"/>
        <v>342.37153280000001</v>
      </c>
      <c r="J295" s="3" t="str">
        <f t="shared" si="90"/>
        <v>0</v>
      </c>
      <c r="K295" s="3">
        <f t="shared" si="91"/>
        <v>301.28694886400001</v>
      </c>
      <c r="L295" s="3" t="str">
        <f t="shared" si="92"/>
        <v>0</v>
      </c>
      <c r="M295" s="3">
        <f t="shared" si="93"/>
        <v>3175.8</v>
      </c>
      <c r="N295" s="3" t="str">
        <f t="shared" si="94"/>
        <v>0</v>
      </c>
      <c r="O295" s="3" t="str">
        <f t="shared" si="95"/>
        <v>0</v>
      </c>
      <c r="P295" s="3" t="str">
        <f t="shared" si="96"/>
        <v>0</v>
      </c>
      <c r="Q295" s="3" t="str">
        <f t="shared" si="97"/>
        <v>0</v>
      </c>
      <c r="R295" s="3" t="str">
        <f t="shared" si="98"/>
        <v>0</v>
      </c>
      <c r="S295" s="3" t="str">
        <f t="shared" si="99"/>
        <v>0</v>
      </c>
      <c r="T295" s="3" t="str">
        <f t="shared" si="100"/>
        <v>0</v>
      </c>
      <c r="U295" s="3"/>
      <c r="V295" s="3"/>
      <c r="W295" s="3"/>
      <c r="X295" s="3"/>
      <c r="Y295" s="3"/>
      <c r="Z295" s="3"/>
    </row>
    <row r="296" spans="1:26" x14ac:dyDescent="0.25">
      <c r="A296" s="2">
        <v>46066</v>
      </c>
      <c r="B296" s="3" t="s">
        <v>170</v>
      </c>
      <c r="C296" s="169" t="s">
        <v>283</v>
      </c>
      <c r="D296" s="4">
        <v>437.69831920874998</v>
      </c>
      <c r="E296" s="239">
        <v>0.995</v>
      </c>
      <c r="F296" s="239">
        <f>D296*E296</f>
        <v>435.5098276127062</v>
      </c>
      <c r="G296" s="240"/>
      <c r="H296" s="241">
        <f>D296*G296</f>
        <v>0</v>
      </c>
      <c r="I296" s="3" t="str">
        <f t="shared" si="89"/>
        <v>0</v>
      </c>
      <c r="J296" s="3" t="str">
        <f t="shared" si="90"/>
        <v>0</v>
      </c>
      <c r="K296" s="3" t="str">
        <f t="shared" si="91"/>
        <v>0</v>
      </c>
      <c r="L296" s="3" t="str">
        <f t="shared" si="92"/>
        <v>0</v>
      </c>
      <c r="M296" s="3" t="str">
        <f t="shared" si="93"/>
        <v>0</v>
      </c>
      <c r="N296" s="3" t="str">
        <f t="shared" si="94"/>
        <v>0</v>
      </c>
      <c r="O296" s="3">
        <f t="shared" si="95"/>
        <v>437.69831920874998</v>
      </c>
      <c r="P296" s="3" t="str">
        <f t="shared" si="96"/>
        <v>0</v>
      </c>
      <c r="Q296" s="3">
        <f t="shared" si="97"/>
        <v>435.5098276127062</v>
      </c>
      <c r="R296" s="3" t="str">
        <f t="shared" si="98"/>
        <v>0</v>
      </c>
      <c r="S296" s="3">
        <f t="shared" si="99"/>
        <v>0</v>
      </c>
      <c r="T296" s="3" t="str">
        <f t="shared" si="100"/>
        <v>0</v>
      </c>
      <c r="U296" s="3"/>
      <c r="V296" s="3"/>
      <c r="W296" s="3"/>
      <c r="X296" s="3"/>
      <c r="Y296" s="3"/>
      <c r="Z296" s="3"/>
    </row>
    <row r="297" spans="1:26" x14ac:dyDescent="0.25">
      <c r="A297" s="2">
        <v>46066</v>
      </c>
      <c r="B297" s="3" t="s">
        <v>170</v>
      </c>
      <c r="C297" s="169" t="s">
        <v>255</v>
      </c>
      <c r="D297" s="4">
        <v>474.24247199999996</v>
      </c>
      <c r="E297" s="239">
        <v>0.995</v>
      </c>
      <c r="F297" s="239">
        <f>D297*E297</f>
        <v>471.87125963999995</v>
      </c>
      <c r="G297" s="3"/>
      <c r="H297" s="241">
        <f>D297*G297</f>
        <v>0</v>
      </c>
      <c r="I297" s="3" t="str">
        <f t="shared" si="89"/>
        <v>0</v>
      </c>
      <c r="J297" s="3" t="str">
        <f t="shared" si="90"/>
        <v>0</v>
      </c>
      <c r="K297" s="3" t="str">
        <f t="shared" si="91"/>
        <v>0</v>
      </c>
      <c r="L297" s="3" t="str">
        <f t="shared" si="92"/>
        <v>0</v>
      </c>
      <c r="M297" s="3" t="str">
        <f t="shared" si="93"/>
        <v>0</v>
      </c>
      <c r="N297" s="3" t="str">
        <f t="shared" si="94"/>
        <v>0</v>
      </c>
      <c r="O297" s="3">
        <f t="shared" si="95"/>
        <v>474.24247199999996</v>
      </c>
      <c r="P297" s="3" t="str">
        <f t="shared" si="96"/>
        <v>0</v>
      </c>
      <c r="Q297" s="3">
        <f t="shared" si="97"/>
        <v>471.87125963999995</v>
      </c>
      <c r="R297" s="3" t="str">
        <f t="shared" si="98"/>
        <v>0</v>
      </c>
      <c r="S297" s="3">
        <f t="shared" si="99"/>
        <v>0</v>
      </c>
      <c r="T297" s="3" t="str">
        <f t="shared" si="100"/>
        <v>0</v>
      </c>
      <c r="U297" s="3"/>
      <c r="V297" s="3"/>
      <c r="W297" s="3"/>
      <c r="X297" s="3"/>
      <c r="Y297" s="3"/>
      <c r="Z297" s="3"/>
    </row>
    <row r="298" spans="1:26" x14ac:dyDescent="0.25">
      <c r="A298" s="2">
        <v>46067</v>
      </c>
      <c r="B298" s="3" t="s">
        <v>169</v>
      </c>
      <c r="C298" s="169" t="s">
        <v>255</v>
      </c>
      <c r="D298" s="4">
        <v>241.47699775000001</v>
      </c>
      <c r="E298" s="239">
        <v>0.88</v>
      </c>
      <c r="F298" s="239">
        <f>+D298*E298</f>
        <v>212.49975802</v>
      </c>
      <c r="G298" s="240">
        <f>+H298/D298</f>
        <v>5.714830037056811</v>
      </c>
      <c r="H298" s="241">
        <v>1380</v>
      </c>
      <c r="I298" s="3">
        <f t="shared" si="89"/>
        <v>241.47699775000001</v>
      </c>
      <c r="J298" s="3" t="str">
        <f t="shared" si="90"/>
        <v>0</v>
      </c>
      <c r="K298" s="3">
        <f t="shared" si="91"/>
        <v>212.49975802</v>
      </c>
      <c r="L298" s="3" t="str">
        <f t="shared" si="92"/>
        <v>0</v>
      </c>
      <c r="M298" s="3">
        <f t="shared" si="93"/>
        <v>1380</v>
      </c>
      <c r="N298" s="3" t="str">
        <f t="shared" si="94"/>
        <v>0</v>
      </c>
      <c r="O298" s="3" t="str">
        <f t="shared" si="95"/>
        <v>0</v>
      </c>
      <c r="P298" s="3" t="str">
        <f t="shared" si="96"/>
        <v>0</v>
      </c>
      <c r="Q298" s="3" t="str">
        <f t="shared" si="97"/>
        <v>0</v>
      </c>
      <c r="R298" s="3" t="str">
        <f t="shared" si="98"/>
        <v>0</v>
      </c>
      <c r="S298" s="3" t="str">
        <f t="shared" si="99"/>
        <v>0</v>
      </c>
      <c r="T298" s="3" t="str">
        <f t="shared" si="100"/>
        <v>0</v>
      </c>
      <c r="U298" s="3"/>
      <c r="V298" s="3"/>
      <c r="W298" s="3"/>
      <c r="X298" s="3"/>
      <c r="Y298" s="3"/>
      <c r="Z298" s="3"/>
    </row>
    <row r="299" spans="1:26" x14ac:dyDescent="0.25">
      <c r="A299" s="2">
        <v>46067</v>
      </c>
      <c r="B299" s="3" t="s">
        <v>169</v>
      </c>
      <c r="C299" s="169" t="s">
        <v>272</v>
      </c>
      <c r="D299" s="4">
        <v>342.37153280000001</v>
      </c>
      <c r="E299" s="239">
        <v>0.88</v>
      </c>
      <c r="F299" s="239">
        <f>+D299*E299</f>
        <v>301.28694886400001</v>
      </c>
      <c r="G299" s="240">
        <f>+H299/D299</f>
        <v>15.484494159439647</v>
      </c>
      <c r="H299" s="241">
        <v>5301.45</v>
      </c>
      <c r="I299" s="3">
        <f t="shared" si="89"/>
        <v>342.37153280000001</v>
      </c>
      <c r="J299" s="3" t="str">
        <f t="shared" si="90"/>
        <v>0</v>
      </c>
      <c r="K299" s="3">
        <f t="shared" si="91"/>
        <v>301.28694886400001</v>
      </c>
      <c r="L299" s="3" t="str">
        <f t="shared" si="92"/>
        <v>0</v>
      </c>
      <c r="M299" s="3">
        <f t="shared" si="93"/>
        <v>5301.45</v>
      </c>
      <c r="N299" s="3" t="str">
        <f t="shared" si="94"/>
        <v>0</v>
      </c>
      <c r="O299" s="3" t="str">
        <f t="shared" si="95"/>
        <v>0</v>
      </c>
      <c r="P299" s="3" t="str">
        <f t="shared" si="96"/>
        <v>0</v>
      </c>
      <c r="Q299" s="3" t="str">
        <f t="shared" si="97"/>
        <v>0</v>
      </c>
      <c r="R299" s="3" t="str">
        <f t="shared" si="98"/>
        <v>0</v>
      </c>
      <c r="S299" s="3" t="str">
        <f t="shared" si="99"/>
        <v>0</v>
      </c>
      <c r="T299" s="3" t="str">
        <f t="shared" si="100"/>
        <v>0</v>
      </c>
      <c r="U299" s="3"/>
      <c r="V299" s="3"/>
      <c r="W299" s="3"/>
      <c r="X299" s="3"/>
      <c r="Y299" s="3"/>
      <c r="Z299" s="3"/>
    </row>
    <row r="300" spans="1:26" x14ac:dyDescent="0.25">
      <c r="A300" s="2">
        <v>46067</v>
      </c>
      <c r="B300" s="3" t="s">
        <v>170</v>
      </c>
      <c r="C300" s="169" t="s">
        <v>255</v>
      </c>
      <c r="D300" s="4">
        <v>437.69831920874998</v>
      </c>
      <c r="E300" s="239">
        <v>0.995</v>
      </c>
      <c r="F300" s="239">
        <f>D300*E300</f>
        <v>435.5098276127062</v>
      </c>
      <c r="G300" s="3"/>
      <c r="H300" s="3">
        <f>D300*G300</f>
        <v>0</v>
      </c>
      <c r="I300" s="3" t="str">
        <f t="shared" si="89"/>
        <v>0</v>
      </c>
      <c r="J300" s="3" t="str">
        <f t="shared" si="90"/>
        <v>0</v>
      </c>
      <c r="K300" s="3" t="str">
        <f t="shared" si="91"/>
        <v>0</v>
      </c>
      <c r="L300" s="3" t="str">
        <f t="shared" si="92"/>
        <v>0</v>
      </c>
      <c r="M300" s="3" t="str">
        <f t="shared" si="93"/>
        <v>0</v>
      </c>
      <c r="N300" s="3" t="str">
        <f t="shared" si="94"/>
        <v>0</v>
      </c>
      <c r="O300" s="3">
        <f t="shared" si="95"/>
        <v>437.69831920874998</v>
      </c>
      <c r="P300" s="3" t="str">
        <f t="shared" si="96"/>
        <v>0</v>
      </c>
      <c r="Q300" s="3">
        <f t="shared" si="97"/>
        <v>435.5098276127062</v>
      </c>
      <c r="R300" s="3" t="str">
        <f t="shared" si="98"/>
        <v>0</v>
      </c>
      <c r="S300" s="3">
        <f t="shared" si="99"/>
        <v>0</v>
      </c>
      <c r="T300" s="3" t="str">
        <f t="shared" si="100"/>
        <v>0</v>
      </c>
      <c r="U300" s="3"/>
      <c r="V300" s="3"/>
      <c r="W300" s="3"/>
      <c r="X300" s="3"/>
      <c r="Y300" s="3"/>
      <c r="Z300" s="3"/>
    </row>
    <row r="301" spans="1:26" x14ac:dyDescent="0.25">
      <c r="A301" s="2">
        <v>46067</v>
      </c>
      <c r="B301" s="3" t="s">
        <v>170</v>
      </c>
      <c r="C301" s="169" t="s">
        <v>272</v>
      </c>
      <c r="D301" s="4">
        <v>212.49975802</v>
      </c>
      <c r="E301" s="239">
        <v>0.995</v>
      </c>
      <c r="F301" s="239">
        <f>D301*E301</f>
        <v>211.43725922990001</v>
      </c>
      <c r="G301" s="3"/>
      <c r="H301" s="3">
        <f>D301*G301</f>
        <v>0</v>
      </c>
      <c r="I301" s="3" t="str">
        <f t="shared" si="89"/>
        <v>0</v>
      </c>
      <c r="J301" s="3" t="str">
        <f t="shared" si="90"/>
        <v>0</v>
      </c>
      <c r="K301" s="3" t="str">
        <f t="shared" si="91"/>
        <v>0</v>
      </c>
      <c r="L301" s="3" t="str">
        <f t="shared" si="92"/>
        <v>0</v>
      </c>
      <c r="M301" s="3" t="str">
        <f t="shared" si="93"/>
        <v>0</v>
      </c>
      <c r="N301" s="3" t="str">
        <f t="shared" si="94"/>
        <v>0</v>
      </c>
      <c r="O301" s="3">
        <f t="shared" si="95"/>
        <v>212.49975802</v>
      </c>
      <c r="P301" s="3" t="str">
        <f t="shared" si="96"/>
        <v>0</v>
      </c>
      <c r="Q301" s="3">
        <f t="shared" si="97"/>
        <v>211.43725922990001</v>
      </c>
      <c r="R301" s="3" t="str">
        <f t="shared" si="98"/>
        <v>0</v>
      </c>
      <c r="S301" s="3">
        <f t="shared" si="99"/>
        <v>0</v>
      </c>
      <c r="T301" s="3" t="str">
        <f t="shared" si="100"/>
        <v>0</v>
      </c>
      <c r="U301" s="3"/>
      <c r="V301" s="3"/>
      <c r="W301" s="3"/>
      <c r="X301" s="3"/>
      <c r="Y301" s="3"/>
      <c r="Z301" s="3"/>
    </row>
    <row r="302" spans="1:26" x14ac:dyDescent="0.25">
      <c r="A302" s="2">
        <v>46069</v>
      </c>
      <c r="B302" s="3" t="s">
        <v>169</v>
      </c>
      <c r="C302" s="169" t="s">
        <v>255</v>
      </c>
      <c r="D302" s="4">
        <v>536.21744000000001</v>
      </c>
      <c r="E302" s="239">
        <v>0.88</v>
      </c>
      <c r="F302" s="239">
        <f t="shared" ref="F302:F308" si="102">+D302*E302</f>
        <v>471.8713472</v>
      </c>
      <c r="G302" s="240">
        <f>+H302/D302</f>
        <v>6.5629159693127477</v>
      </c>
      <c r="H302" s="3">
        <v>3519.15</v>
      </c>
      <c r="I302" s="3">
        <f t="shared" si="89"/>
        <v>536.21744000000001</v>
      </c>
      <c r="J302" s="3" t="str">
        <f t="shared" si="90"/>
        <v>0</v>
      </c>
      <c r="K302" s="3">
        <f t="shared" si="91"/>
        <v>471.8713472</v>
      </c>
      <c r="L302" s="3" t="str">
        <f t="shared" si="92"/>
        <v>0</v>
      </c>
      <c r="M302" s="3">
        <f t="shared" si="93"/>
        <v>3519.15</v>
      </c>
      <c r="N302" s="3" t="str">
        <f t="shared" si="94"/>
        <v>0</v>
      </c>
      <c r="O302" s="3" t="str">
        <f t="shared" si="95"/>
        <v>0</v>
      </c>
      <c r="P302" s="3" t="str">
        <f t="shared" si="96"/>
        <v>0</v>
      </c>
      <c r="Q302" s="3" t="str">
        <f t="shared" si="97"/>
        <v>0</v>
      </c>
      <c r="R302" s="3" t="str">
        <f t="shared" si="98"/>
        <v>0</v>
      </c>
      <c r="S302" s="3" t="str">
        <f t="shared" si="99"/>
        <v>0</v>
      </c>
      <c r="T302" s="3" t="str">
        <f t="shared" si="100"/>
        <v>0</v>
      </c>
      <c r="U302" s="3"/>
      <c r="V302" s="3"/>
      <c r="W302" s="3"/>
      <c r="X302" s="3"/>
      <c r="Y302" s="3"/>
      <c r="Z302" s="3"/>
    </row>
    <row r="303" spans="1:26" x14ac:dyDescent="0.25">
      <c r="A303" s="2">
        <v>46069</v>
      </c>
      <c r="B303" s="3" t="s">
        <v>169</v>
      </c>
      <c r="C303" s="169" t="s">
        <v>283</v>
      </c>
      <c r="D303" s="4">
        <v>662.41766799999994</v>
      </c>
      <c r="E303" s="239">
        <v>0.88</v>
      </c>
      <c r="F303" s="239">
        <f t="shared" si="102"/>
        <v>582.92754783999999</v>
      </c>
      <c r="G303" s="240">
        <f>+H303/D303</f>
        <v>16.539187478314666</v>
      </c>
      <c r="H303" s="3">
        <v>10955.85</v>
      </c>
      <c r="I303" s="3">
        <f t="shared" si="89"/>
        <v>662.41766799999994</v>
      </c>
      <c r="J303" s="3" t="str">
        <f t="shared" si="90"/>
        <v>0</v>
      </c>
      <c r="K303" s="3">
        <f t="shared" si="91"/>
        <v>582.92754783999999</v>
      </c>
      <c r="L303" s="3" t="str">
        <f t="shared" si="92"/>
        <v>0</v>
      </c>
      <c r="M303" s="3">
        <f t="shared" si="93"/>
        <v>10955.85</v>
      </c>
      <c r="N303" s="3" t="str">
        <f t="shared" si="94"/>
        <v>0</v>
      </c>
      <c r="O303" s="3" t="str">
        <f t="shared" si="95"/>
        <v>0</v>
      </c>
      <c r="P303" s="3" t="str">
        <f t="shared" si="96"/>
        <v>0</v>
      </c>
      <c r="Q303" s="3" t="str">
        <f t="shared" si="97"/>
        <v>0</v>
      </c>
      <c r="R303" s="3" t="str">
        <f t="shared" si="98"/>
        <v>0</v>
      </c>
      <c r="S303" s="3" t="str">
        <f t="shared" si="99"/>
        <v>0</v>
      </c>
      <c r="T303" s="3" t="str">
        <f t="shared" si="100"/>
        <v>0</v>
      </c>
      <c r="U303" s="3"/>
      <c r="V303" s="3"/>
      <c r="W303" s="3"/>
      <c r="X303" s="3"/>
      <c r="Y303" s="3"/>
      <c r="Z303" s="3"/>
    </row>
    <row r="304" spans="1:26" x14ac:dyDescent="0.25">
      <c r="A304" s="2">
        <v>46069</v>
      </c>
      <c r="B304" s="3" t="s">
        <v>170</v>
      </c>
      <c r="C304" s="169" t="s">
        <v>255</v>
      </c>
      <c r="D304" s="4">
        <v>302.07642800000002</v>
      </c>
      <c r="E304" s="239">
        <v>0.995</v>
      </c>
      <c r="F304" s="239">
        <f t="shared" si="102"/>
        <v>300.56604586000003</v>
      </c>
      <c r="G304" s="240"/>
      <c r="H304" s="3">
        <f>D304*G304</f>
        <v>0</v>
      </c>
      <c r="I304" s="3" t="str">
        <f t="shared" si="89"/>
        <v>0</v>
      </c>
      <c r="J304" s="3" t="str">
        <f t="shared" si="90"/>
        <v>0</v>
      </c>
      <c r="K304" s="3" t="str">
        <f t="shared" si="91"/>
        <v>0</v>
      </c>
      <c r="L304" s="3" t="str">
        <f t="shared" si="92"/>
        <v>0</v>
      </c>
      <c r="M304" s="3" t="str">
        <f t="shared" si="93"/>
        <v>0</v>
      </c>
      <c r="N304" s="3" t="str">
        <f t="shared" si="94"/>
        <v>0</v>
      </c>
      <c r="O304" s="3">
        <f t="shared" si="95"/>
        <v>302.07642800000002</v>
      </c>
      <c r="P304" s="3" t="str">
        <f t="shared" si="96"/>
        <v>0</v>
      </c>
      <c r="Q304" s="3">
        <f t="shared" si="97"/>
        <v>300.56604586000003</v>
      </c>
      <c r="R304" s="3" t="str">
        <f t="shared" si="98"/>
        <v>0</v>
      </c>
      <c r="S304" s="3">
        <f t="shared" si="99"/>
        <v>0</v>
      </c>
      <c r="T304" s="3" t="str">
        <f t="shared" si="100"/>
        <v>0</v>
      </c>
      <c r="U304" s="3"/>
      <c r="V304" s="3"/>
      <c r="W304" s="3"/>
      <c r="X304" s="3"/>
      <c r="Y304" s="3"/>
      <c r="Z304" s="3"/>
    </row>
    <row r="305" spans="1:26" x14ac:dyDescent="0.25">
      <c r="A305" s="2">
        <v>46070</v>
      </c>
      <c r="B305" s="3" t="s">
        <v>169</v>
      </c>
      <c r="C305" s="169" t="s">
        <v>268</v>
      </c>
      <c r="D305" s="4">
        <v>430.72164959999998</v>
      </c>
      <c r="E305" s="239">
        <v>0.88</v>
      </c>
      <c r="F305" s="239">
        <f t="shared" si="102"/>
        <v>379.03505164799998</v>
      </c>
      <c r="G305" s="240">
        <f>+H305/D305</f>
        <v>2.9181723304766991</v>
      </c>
      <c r="H305" s="3">
        <v>1256.92</v>
      </c>
      <c r="I305" s="3">
        <f t="shared" si="89"/>
        <v>430.72164959999998</v>
      </c>
      <c r="J305" s="3" t="str">
        <f t="shared" si="90"/>
        <v>0</v>
      </c>
      <c r="K305" s="3">
        <f t="shared" si="91"/>
        <v>379.03505164799998</v>
      </c>
      <c r="L305" s="3" t="str">
        <f t="shared" si="92"/>
        <v>0</v>
      </c>
      <c r="M305" s="3">
        <f t="shared" si="93"/>
        <v>1256.92</v>
      </c>
      <c r="N305" s="3" t="str">
        <f t="shared" si="94"/>
        <v>0</v>
      </c>
      <c r="O305" s="3" t="str">
        <f t="shared" si="95"/>
        <v>0</v>
      </c>
      <c r="P305" s="3" t="str">
        <f t="shared" si="96"/>
        <v>0</v>
      </c>
      <c r="Q305" s="3" t="str">
        <f t="shared" si="97"/>
        <v>0</v>
      </c>
      <c r="R305" s="3" t="str">
        <f t="shared" si="98"/>
        <v>0</v>
      </c>
      <c r="S305" s="3" t="str">
        <f t="shared" si="99"/>
        <v>0</v>
      </c>
      <c r="T305" s="3" t="str">
        <f t="shared" si="100"/>
        <v>0</v>
      </c>
      <c r="U305" s="3"/>
      <c r="V305" s="3"/>
      <c r="W305" s="3"/>
      <c r="X305" s="3"/>
      <c r="Y305" s="3"/>
      <c r="Z305" s="3"/>
    </row>
    <row r="306" spans="1:26" x14ac:dyDescent="0.25">
      <c r="A306" s="2">
        <v>46070</v>
      </c>
      <c r="B306" s="3" t="s">
        <v>169</v>
      </c>
      <c r="C306" s="169" t="s">
        <v>283</v>
      </c>
      <c r="D306" s="4">
        <v>387.1132672</v>
      </c>
      <c r="E306" s="239">
        <v>0.88</v>
      </c>
      <c r="F306" s="239">
        <f t="shared" si="102"/>
        <v>340.65967513599998</v>
      </c>
      <c r="G306" s="240">
        <f>+H306/D306</f>
        <v>27.782049625397079</v>
      </c>
      <c r="H306" s="3">
        <v>10754.8</v>
      </c>
      <c r="I306" s="3">
        <f t="shared" si="89"/>
        <v>387.1132672</v>
      </c>
      <c r="J306" s="3" t="str">
        <f t="shared" si="90"/>
        <v>0</v>
      </c>
      <c r="K306" s="3">
        <f t="shared" si="91"/>
        <v>340.65967513599998</v>
      </c>
      <c r="L306" s="3" t="str">
        <f t="shared" si="92"/>
        <v>0</v>
      </c>
      <c r="M306" s="3">
        <f t="shared" si="93"/>
        <v>10754.8</v>
      </c>
      <c r="N306" s="3" t="str">
        <f t="shared" si="94"/>
        <v>0</v>
      </c>
      <c r="O306" s="3" t="str">
        <f t="shared" si="95"/>
        <v>0</v>
      </c>
      <c r="P306" s="3" t="str">
        <f t="shared" si="96"/>
        <v>0</v>
      </c>
      <c r="Q306" s="3" t="str">
        <f t="shared" si="97"/>
        <v>0</v>
      </c>
      <c r="R306" s="3" t="str">
        <f t="shared" si="98"/>
        <v>0</v>
      </c>
      <c r="S306" s="3" t="str">
        <f t="shared" si="99"/>
        <v>0</v>
      </c>
      <c r="T306" s="3" t="str">
        <f t="shared" si="100"/>
        <v>0</v>
      </c>
      <c r="U306" s="3"/>
      <c r="V306" s="3"/>
      <c r="W306" s="3"/>
      <c r="X306" s="3"/>
      <c r="Y306" s="3"/>
      <c r="Z306" s="3"/>
    </row>
    <row r="307" spans="1:26" x14ac:dyDescent="0.25">
      <c r="A307" s="2">
        <v>46070</v>
      </c>
      <c r="B307" s="3" t="s">
        <v>169</v>
      </c>
      <c r="C307" s="4" t="s">
        <v>284</v>
      </c>
      <c r="D307" s="4">
        <v>502.12095999999997</v>
      </c>
      <c r="E307" s="239">
        <v>0.88</v>
      </c>
      <c r="F307" s="239">
        <f t="shared" si="102"/>
        <v>441.86644479999995</v>
      </c>
      <c r="G307" s="240">
        <f>+H307/D307</f>
        <v>4.820113464293545</v>
      </c>
      <c r="H307" s="3">
        <v>2420.2800000000002</v>
      </c>
      <c r="I307" s="3">
        <f t="shared" ref="I307:I340" si="103">IF(B307="SALES",D307,"0")</f>
        <v>502.12095999999997</v>
      </c>
      <c r="J307" s="3" t="str">
        <f t="shared" ref="J307:J340" si="104">IF(B307="SALES RETURN",D307,"0")</f>
        <v>0</v>
      </c>
      <c r="K307" s="3">
        <f t="shared" ref="K307:K340" si="105">IF(B307="SALES",F307,"0")</f>
        <v>441.86644479999995</v>
      </c>
      <c r="L307" s="3" t="str">
        <f t="shared" ref="L307:L340" si="106">IF(B307="SALES RETURN",F307,"0")</f>
        <v>0</v>
      </c>
      <c r="M307" s="3">
        <f t="shared" ref="M307:M340" si="107">IF(B307="SALES",H307,"0")</f>
        <v>2420.2800000000002</v>
      </c>
      <c r="N307" s="3" t="str">
        <f t="shared" ref="N307:N340" si="108">IF(B307="SALES RETURN",H307,"0")</f>
        <v>0</v>
      </c>
      <c r="O307" s="3" t="str">
        <f t="shared" ref="O307:O340" si="109">IF(B307="PURCHASE",D307,"0")</f>
        <v>0</v>
      </c>
      <c r="P307" s="3" t="str">
        <f t="shared" ref="P307:P340" si="110">IF(B307="METAL PAYMENT",D307,"0")</f>
        <v>0</v>
      </c>
      <c r="Q307" s="3" t="str">
        <f t="shared" ref="Q307:Q340" si="111">IF(B307="PURCHASE",F307,"0")</f>
        <v>0</v>
      </c>
      <c r="R307" s="3" t="str">
        <f t="shared" ref="R307:R340" si="112">IF(B307="METAL PAYMENT",F307,"0")</f>
        <v>0</v>
      </c>
      <c r="S307" s="3" t="str">
        <f t="shared" ref="S307:S340" si="113">IF(B307="PURCHASE",H307,"0")</f>
        <v>0</v>
      </c>
      <c r="T307" s="3" t="str">
        <f t="shared" ref="T307:T340" si="114">IF(B307="METAL PAYMENT",H307,"0")</f>
        <v>0</v>
      </c>
      <c r="U307" s="3"/>
      <c r="V307" s="3"/>
      <c r="W307" s="3"/>
      <c r="X307" s="3"/>
      <c r="Y307" s="3"/>
      <c r="Z307" s="3"/>
    </row>
    <row r="308" spans="1:26" x14ac:dyDescent="0.25">
      <c r="A308" s="2">
        <v>46070</v>
      </c>
      <c r="B308" s="3" t="s">
        <v>169</v>
      </c>
      <c r="C308" s="169" t="s">
        <v>259</v>
      </c>
      <c r="D308" s="4">
        <v>856</v>
      </c>
      <c r="E308" s="239">
        <v>0.88</v>
      </c>
      <c r="F308" s="239">
        <f t="shared" si="102"/>
        <v>753.28</v>
      </c>
      <c r="G308" s="240">
        <f>+H308/D308</f>
        <v>0.53796728971962615</v>
      </c>
      <c r="H308" s="3">
        <v>460.5</v>
      </c>
      <c r="I308" s="3">
        <f t="shared" si="103"/>
        <v>856</v>
      </c>
      <c r="J308" s="3" t="str">
        <f t="shared" si="104"/>
        <v>0</v>
      </c>
      <c r="K308" s="3">
        <f t="shared" si="105"/>
        <v>753.28</v>
      </c>
      <c r="L308" s="3" t="str">
        <f t="shared" si="106"/>
        <v>0</v>
      </c>
      <c r="M308" s="3">
        <f t="shared" si="107"/>
        <v>460.5</v>
      </c>
      <c r="N308" s="3" t="str">
        <f t="shared" si="108"/>
        <v>0</v>
      </c>
      <c r="O308" s="3" t="str">
        <f t="shared" si="109"/>
        <v>0</v>
      </c>
      <c r="P308" s="3" t="str">
        <f t="shared" si="110"/>
        <v>0</v>
      </c>
      <c r="Q308" s="3" t="str">
        <f t="shared" si="111"/>
        <v>0</v>
      </c>
      <c r="R308" s="3" t="str">
        <f t="shared" si="112"/>
        <v>0</v>
      </c>
      <c r="S308" s="3" t="str">
        <f t="shared" si="113"/>
        <v>0</v>
      </c>
      <c r="T308" s="3" t="str">
        <f t="shared" si="114"/>
        <v>0</v>
      </c>
      <c r="U308" s="3"/>
      <c r="V308" s="3"/>
      <c r="W308" s="3"/>
      <c r="X308" s="3"/>
      <c r="Y308" s="3"/>
      <c r="Z308" s="3"/>
    </row>
    <row r="309" spans="1:26" x14ac:dyDescent="0.25">
      <c r="A309" s="2">
        <v>46070</v>
      </c>
      <c r="B309" s="3" t="s">
        <v>170</v>
      </c>
      <c r="C309" s="169" t="s">
        <v>283</v>
      </c>
      <c r="D309" s="4">
        <v>342.37153280000001</v>
      </c>
      <c r="E309" s="239">
        <v>0.995</v>
      </c>
      <c r="F309" s="239">
        <f>D309*E309</f>
        <v>340.65967513600003</v>
      </c>
      <c r="G309" s="240"/>
      <c r="H309" s="3">
        <f>D309*G309</f>
        <v>0</v>
      </c>
      <c r="I309" s="3" t="str">
        <f t="shared" si="103"/>
        <v>0</v>
      </c>
      <c r="J309" s="3" t="str">
        <f t="shared" si="104"/>
        <v>0</v>
      </c>
      <c r="K309" s="3" t="str">
        <f t="shared" si="105"/>
        <v>0</v>
      </c>
      <c r="L309" s="3" t="str">
        <f t="shared" si="106"/>
        <v>0</v>
      </c>
      <c r="M309" s="3" t="str">
        <f t="shared" si="107"/>
        <v>0</v>
      </c>
      <c r="N309" s="3" t="str">
        <f t="shared" si="108"/>
        <v>0</v>
      </c>
      <c r="O309" s="3">
        <f t="shared" si="109"/>
        <v>342.37153280000001</v>
      </c>
      <c r="P309" s="3" t="str">
        <f t="shared" si="110"/>
        <v>0</v>
      </c>
      <c r="Q309" s="3">
        <f t="shared" si="111"/>
        <v>340.65967513600003</v>
      </c>
      <c r="R309" s="3" t="str">
        <f t="shared" si="112"/>
        <v>0</v>
      </c>
      <c r="S309" s="3">
        <f t="shared" si="113"/>
        <v>0</v>
      </c>
      <c r="T309" s="3" t="str">
        <f t="shared" si="114"/>
        <v>0</v>
      </c>
      <c r="U309" s="3"/>
      <c r="V309" s="3"/>
      <c r="W309" s="3"/>
      <c r="X309" s="3"/>
      <c r="Y309" s="3"/>
      <c r="Z309" s="3"/>
    </row>
    <row r="310" spans="1:26" x14ac:dyDescent="0.25">
      <c r="A310" s="2">
        <v>46070</v>
      </c>
      <c r="B310" s="3" t="s">
        <v>170</v>
      </c>
      <c r="C310" s="4" t="s">
        <v>284</v>
      </c>
      <c r="D310" s="4">
        <v>403.21025381999999</v>
      </c>
      <c r="E310" s="239">
        <v>0.995</v>
      </c>
      <c r="F310" s="239">
        <f>D310*E310</f>
        <v>401.1942025509</v>
      </c>
      <c r="G310" s="3"/>
      <c r="H310" s="3">
        <f>D310*G310</f>
        <v>0</v>
      </c>
      <c r="I310" s="3" t="str">
        <f t="shared" si="103"/>
        <v>0</v>
      </c>
      <c r="J310" s="3" t="str">
        <f t="shared" si="104"/>
        <v>0</v>
      </c>
      <c r="K310" s="3" t="str">
        <f t="shared" si="105"/>
        <v>0</v>
      </c>
      <c r="L310" s="3" t="str">
        <f t="shared" si="106"/>
        <v>0</v>
      </c>
      <c r="M310" s="3" t="str">
        <f t="shared" si="107"/>
        <v>0</v>
      </c>
      <c r="N310" s="3" t="str">
        <f t="shared" si="108"/>
        <v>0</v>
      </c>
      <c r="O310" s="3">
        <f t="shared" si="109"/>
        <v>403.21025381999999</v>
      </c>
      <c r="P310" s="3" t="str">
        <f t="shared" si="110"/>
        <v>0</v>
      </c>
      <c r="Q310" s="3">
        <f t="shared" si="111"/>
        <v>401.1942025509</v>
      </c>
      <c r="R310" s="3" t="str">
        <f t="shared" si="112"/>
        <v>0</v>
      </c>
      <c r="S310" s="3">
        <f t="shared" si="113"/>
        <v>0</v>
      </c>
      <c r="T310" s="3" t="str">
        <f t="shared" si="114"/>
        <v>0</v>
      </c>
      <c r="U310" s="3"/>
      <c r="V310" s="3"/>
      <c r="W310" s="3"/>
      <c r="X310" s="3"/>
      <c r="Y310" s="3"/>
      <c r="Z310" s="3"/>
    </row>
    <row r="311" spans="1:26" x14ac:dyDescent="0.25">
      <c r="A311" s="2">
        <v>46070</v>
      </c>
      <c r="B311" s="3" t="s">
        <v>170</v>
      </c>
      <c r="C311" s="169" t="s">
        <v>259</v>
      </c>
      <c r="D311" s="4">
        <v>5158</v>
      </c>
      <c r="E311" s="239">
        <v>0.995</v>
      </c>
      <c r="F311" s="239">
        <f>D311*E311</f>
        <v>5132.21</v>
      </c>
      <c r="G311" s="3"/>
      <c r="H311" s="3">
        <f>D311*G311</f>
        <v>0</v>
      </c>
      <c r="I311" s="3" t="str">
        <f t="shared" si="103"/>
        <v>0</v>
      </c>
      <c r="J311" s="3" t="str">
        <f t="shared" si="104"/>
        <v>0</v>
      </c>
      <c r="K311" s="3" t="str">
        <f t="shared" si="105"/>
        <v>0</v>
      </c>
      <c r="L311" s="3" t="str">
        <f t="shared" si="106"/>
        <v>0</v>
      </c>
      <c r="M311" s="3" t="str">
        <f t="shared" si="107"/>
        <v>0</v>
      </c>
      <c r="N311" s="3" t="str">
        <f t="shared" si="108"/>
        <v>0</v>
      </c>
      <c r="O311" s="3">
        <f t="shared" si="109"/>
        <v>5158</v>
      </c>
      <c r="P311" s="3" t="str">
        <f t="shared" si="110"/>
        <v>0</v>
      </c>
      <c r="Q311" s="3">
        <f t="shared" si="111"/>
        <v>5132.21</v>
      </c>
      <c r="R311" s="3" t="str">
        <f t="shared" si="112"/>
        <v>0</v>
      </c>
      <c r="S311" s="3">
        <f t="shared" si="113"/>
        <v>0</v>
      </c>
      <c r="T311" s="3" t="str">
        <f t="shared" si="114"/>
        <v>0</v>
      </c>
      <c r="U311" s="3"/>
      <c r="V311" s="3"/>
      <c r="W311" s="3"/>
      <c r="X311" s="3"/>
      <c r="Y311" s="3"/>
      <c r="Z311" s="3"/>
    </row>
    <row r="312" spans="1:26" x14ac:dyDescent="0.25">
      <c r="A312" s="2">
        <v>46071</v>
      </c>
      <c r="B312" s="3" t="s">
        <v>170</v>
      </c>
      <c r="C312" s="169" t="s">
        <v>283</v>
      </c>
      <c r="D312" s="4">
        <v>582.92754783999999</v>
      </c>
      <c r="E312" s="239">
        <v>0.995</v>
      </c>
      <c r="F312" s="239">
        <f>D312*E312</f>
        <v>580.01291010080001</v>
      </c>
      <c r="G312" s="3"/>
      <c r="H312" s="3">
        <f>D312*G312</f>
        <v>0</v>
      </c>
      <c r="I312" s="3" t="str">
        <f t="shared" si="103"/>
        <v>0</v>
      </c>
      <c r="J312" s="3" t="str">
        <f t="shared" si="104"/>
        <v>0</v>
      </c>
      <c r="K312" s="3" t="str">
        <f t="shared" si="105"/>
        <v>0</v>
      </c>
      <c r="L312" s="3" t="str">
        <f t="shared" si="106"/>
        <v>0</v>
      </c>
      <c r="M312" s="3" t="str">
        <f t="shared" si="107"/>
        <v>0</v>
      </c>
      <c r="N312" s="3" t="str">
        <f t="shared" si="108"/>
        <v>0</v>
      </c>
      <c r="O312" s="3">
        <f t="shared" si="109"/>
        <v>582.92754783999999</v>
      </c>
      <c r="P312" s="3" t="str">
        <f t="shared" si="110"/>
        <v>0</v>
      </c>
      <c r="Q312" s="3">
        <f t="shared" si="111"/>
        <v>580.01291010080001</v>
      </c>
      <c r="R312" s="3" t="str">
        <f t="shared" si="112"/>
        <v>0</v>
      </c>
      <c r="S312" s="3">
        <f t="shared" si="113"/>
        <v>0</v>
      </c>
      <c r="T312" s="3" t="str">
        <f t="shared" si="114"/>
        <v>0</v>
      </c>
      <c r="U312" s="3"/>
      <c r="V312" s="3"/>
      <c r="W312" s="3"/>
      <c r="X312" s="3"/>
      <c r="Y312" s="3"/>
      <c r="Z312" s="3"/>
    </row>
    <row r="313" spans="1:26" x14ac:dyDescent="0.25">
      <c r="A313" s="2">
        <v>46072</v>
      </c>
      <c r="B313" s="3" t="s">
        <v>169</v>
      </c>
      <c r="C313" s="169" t="s">
        <v>255</v>
      </c>
      <c r="D313" s="4">
        <v>1095.5999999999999</v>
      </c>
      <c r="E313" s="239">
        <v>0.88</v>
      </c>
      <c r="F313" s="239">
        <f t="shared" ref="F313:F318" si="115">+D313*E313</f>
        <v>964.12799999999993</v>
      </c>
      <c r="G313" s="240">
        <f>+H313/D313</f>
        <v>1.678441036874772</v>
      </c>
      <c r="H313" s="3">
        <v>1838.9</v>
      </c>
      <c r="I313" s="3">
        <f t="shared" si="103"/>
        <v>1095.5999999999999</v>
      </c>
      <c r="J313" s="3" t="str">
        <f t="shared" si="104"/>
        <v>0</v>
      </c>
      <c r="K313" s="3">
        <f t="shared" si="105"/>
        <v>964.12799999999993</v>
      </c>
      <c r="L313" s="3" t="str">
        <f t="shared" si="106"/>
        <v>0</v>
      </c>
      <c r="M313" s="3">
        <f t="shared" si="107"/>
        <v>1838.9</v>
      </c>
      <c r="N313" s="3" t="str">
        <f t="shared" si="108"/>
        <v>0</v>
      </c>
      <c r="O313" s="3" t="str">
        <f t="shared" si="109"/>
        <v>0</v>
      </c>
      <c r="P313" s="3" t="str">
        <f t="shared" si="110"/>
        <v>0</v>
      </c>
      <c r="Q313" s="3" t="str">
        <f t="shared" si="111"/>
        <v>0</v>
      </c>
      <c r="R313" s="3" t="str">
        <f t="shared" si="112"/>
        <v>0</v>
      </c>
      <c r="S313" s="3" t="str">
        <f t="shared" si="113"/>
        <v>0</v>
      </c>
      <c r="T313" s="3" t="str">
        <f t="shared" si="114"/>
        <v>0</v>
      </c>
      <c r="U313" s="3"/>
      <c r="V313" s="3"/>
      <c r="W313" s="3"/>
      <c r="X313" s="3"/>
      <c r="Y313" s="3"/>
      <c r="Z313" s="3"/>
    </row>
    <row r="314" spans="1:26" x14ac:dyDescent="0.25">
      <c r="A314" s="2">
        <v>46072</v>
      </c>
      <c r="B314" s="3" t="s">
        <v>169</v>
      </c>
      <c r="C314" s="169" t="s">
        <v>283</v>
      </c>
      <c r="D314" s="4">
        <v>1095.599475</v>
      </c>
      <c r="E314" s="239">
        <v>0.88</v>
      </c>
      <c r="F314" s="239">
        <f t="shared" si="115"/>
        <v>964.12753799999996</v>
      </c>
      <c r="G314" s="240">
        <f>+H314/D314</f>
        <v>7.8410041224234801</v>
      </c>
      <c r="H314" s="3">
        <v>8590.6</v>
      </c>
      <c r="I314" s="3">
        <f t="shared" si="103"/>
        <v>1095.599475</v>
      </c>
      <c r="J314" s="3" t="str">
        <f t="shared" si="104"/>
        <v>0</v>
      </c>
      <c r="K314" s="3">
        <f t="shared" si="105"/>
        <v>964.12753799999996</v>
      </c>
      <c r="L314" s="3" t="str">
        <f t="shared" si="106"/>
        <v>0</v>
      </c>
      <c r="M314" s="3">
        <f t="shared" si="107"/>
        <v>8590.6</v>
      </c>
      <c r="N314" s="3" t="str">
        <f t="shared" si="108"/>
        <v>0</v>
      </c>
      <c r="O314" s="3" t="str">
        <f t="shared" si="109"/>
        <v>0</v>
      </c>
      <c r="P314" s="3" t="str">
        <f t="shared" si="110"/>
        <v>0</v>
      </c>
      <c r="Q314" s="3" t="str">
        <f t="shared" si="111"/>
        <v>0</v>
      </c>
      <c r="R314" s="3" t="str">
        <f t="shared" si="112"/>
        <v>0</v>
      </c>
      <c r="S314" s="3" t="str">
        <f t="shared" si="113"/>
        <v>0</v>
      </c>
      <c r="T314" s="3" t="str">
        <f t="shared" si="114"/>
        <v>0</v>
      </c>
      <c r="U314" s="3"/>
      <c r="V314" s="3"/>
      <c r="W314" s="3"/>
      <c r="X314" s="3"/>
      <c r="Y314" s="3"/>
      <c r="Z314" s="3"/>
    </row>
    <row r="315" spans="1:26" x14ac:dyDescent="0.25">
      <c r="A315" s="2">
        <v>46072</v>
      </c>
      <c r="B315" s="3" t="s">
        <v>170</v>
      </c>
      <c r="C315" s="169" t="s">
        <v>255</v>
      </c>
      <c r="D315" s="4">
        <v>752.75199999999995</v>
      </c>
      <c r="E315" s="239">
        <v>0.995</v>
      </c>
      <c r="F315" s="239">
        <f t="shared" si="115"/>
        <v>748.98823999999991</v>
      </c>
      <c r="G315" s="3"/>
      <c r="H315" s="3">
        <f>D315*G315</f>
        <v>0</v>
      </c>
      <c r="I315" s="3" t="str">
        <f t="shared" si="103"/>
        <v>0</v>
      </c>
      <c r="J315" s="3" t="str">
        <f t="shared" si="104"/>
        <v>0</v>
      </c>
      <c r="K315" s="3" t="str">
        <f t="shared" si="105"/>
        <v>0</v>
      </c>
      <c r="L315" s="3" t="str">
        <f t="shared" si="106"/>
        <v>0</v>
      </c>
      <c r="M315" s="3" t="str">
        <f t="shared" si="107"/>
        <v>0</v>
      </c>
      <c r="N315" s="3" t="str">
        <f t="shared" si="108"/>
        <v>0</v>
      </c>
      <c r="O315" s="3">
        <f t="shared" si="109"/>
        <v>752.75199999999995</v>
      </c>
      <c r="P315" s="3" t="str">
        <f t="shared" si="110"/>
        <v>0</v>
      </c>
      <c r="Q315" s="3">
        <f t="shared" si="111"/>
        <v>748.98823999999991</v>
      </c>
      <c r="R315" s="3" t="str">
        <f t="shared" si="112"/>
        <v>0</v>
      </c>
      <c r="S315" s="3">
        <f t="shared" si="113"/>
        <v>0</v>
      </c>
      <c r="T315" s="3" t="str">
        <f t="shared" si="114"/>
        <v>0</v>
      </c>
      <c r="U315" s="3"/>
      <c r="V315" s="3"/>
      <c r="W315" s="3"/>
      <c r="X315" s="3"/>
      <c r="Y315" s="3"/>
      <c r="Z315" s="3"/>
    </row>
    <row r="316" spans="1:26" x14ac:dyDescent="0.25">
      <c r="A316" s="2">
        <v>46073</v>
      </c>
      <c r="B316" s="3" t="s">
        <v>169</v>
      </c>
      <c r="C316" s="169" t="s">
        <v>257</v>
      </c>
      <c r="D316" s="4">
        <v>752.74734999999998</v>
      </c>
      <c r="E316" s="239">
        <v>0.88</v>
      </c>
      <c r="F316" s="239">
        <f t="shared" si="115"/>
        <v>662.41766799999994</v>
      </c>
      <c r="G316" s="240">
        <f>+H316/D316</f>
        <v>10.976989822680876</v>
      </c>
      <c r="H316" s="3">
        <v>8262.9</v>
      </c>
      <c r="I316" s="3">
        <f t="shared" si="103"/>
        <v>752.74734999999998</v>
      </c>
      <c r="J316" s="3" t="str">
        <f t="shared" si="104"/>
        <v>0</v>
      </c>
      <c r="K316" s="3">
        <f t="shared" si="105"/>
        <v>662.41766799999994</v>
      </c>
      <c r="L316" s="3" t="str">
        <f t="shared" si="106"/>
        <v>0</v>
      </c>
      <c r="M316" s="3">
        <f t="shared" si="107"/>
        <v>8262.9</v>
      </c>
      <c r="N316" s="3" t="str">
        <f t="shared" si="108"/>
        <v>0</v>
      </c>
      <c r="O316" s="3" t="str">
        <f t="shared" si="109"/>
        <v>0</v>
      </c>
      <c r="P316" s="3" t="str">
        <f t="shared" si="110"/>
        <v>0</v>
      </c>
      <c r="Q316" s="3" t="str">
        <f t="shared" si="111"/>
        <v>0</v>
      </c>
      <c r="R316" s="3" t="str">
        <f t="shared" si="112"/>
        <v>0</v>
      </c>
      <c r="S316" s="3" t="str">
        <f t="shared" si="113"/>
        <v>0</v>
      </c>
      <c r="T316" s="3" t="str">
        <f t="shared" si="114"/>
        <v>0</v>
      </c>
      <c r="U316" s="3"/>
      <c r="V316" s="3"/>
      <c r="W316" s="3"/>
      <c r="X316" s="3"/>
      <c r="Y316" s="3"/>
      <c r="Z316" s="3"/>
    </row>
    <row r="317" spans="1:26" x14ac:dyDescent="0.25">
      <c r="A317" s="2">
        <v>46074</v>
      </c>
      <c r="B317" s="3" t="s">
        <v>169</v>
      </c>
      <c r="C317" s="169" t="s">
        <v>283</v>
      </c>
      <c r="D317" s="4">
        <v>303.60000000000002</v>
      </c>
      <c r="E317" s="239">
        <v>0.88</v>
      </c>
      <c r="F317" s="239">
        <f t="shared" si="115"/>
        <v>267.16800000000001</v>
      </c>
      <c r="G317" s="240">
        <f>+H317/D317</f>
        <v>56.867918313570478</v>
      </c>
      <c r="H317" s="3">
        <v>17265.099999999999</v>
      </c>
      <c r="I317" s="3">
        <f t="shared" si="103"/>
        <v>303.60000000000002</v>
      </c>
      <c r="J317" s="3" t="str">
        <f t="shared" si="104"/>
        <v>0</v>
      </c>
      <c r="K317" s="3">
        <f t="shared" si="105"/>
        <v>267.16800000000001</v>
      </c>
      <c r="L317" s="3" t="str">
        <f t="shared" si="106"/>
        <v>0</v>
      </c>
      <c r="M317" s="3">
        <f t="shared" si="107"/>
        <v>17265.099999999999</v>
      </c>
      <c r="N317" s="3" t="str">
        <f t="shared" si="108"/>
        <v>0</v>
      </c>
      <c r="O317" s="3" t="str">
        <f t="shared" si="109"/>
        <v>0</v>
      </c>
      <c r="P317" s="3" t="str">
        <f t="shared" si="110"/>
        <v>0</v>
      </c>
      <c r="Q317" s="3" t="str">
        <f t="shared" si="111"/>
        <v>0</v>
      </c>
      <c r="R317" s="3" t="str">
        <f t="shared" si="112"/>
        <v>0</v>
      </c>
      <c r="S317" s="3" t="str">
        <f t="shared" si="113"/>
        <v>0</v>
      </c>
      <c r="T317" s="3" t="str">
        <f t="shared" si="114"/>
        <v>0</v>
      </c>
      <c r="U317" s="3"/>
      <c r="V317" s="3"/>
      <c r="W317" s="3"/>
      <c r="X317" s="3"/>
      <c r="Y317" s="3"/>
      <c r="Z317" s="3"/>
    </row>
    <row r="318" spans="1:26" x14ac:dyDescent="0.25">
      <c r="A318" s="2">
        <v>46074</v>
      </c>
      <c r="B318" s="3" t="s">
        <v>169</v>
      </c>
      <c r="C318" s="169" t="s">
        <v>282</v>
      </c>
      <c r="D318" s="4">
        <v>303.59440000000001</v>
      </c>
      <c r="E318" s="239">
        <v>0.88</v>
      </c>
      <c r="F318" s="239">
        <f t="shared" si="115"/>
        <v>267.163072</v>
      </c>
      <c r="G318" s="240">
        <f>+H318/D318</f>
        <v>9.1958217938143783</v>
      </c>
      <c r="H318" s="3">
        <v>2791.8</v>
      </c>
      <c r="I318" s="3">
        <f t="shared" si="103"/>
        <v>303.59440000000001</v>
      </c>
      <c r="J318" s="3" t="str">
        <f t="shared" si="104"/>
        <v>0</v>
      </c>
      <c r="K318" s="3">
        <f t="shared" si="105"/>
        <v>267.163072</v>
      </c>
      <c r="L318" s="3" t="str">
        <f t="shared" si="106"/>
        <v>0</v>
      </c>
      <c r="M318" s="3">
        <f t="shared" si="107"/>
        <v>2791.8</v>
      </c>
      <c r="N318" s="3" t="str">
        <f t="shared" si="108"/>
        <v>0</v>
      </c>
      <c r="O318" s="3" t="str">
        <f t="shared" si="109"/>
        <v>0</v>
      </c>
      <c r="P318" s="3" t="str">
        <f t="shared" si="110"/>
        <v>0</v>
      </c>
      <c r="Q318" s="3" t="str">
        <f t="shared" si="111"/>
        <v>0</v>
      </c>
      <c r="R318" s="3" t="str">
        <f t="shared" si="112"/>
        <v>0</v>
      </c>
      <c r="S318" s="3" t="str">
        <f t="shared" si="113"/>
        <v>0</v>
      </c>
      <c r="T318" s="3" t="str">
        <f t="shared" si="114"/>
        <v>0</v>
      </c>
      <c r="U318" s="3"/>
      <c r="V318" s="3"/>
      <c r="W318" s="3"/>
      <c r="X318" s="3"/>
      <c r="Y318" s="3"/>
      <c r="Z318" s="3"/>
    </row>
    <row r="319" spans="1:26" x14ac:dyDescent="0.25">
      <c r="A319" s="2">
        <v>46074</v>
      </c>
      <c r="B319" s="3" t="s">
        <v>170</v>
      </c>
      <c r="C319" s="169" t="s">
        <v>283</v>
      </c>
      <c r="D319" s="4">
        <v>934.64799999999991</v>
      </c>
      <c r="E319" s="239">
        <v>0.995</v>
      </c>
      <c r="F319" s="239">
        <f>D319*E319</f>
        <v>929.97475999999995</v>
      </c>
      <c r="G319" s="3"/>
      <c r="H319" s="3">
        <f>D319*G319</f>
        <v>0</v>
      </c>
      <c r="I319" s="3" t="str">
        <f t="shared" si="103"/>
        <v>0</v>
      </c>
      <c r="J319" s="3" t="str">
        <f t="shared" si="104"/>
        <v>0</v>
      </c>
      <c r="K319" s="3" t="str">
        <f t="shared" si="105"/>
        <v>0</v>
      </c>
      <c r="L319" s="3" t="str">
        <f t="shared" si="106"/>
        <v>0</v>
      </c>
      <c r="M319" s="3" t="str">
        <f t="shared" si="107"/>
        <v>0</v>
      </c>
      <c r="N319" s="3" t="str">
        <f t="shared" si="108"/>
        <v>0</v>
      </c>
      <c r="O319" s="3">
        <f t="shared" si="109"/>
        <v>934.64799999999991</v>
      </c>
      <c r="P319" s="3" t="str">
        <f t="shared" si="110"/>
        <v>0</v>
      </c>
      <c r="Q319" s="3">
        <f t="shared" si="111"/>
        <v>929.97475999999995</v>
      </c>
      <c r="R319" s="3" t="str">
        <f t="shared" si="112"/>
        <v>0</v>
      </c>
      <c r="S319" s="3">
        <f t="shared" si="113"/>
        <v>0</v>
      </c>
      <c r="T319" s="3" t="str">
        <f t="shared" si="114"/>
        <v>0</v>
      </c>
      <c r="U319" s="3"/>
      <c r="V319" s="3"/>
      <c r="W319" s="3"/>
      <c r="X319" s="3"/>
      <c r="Y319" s="3"/>
      <c r="Z319" s="3"/>
    </row>
    <row r="320" spans="1:26" x14ac:dyDescent="0.25">
      <c r="A320" s="2">
        <v>46074</v>
      </c>
      <c r="B320" s="3" t="s">
        <v>170</v>
      </c>
      <c r="C320" s="169" t="s">
        <v>282</v>
      </c>
      <c r="D320" s="4">
        <v>934.64330000000007</v>
      </c>
      <c r="E320" s="242">
        <v>0.99990000000000001</v>
      </c>
      <c r="F320" s="239">
        <f>D320*E320</f>
        <v>934.54983567000011</v>
      </c>
      <c r="G320" s="3"/>
      <c r="H320" s="3">
        <f>D320*G320</f>
        <v>0</v>
      </c>
      <c r="I320" s="3" t="str">
        <f t="shared" si="103"/>
        <v>0</v>
      </c>
      <c r="J320" s="3" t="str">
        <f t="shared" si="104"/>
        <v>0</v>
      </c>
      <c r="K320" s="3" t="str">
        <f t="shared" si="105"/>
        <v>0</v>
      </c>
      <c r="L320" s="3" t="str">
        <f t="shared" si="106"/>
        <v>0</v>
      </c>
      <c r="M320" s="3" t="str">
        <f t="shared" si="107"/>
        <v>0</v>
      </c>
      <c r="N320" s="3" t="str">
        <f t="shared" si="108"/>
        <v>0</v>
      </c>
      <c r="O320" s="3">
        <f t="shared" si="109"/>
        <v>934.64330000000007</v>
      </c>
      <c r="P320" s="3" t="str">
        <f t="shared" si="110"/>
        <v>0</v>
      </c>
      <c r="Q320" s="3">
        <f t="shared" si="111"/>
        <v>934.54983567000011</v>
      </c>
      <c r="R320" s="3" t="str">
        <f t="shared" si="112"/>
        <v>0</v>
      </c>
      <c r="S320" s="3">
        <f t="shared" si="113"/>
        <v>0</v>
      </c>
      <c r="T320" s="3" t="str">
        <f t="shared" si="114"/>
        <v>0</v>
      </c>
      <c r="U320" s="3"/>
      <c r="V320" s="3"/>
      <c r="W320" s="3"/>
      <c r="X320" s="3"/>
      <c r="Y320" s="3"/>
      <c r="Z320" s="3"/>
    </row>
    <row r="321" spans="1:26" x14ac:dyDescent="0.25">
      <c r="A321" s="2">
        <v>46076</v>
      </c>
      <c r="B321" s="3" t="s">
        <v>170</v>
      </c>
      <c r="C321" s="169" t="s">
        <v>257</v>
      </c>
      <c r="D321" s="4">
        <v>489.45600000000002</v>
      </c>
      <c r="E321" s="239">
        <v>0.995</v>
      </c>
      <c r="F321" s="239">
        <f>D321*E321</f>
        <v>487.00872000000004</v>
      </c>
      <c r="G321" s="240"/>
      <c r="H321" s="3">
        <f>D321*G321</f>
        <v>0</v>
      </c>
      <c r="I321" s="3" t="str">
        <f t="shared" si="103"/>
        <v>0</v>
      </c>
      <c r="J321" s="3" t="str">
        <f t="shared" si="104"/>
        <v>0</v>
      </c>
      <c r="K321" s="3" t="str">
        <f t="shared" si="105"/>
        <v>0</v>
      </c>
      <c r="L321" s="3" t="str">
        <f t="shared" si="106"/>
        <v>0</v>
      </c>
      <c r="M321" s="3" t="str">
        <f t="shared" si="107"/>
        <v>0</v>
      </c>
      <c r="N321" s="3" t="str">
        <f t="shared" si="108"/>
        <v>0</v>
      </c>
      <c r="O321" s="3">
        <f t="shared" si="109"/>
        <v>489.45600000000002</v>
      </c>
      <c r="P321" s="3" t="str">
        <f t="shared" si="110"/>
        <v>0</v>
      </c>
      <c r="Q321" s="3">
        <f t="shared" si="111"/>
        <v>487.00872000000004</v>
      </c>
      <c r="R321" s="3" t="str">
        <f t="shared" si="112"/>
        <v>0</v>
      </c>
      <c r="S321" s="3">
        <f t="shared" si="113"/>
        <v>0</v>
      </c>
      <c r="T321" s="3" t="str">
        <f t="shared" si="114"/>
        <v>0</v>
      </c>
      <c r="U321" s="3"/>
      <c r="V321" s="3"/>
      <c r="W321" s="3"/>
      <c r="X321" s="3"/>
      <c r="Y321" s="3"/>
      <c r="Z321" s="3"/>
    </row>
    <row r="322" spans="1:26" x14ac:dyDescent="0.25">
      <c r="A322" s="2">
        <v>46077</v>
      </c>
      <c r="B322" s="3" t="s">
        <v>169</v>
      </c>
      <c r="C322" s="169" t="s">
        <v>272</v>
      </c>
      <c r="D322" s="4">
        <v>489.45641999999998</v>
      </c>
      <c r="E322" s="239">
        <v>0.88</v>
      </c>
      <c r="F322" s="239">
        <f>+D322*E322</f>
        <v>430.72164959999998</v>
      </c>
      <c r="G322" s="240">
        <f>+H322/D322</f>
        <v>28.404142701816028</v>
      </c>
      <c r="H322" s="3">
        <v>13902.59</v>
      </c>
      <c r="I322" s="3">
        <f t="shared" si="103"/>
        <v>489.45641999999998</v>
      </c>
      <c r="J322" s="3" t="str">
        <f t="shared" si="104"/>
        <v>0</v>
      </c>
      <c r="K322" s="3">
        <f t="shared" si="105"/>
        <v>430.72164959999998</v>
      </c>
      <c r="L322" s="3" t="str">
        <f t="shared" si="106"/>
        <v>0</v>
      </c>
      <c r="M322" s="3">
        <f t="shared" si="107"/>
        <v>13902.59</v>
      </c>
      <c r="N322" s="3" t="str">
        <f t="shared" si="108"/>
        <v>0</v>
      </c>
      <c r="O322" s="3" t="str">
        <f t="shared" si="109"/>
        <v>0</v>
      </c>
      <c r="P322" s="3" t="str">
        <f t="shared" si="110"/>
        <v>0</v>
      </c>
      <c r="Q322" s="3" t="str">
        <f t="shared" si="111"/>
        <v>0</v>
      </c>
      <c r="R322" s="3" t="str">
        <f t="shared" si="112"/>
        <v>0</v>
      </c>
      <c r="S322" s="3" t="str">
        <f t="shared" si="113"/>
        <v>0</v>
      </c>
      <c r="T322" s="3" t="str">
        <f t="shared" si="114"/>
        <v>0</v>
      </c>
      <c r="U322" s="3"/>
      <c r="V322" s="3"/>
      <c r="W322" s="3"/>
      <c r="X322" s="3"/>
      <c r="Y322" s="3"/>
      <c r="Z322" s="3"/>
    </row>
    <row r="323" spans="1:26" x14ac:dyDescent="0.25">
      <c r="A323" s="2">
        <v>46077</v>
      </c>
      <c r="B323" s="3" t="s">
        <v>169</v>
      </c>
      <c r="C323" s="169" t="s">
        <v>283</v>
      </c>
      <c r="D323" s="4">
        <v>2087.1</v>
      </c>
      <c r="E323" s="239">
        <v>0.88</v>
      </c>
      <c r="F323" s="239">
        <f>+D323*E323</f>
        <v>1836.6479999999999</v>
      </c>
      <c r="G323" s="240">
        <f>+H323/D323</f>
        <v>8.0820756073019968</v>
      </c>
      <c r="H323" s="3">
        <v>16868.099999999999</v>
      </c>
      <c r="I323" s="3">
        <f t="shared" si="103"/>
        <v>2087.1</v>
      </c>
      <c r="J323" s="3" t="str">
        <f t="shared" si="104"/>
        <v>0</v>
      </c>
      <c r="K323" s="3">
        <f t="shared" si="105"/>
        <v>1836.6479999999999</v>
      </c>
      <c r="L323" s="3" t="str">
        <f t="shared" si="106"/>
        <v>0</v>
      </c>
      <c r="M323" s="3">
        <f t="shared" si="107"/>
        <v>16868.099999999999</v>
      </c>
      <c r="N323" s="3" t="str">
        <f t="shared" si="108"/>
        <v>0</v>
      </c>
      <c r="O323" s="3" t="str">
        <f t="shared" si="109"/>
        <v>0</v>
      </c>
      <c r="P323" s="3" t="str">
        <f t="shared" si="110"/>
        <v>0</v>
      </c>
      <c r="Q323" s="3" t="str">
        <f t="shared" si="111"/>
        <v>0</v>
      </c>
      <c r="R323" s="3" t="str">
        <f t="shared" si="112"/>
        <v>0</v>
      </c>
      <c r="S323" s="3" t="str">
        <f t="shared" si="113"/>
        <v>0</v>
      </c>
      <c r="T323" s="3" t="str">
        <f t="shared" si="114"/>
        <v>0</v>
      </c>
      <c r="U323" s="3"/>
      <c r="V323" s="3"/>
      <c r="W323" s="3"/>
      <c r="X323" s="3"/>
      <c r="Y323" s="3"/>
      <c r="Z323" s="3"/>
    </row>
    <row r="324" spans="1:26" x14ac:dyDescent="0.25">
      <c r="A324" s="2">
        <v>46077</v>
      </c>
      <c r="B324" s="3" t="s">
        <v>170</v>
      </c>
      <c r="C324" s="169" t="s">
        <v>283</v>
      </c>
      <c r="D324" s="4">
        <v>1000</v>
      </c>
      <c r="E324" s="239">
        <v>0.995</v>
      </c>
      <c r="F324" s="239">
        <f>D324*E324</f>
        <v>995</v>
      </c>
      <c r="G324" s="240"/>
      <c r="H324" s="3">
        <f>D324*G324</f>
        <v>0</v>
      </c>
      <c r="I324" s="3" t="str">
        <f t="shared" si="103"/>
        <v>0</v>
      </c>
      <c r="J324" s="3" t="str">
        <f t="shared" si="104"/>
        <v>0</v>
      </c>
      <c r="K324" s="3" t="str">
        <f t="shared" si="105"/>
        <v>0</v>
      </c>
      <c r="L324" s="3" t="str">
        <f t="shared" si="106"/>
        <v>0</v>
      </c>
      <c r="M324" s="3" t="str">
        <f t="shared" si="107"/>
        <v>0</v>
      </c>
      <c r="N324" s="3" t="str">
        <f t="shared" si="108"/>
        <v>0</v>
      </c>
      <c r="O324" s="3">
        <f t="shared" si="109"/>
        <v>1000</v>
      </c>
      <c r="P324" s="3" t="str">
        <f t="shared" si="110"/>
        <v>0</v>
      </c>
      <c r="Q324" s="3">
        <f t="shared" si="111"/>
        <v>995</v>
      </c>
      <c r="R324" s="3" t="str">
        <f t="shared" si="112"/>
        <v>0</v>
      </c>
      <c r="S324" s="3">
        <f t="shared" si="113"/>
        <v>0</v>
      </c>
      <c r="T324" s="3" t="str">
        <f t="shared" si="114"/>
        <v>0</v>
      </c>
      <c r="U324" s="3"/>
      <c r="V324" s="3"/>
      <c r="W324" s="3"/>
      <c r="X324" s="3"/>
      <c r="Y324" s="3"/>
      <c r="Z324" s="3"/>
    </row>
    <row r="325" spans="1:26" x14ac:dyDescent="0.25">
      <c r="A325" s="2">
        <v>46077</v>
      </c>
      <c r="B325" s="3" t="s">
        <v>170</v>
      </c>
      <c r="C325" s="169" t="s">
        <v>270</v>
      </c>
      <c r="D325" s="4">
        <v>1000</v>
      </c>
      <c r="E325" s="239">
        <v>1</v>
      </c>
      <c r="F325" s="239">
        <f>D325*E325</f>
        <v>1000</v>
      </c>
      <c r="G325" s="240"/>
      <c r="H325" s="3">
        <f>D325*G325</f>
        <v>0</v>
      </c>
      <c r="I325" s="3" t="str">
        <f t="shared" si="103"/>
        <v>0</v>
      </c>
      <c r="J325" s="3" t="str">
        <f t="shared" si="104"/>
        <v>0</v>
      </c>
      <c r="K325" s="3" t="str">
        <f t="shared" si="105"/>
        <v>0</v>
      </c>
      <c r="L325" s="3" t="str">
        <f t="shared" si="106"/>
        <v>0</v>
      </c>
      <c r="M325" s="3" t="str">
        <f t="shared" si="107"/>
        <v>0</v>
      </c>
      <c r="N325" s="3" t="str">
        <f t="shared" si="108"/>
        <v>0</v>
      </c>
      <c r="O325" s="3">
        <f t="shared" si="109"/>
        <v>1000</v>
      </c>
      <c r="P325" s="3" t="str">
        <f t="shared" si="110"/>
        <v>0</v>
      </c>
      <c r="Q325" s="3">
        <f t="shared" si="111"/>
        <v>1000</v>
      </c>
      <c r="R325" s="3" t="str">
        <f t="shared" si="112"/>
        <v>0</v>
      </c>
      <c r="S325" s="3">
        <f t="shared" si="113"/>
        <v>0</v>
      </c>
      <c r="T325" s="3" t="str">
        <f t="shared" si="114"/>
        <v>0</v>
      </c>
      <c r="U325" s="3"/>
      <c r="V325" s="3"/>
      <c r="W325" s="3"/>
      <c r="X325" s="3"/>
      <c r="Y325" s="3"/>
      <c r="Z325" s="3"/>
    </row>
    <row r="326" spans="1:26" x14ac:dyDescent="0.25">
      <c r="A326" s="2">
        <v>46077</v>
      </c>
      <c r="B326" s="3" t="s">
        <v>209</v>
      </c>
      <c r="C326" s="169" t="s">
        <v>270</v>
      </c>
      <c r="D326" s="4">
        <v>1000</v>
      </c>
      <c r="E326" s="239">
        <v>0.995</v>
      </c>
      <c r="F326" s="239">
        <f>D326*E326</f>
        <v>995</v>
      </c>
      <c r="G326" s="3"/>
      <c r="H326" s="3">
        <f>D326*G326</f>
        <v>0</v>
      </c>
      <c r="I326" s="3" t="str">
        <f t="shared" si="103"/>
        <v>0</v>
      </c>
      <c r="J326" s="3" t="str">
        <f t="shared" si="104"/>
        <v>0</v>
      </c>
      <c r="K326" s="3" t="str">
        <f t="shared" si="105"/>
        <v>0</v>
      </c>
      <c r="L326" s="3" t="str">
        <f t="shared" si="106"/>
        <v>0</v>
      </c>
      <c r="M326" s="3" t="str">
        <f t="shared" si="107"/>
        <v>0</v>
      </c>
      <c r="N326" s="3" t="str">
        <f t="shared" si="108"/>
        <v>0</v>
      </c>
      <c r="O326" s="3" t="str">
        <f t="shared" si="109"/>
        <v>0</v>
      </c>
      <c r="P326" s="3">
        <f t="shared" si="110"/>
        <v>1000</v>
      </c>
      <c r="Q326" s="3" t="str">
        <f t="shared" si="111"/>
        <v>0</v>
      </c>
      <c r="R326" s="3">
        <f t="shared" si="112"/>
        <v>995</v>
      </c>
      <c r="S326" s="3" t="str">
        <f t="shared" si="113"/>
        <v>0</v>
      </c>
      <c r="T326" s="3">
        <f t="shared" si="114"/>
        <v>0</v>
      </c>
      <c r="U326" s="3"/>
      <c r="V326" s="3"/>
      <c r="W326" s="3"/>
      <c r="X326" s="3"/>
      <c r="Y326" s="3"/>
      <c r="Z326" s="3"/>
    </row>
    <row r="327" spans="1:26" x14ac:dyDescent="0.25">
      <c r="A327" s="2">
        <v>46078</v>
      </c>
      <c r="B327" s="3" t="s">
        <v>169</v>
      </c>
      <c r="C327" s="169" t="s">
        <v>268</v>
      </c>
      <c r="D327" s="4">
        <v>507.36</v>
      </c>
      <c r="E327" s="239">
        <v>0.88</v>
      </c>
      <c r="F327" s="239">
        <f>+D327*E327</f>
        <v>446.47680000000003</v>
      </c>
      <c r="G327" s="240">
        <f>+H327/D327</f>
        <v>3.4819063386944178</v>
      </c>
      <c r="H327" s="3">
        <v>1766.58</v>
      </c>
      <c r="I327" s="3">
        <f t="shared" si="103"/>
        <v>507.36</v>
      </c>
      <c r="J327" s="3" t="str">
        <f t="shared" si="104"/>
        <v>0</v>
      </c>
      <c r="K327" s="3">
        <f t="shared" si="105"/>
        <v>446.47680000000003</v>
      </c>
      <c r="L327" s="3" t="str">
        <f t="shared" si="106"/>
        <v>0</v>
      </c>
      <c r="M327" s="3">
        <f t="shared" si="107"/>
        <v>1766.58</v>
      </c>
      <c r="N327" s="3" t="str">
        <f t="shared" si="108"/>
        <v>0</v>
      </c>
      <c r="O327" s="3" t="str">
        <f t="shared" si="109"/>
        <v>0</v>
      </c>
      <c r="P327" s="3" t="str">
        <f t="shared" si="110"/>
        <v>0</v>
      </c>
      <c r="Q327" s="3" t="str">
        <f t="shared" si="111"/>
        <v>0</v>
      </c>
      <c r="R327" s="3" t="str">
        <f t="shared" si="112"/>
        <v>0</v>
      </c>
      <c r="S327" s="3" t="str">
        <f t="shared" si="113"/>
        <v>0</v>
      </c>
      <c r="T327" s="3" t="str">
        <f t="shared" si="114"/>
        <v>0</v>
      </c>
      <c r="U327" s="3"/>
      <c r="V327" s="3"/>
      <c r="W327" s="3"/>
      <c r="X327" s="3"/>
      <c r="Y327" s="3"/>
      <c r="Z327" s="3"/>
    </row>
    <row r="328" spans="1:26" x14ac:dyDescent="0.25">
      <c r="A328" s="2">
        <v>46078</v>
      </c>
      <c r="B328" s="3" t="s">
        <v>169</v>
      </c>
      <c r="C328" s="169" t="s">
        <v>283</v>
      </c>
      <c r="D328" s="4">
        <v>844.4</v>
      </c>
      <c r="E328" s="239">
        <v>0.88</v>
      </c>
      <c r="F328" s="239">
        <f>+D328*E328</f>
        <v>743.072</v>
      </c>
      <c r="G328" s="240">
        <f>+H328/D328</f>
        <v>10.530495026054004</v>
      </c>
      <c r="H328" s="3">
        <v>8891.9500000000007</v>
      </c>
      <c r="I328" s="3">
        <f t="shared" si="103"/>
        <v>844.4</v>
      </c>
      <c r="J328" s="3" t="str">
        <f t="shared" si="104"/>
        <v>0</v>
      </c>
      <c r="K328" s="3">
        <f t="shared" si="105"/>
        <v>743.072</v>
      </c>
      <c r="L328" s="3" t="str">
        <f t="shared" si="106"/>
        <v>0</v>
      </c>
      <c r="M328" s="3">
        <f t="shared" si="107"/>
        <v>8891.9500000000007</v>
      </c>
      <c r="N328" s="3" t="str">
        <f t="shared" si="108"/>
        <v>0</v>
      </c>
      <c r="O328" s="3" t="str">
        <f t="shared" si="109"/>
        <v>0</v>
      </c>
      <c r="P328" s="3" t="str">
        <f t="shared" si="110"/>
        <v>0</v>
      </c>
      <c r="Q328" s="3" t="str">
        <f t="shared" si="111"/>
        <v>0</v>
      </c>
      <c r="R328" s="3" t="str">
        <f t="shared" si="112"/>
        <v>0</v>
      </c>
      <c r="S328" s="3" t="str">
        <f t="shared" si="113"/>
        <v>0</v>
      </c>
      <c r="T328" s="3" t="str">
        <f t="shared" si="114"/>
        <v>0</v>
      </c>
      <c r="U328" s="3"/>
      <c r="V328" s="3"/>
      <c r="W328" s="3"/>
      <c r="X328" s="3"/>
      <c r="Y328" s="3"/>
      <c r="Z328" s="3"/>
    </row>
    <row r="329" spans="1:26" x14ac:dyDescent="0.25">
      <c r="A329" s="2">
        <v>46078</v>
      </c>
      <c r="B329" s="3" t="s">
        <v>169</v>
      </c>
      <c r="C329" s="3" t="s">
        <v>265</v>
      </c>
      <c r="D329" s="4">
        <v>324</v>
      </c>
      <c r="E329" s="239">
        <v>0.88</v>
      </c>
      <c r="F329" s="239">
        <f>+D329*E329</f>
        <v>285.12</v>
      </c>
      <c r="G329" s="240">
        <f>+H329/D329</f>
        <v>22.918518518518521</v>
      </c>
      <c r="H329" s="3">
        <v>7425.6</v>
      </c>
      <c r="I329" s="3">
        <f t="shared" si="103"/>
        <v>324</v>
      </c>
      <c r="J329" s="3" t="str">
        <f t="shared" si="104"/>
        <v>0</v>
      </c>
      <c r="K329" s="3">
        <f t="shared" si="105"/>
        <v>285.12</v>
      </c>
      <c r="L329" s="3" t="str">
        <f t="shared" si="106"/>
        <v>0</v>
      </c>
      <c r="M329" s="3">
        <f t="shared" si="107"/>
        <v>7425.6</v>
      </c>
      <c r="N329" s="3" t="str">
        <f t="shared" si="108"/>
        <v>0</v>
      </c>
      <c r="O329" s="3" t="str">
        <f t="shared" si="109"/>
        <v>0</v>
      </c>
      <c r="P329" s="3" t="str">
        <f t="shared" si="110"/>
        <v>0</v>
      </c>
      <c r="Q329" s="3" t="str">
        <f t="shared" si="111"/>
        <v>0</v>
      </c>
      <c r="R329" s="3" t="str">
        <f t="shared" si="112"/>
        <v>0</v>
      </c>
      <c r="S329" s="3" t="str">
        <f t="shared" si="113"/>
        <v>0</v>
      </c>
      <c r="T329" s="3" t="str">
        <f t="shared" si="114"/>
        <v>0</v>
      </c>
      <c r="U329" s="3"/>
      <c r="V329" s="3"/>
      <c r="W329" s="3"/>
      <c r="X329" s="3"/>
      <c r="Y329" s="3"/>
      <c r="Z329" s="3"/>
    </row>
    <row r="330" spans="1:26" x14ac:dyDescent="0.25">
      <c r="A330" s="2">
        <v>46078</v>
      </c>
      <c r="B330" s="3" t="s">
        <v>170</v>
      </c>
      <c r="C330" s="169" t="s">
        <v>268</v>
      </c>
      <c r="D330" s="4">
        <v>556.45000000000005</v>
      </c>
      <c r="E330" s="239">
        <v>0.995</v>
      </c>
      <c r="F330" s="239">
        <f>D330*E330</f>
        <v>553.66775000000007</v>
      </c>
      <c r="G330" s="3"/>
      <c r="H330" s="3">
        <f>D330*G330</f>
        <v>0</v>
      </c>
      <c r="I330" s="3" t="str">
        <f t="shared" si="103"/>
        <v>0</v>
      </c>
      <c r="J330" s="3" t="str">
        <f t="shared" si="104"/>
        <v>0</v>
      </c>
      <c r="K330" s="3" t="str">
        <f t="shared" si="105"/>
        <v>0</v>
      </c>
      <c r="L330" s="3" t="str">
        <f t="shared" si="106"/>
        <v>0</v>
      </c>
      <c r="M330" s="3" t="str">
        <f t="shared" si="107"/>
        <v>0</v>
      </c>
      <c r="N330" s="3" t="str">
        <f t="shared" si="108"/>
        <v>0</v>
      </c>
      <c r="O330" s="3">
        <f t="shared" si="109"/>
        <v>556.45000000000005</v>
      </c>
      <c r="P330" s="3" t="str">
        <f t="shared" si="110"/>
        <v>0</v>
      </c>
      <c r="Q330" s="3">
        <f t="shared" si="111"/>
        <v>553.66775000000007</v>
      </c>
      <c r="R330" s="3" t="str">
        <f t="shared" si="112"/>
        <v>0</v>
      </c>
      <c r="S330" s="3">
        <f t="shared" si="113"/>
        <v>0</v>
      </c>
      <c r="T330" s="3" t="str">
        <f t="shared" si="114"/>
        <v>0</v>
      </c>
      <c r="U330" s="3"/>
      <c r="V330" s="3"/>
      <c r="W330" s="3"/>
      <c r="X330" s="3"/>
      <c r="Y330" s="3"/>
      <c r="Z330" s="3"/>
    </row>
    <row r="331" spans="1:26" x14ac:dyDescent="0.25">
      <c r="A331" s="2">
        <v>46078</v>
      </c>
      <c r="B331" s="3" t="s">
        <v>170</v>
      </c>
      <c r="C331" s="169" t="s">
        <v>283</v>
      </c>
      <c r="D331" s="4">
        <v>1592.67</v>
      </c>
      <c r="E331" s="239">
        <v>0.995</v>
      </c>
      <c r="F331" s="239">
        <f>D331*E331</f>
        <v>1584.7066500000001</v>
      </c>
      <c r="G331" s="3"/>
      <c r="H331" s="3">
        <f>D331*G331</f>
        <v>0</v>
      </c>
      <c r="I331" s="3" t="str">
        <f t="shared" si="103"/>
        <v>0</v>
      </c>
      <c r="J331" s="3" t="str">
        <f t="shared" si="104"/>
        <v>0</v>
      </c>
      <c r="K331" s="3" t="str">
        <f t="shared" si="105"/>
        <v>0</v>
      </c>
      <c r="L331" s="3" t="str">
        <f t="shared" si="106"/>
        <v>0</v>
      </c>
      <c r="M331" s="3" t="str">
        <f t="shared" si="107"/>
        <v>0</v>
      </c>
      <c r="N331" s="3" t="str">
        <f t="shared" si="108"/>
        <v>0</v>
      </c>
      <c r="O331" s="3">
        <f t="shared" si="109"/>
        <v>1592.67</v>
      </c>
      <c r="P331" s="3" t="str">
        <f t="shared" si="110"/>
        <v>0</v>
      </c>
      <c r="Q331" s="3">
        <f t="shared" si="111"/>
        <v>1584.7066500000001</v>
      </c>
      <c r="R331" s="3" t="str">
        <f t="shared" si="112"/>
        <v>0</v>
      </c>
      <c r="S331" s="3">
        <f t="shared" si="113"/>
        <v>0</v>
      </c>
      <c r="T331" s="3" t="str">
        <f t="shared" si="114"/>
        <v>0</v>
      </c>
      <c r="U331" s="3"/>
      <c r="V331" s="3"/>
      <c r="W331" s="3"/>
      <c r="X331" s="3"/>
      <c r="Y331" s="3"/>
      <c r="Z331" s="3"/>
    </row>
    <row r="332" spans="1:26" x14ac:dyDescent="0.25">
      <c r="A332" s="2">
        <v>46078</v>
      </c>
      <c r="B332" s="3" t="s">
        <v>170</v>
      </c>
      <c r="C332" s="3" t="s">
        <v>265</v>
      </c>
      <c r="D332" s="4">
        <v>156</v>
      </c>
      <c r="E332" s="239">
        <v>0.995</v>
      </c>
      <c r="F332" s="239">
        <f>D332*E332</f>
        <v>155.22</v>
      </c>
      <c r="G332" s="3"/>
      <c r="H332" s="3">
        <f>D332*G332</f>
        <v>0</v>
      </c>
      <c r="I332" s="3" t="str">
        <f t="shared" si="103"/>
        <v>0</v>
      </c>
      <c r="J332" s="3" t="str">
        <f t="shared" si="104"/>
        <v>0</v>
      </c>
      <c r="K332" s="3" t="str">
        <f t="shared" si="105"/>
        <v>0</v>
      </c>
      <c r="L332" s="3" t="str">
        <f t="shared" si="106"/>
        <v>0</v>
      </c>
      <c r="M332" s="3" t="str">
        <f t="shared" si="107"/>
        <v>0</v>
      </c>
      <c r="N332" s="3" t="str">
        <f t="shared" si="108"/>
        <v>0</v>
      </c>
      <c r="O332" s="3">
        <f t="shared" si="109"/>
        <v>156</v>
      </c>
      <c r="P332" s="3" t="str">
        <f t="shared" si="110"/>
        <v>0</v>
      </c>
      <c r="Q332" s="3">
        <f t="shared" si="111"/>
        <v>155.22</v>
      </c>
      <c r="R332" s="3" t="str">
        <f t="shared" si="112"/>
        <v>0</v>
      </c>
      <c r="S332" s="3">
        <f t="shared" si="113"/>
        <v>0</v>
      </c>
      <c r="T332" s="3" t="str">
        <f t="shared" si="114"/>
        <v>0</v>
      </c>
      <c r="U332" s="3"/>
      <c r="V332" s="3"/>
      <c r="W332" s="3"/>
      <c r="X332" s="3"/>
      <c r="Y332" s="3"/>
      <c r="Z332" s="3"/>
    </row>
    <row r="333" spans="1:26" x14ac:dyDescent="0.25">
      <c r="A333" s="2">
        <v>46078</v>
      </c>
      <c r="B333" s="3" t="s">
        <v>170</v>
      </c>
      <c r="C333" s="169" t="s">
        <v>272</v>
      </c>
      <c r="D333" s="4">
        <v>705.7</v>
      </c>
      <c r="E333" s="239">
        <v>0.995</v>
      </c>
      <c r="F333" s="239">
        <f>D333*E333</f>
        <v>702.17150000000004</v>
      </c>
      <c r="G333" s="3"/>
      <c r="H333" s="3">
        <f>D333*G333</f>
        <v>0</v>
      </c>
      <c r="I333" s="3" t="str">
        <f t="shared" si="103"/>
        <v>0</v>
      </c>
      <c r="J333" s="3" t="str">
        <f t="shared" si="104"/>
        <v>0</v>
      </c>
      <c r="K333" s="3" t="str">
        <f t="shared" si="105"/>
        <v>0</v>
      </c>
      <c r="L333" s="3" t="str">
        <f t="shared" si="106"/>
        <v>0</v>
      </c>
      <c r="M333" s="3" t="str">
        <f t="shared" si="107"/>
        <v>0</v>
      </c>
      <c r="N333" s="3" t="str">
        <f t="shared" si="108"/>
        <v>0</v>
      </c>
      <c r="O333" s="3">
        <f t="shared" si="109"/>
        <v>705.7</v>
      </c>
      <c r="P333" s="3" t="str">
        <f t="shared" si="110"/>
        <v>0</v>
      </c>
      <c r="Q333" s="3">
        <f t="shared" si="111"/>
        <v>702.17150000000004</v>
      </c>
      <c r="R333" s="3" t="str">
        <f t="shared" si="112"/>
        <v>0</v>
      </c>
      <c r="S333" s="3">
        <f t="shared" si="113"/>
        <v>0</v>
      </c>
      <c r="T333" s="3" t="str">
        <f t="shared" si="114"/>
        <v>0</v>
      </c>
      <c r="U333" s="3"/>
      <c r="V333" s="3"/>
      <c r="W333" s="3"/>
      <c r="X333" s="3"/>
      <c r="Y333" s="3"/>
      <c r="Z333" s="3"/>
    </row>
    <row r="334" spans="1:26" x14ac:dyDescent="0.25">
      <c r="A334" s="2">
        <v>46079</v>
      </c>
      <c r="B334" s="3" t="s">
        <v>169</v>
      </c>
      <c r="C334" s="169" t="s">
        <v>283</v>
      </c>
      <c r="D334" s="4">
        <v>868.9</v>
      </c>
      <c r="E334" s="239">
        <v>0.88</v>
      </c>
      <c r="F334" s="239">
        <f t="shared" ref="F334:F340" si="116">+D334*E334</f>
        <v>764.63199999999995</v>
      </c>
      <c r="G334" s="240">
        <f>+H334/D334</f>
        <v>9.9654735872942801</v>
      </c>
      <c r="H334" s="3">
        <v>8659</v>
      </c>
      <c r="I334" s="3">
        <f t="shared" si="103"/>
        <v>868.9</v>
      </c>
      <c r="J334" s="3" t="str">
        <f t="shared" si="104"/>
        <v>0</v>
      </c>
      <c r="K334" s="3">
        <f t="shared" si="105"/>
        <v>764.63199999999995</v>
      </c>
      <c r="L334" s="3" t="str">
        <f t="shared" si="106"/>
        <v>0</v>
      </c>
      <c r="M334" s="3">
        <f t="shared" si="107"/>
        <v>8659</v>
      </c>
      <c r="N334" s="3" t="str">
        <f t="shared" si="108"/>
        <v>0</v>
      </c>
      <c r="O334" s="3" t="str">
        <f t="shared" si="109"/>
        <v>0</v>
      </c>
      <c r="P334" s="3" t="str">
        <f t="shared" si="110"/>
        <v>0</v>
      </c>
      <c r="Q334" s="3" t="str">
        <f t="shared" si="111"/>
        <v>0</v>
      </c>
      <c r="R334" s="3" t="str">
        <f t="shared" si="112"/>
        <v>0</v>
      </c>
      <c r="S334" s="3" t="str">
        <f t="shared" si="113"/>
        <v>0</v>
      </c>
      <c r="T334" s="3" t="str">
        <f t="shared" si="114"/>
        <v>0</v>
      </c>
      <c r="U334" s="3"/>
      <c r="V334" s="3"/>
      <c r="W334" s="3"/>
      <c r="X334" s="3"/>
      <c r="Y334" s="3"/>
      <c r="Z334" s="3"/>
    </row>
    <row r="335" spans="1:26" x14ac:dyDescent="0.25">
      <c r="A335" s="2">
        <v>46079</v>
      </c>
      <c r="B335" s="3" t="s">
        <v>169</v>
      </c>
      <c r="C335" s="169" t="s">
        <v>259</v>
      </c>
      <c r="D335" s="4">
        <v>692</v>
      </c>
      <c r="E335" s="239">
        <v>0.88</v>
      </c>
      <c r="F335" s="239">
        <f t="shared" si="116"/>
        <v>608.96</v>
      </c>
      <c r="G335" s="240">
        <f>+H335/D335</f>
        <v>2.6158959537572253</v>
      </c>
      <c r="H335" s="3">
        <v>1810.2</v>
      </c>
      <c r="I335" s="3">
        <f t="shared" si="103"/>
        <v>692</v>
      </c>
      <c r="J335" s="3" t="str">
        <f t="shared" si="104"/>
        <v>0</v>
      </c>
      <c r="K335" s="3">
        <f t="shared" si="105"/>
        <v>608.96</v>
      </c>
      <c r="L335" s="3" t="str">
        <f t="shared" si="106"/>
        <v>0</v>
      </c>
      <c r="M335" s="3">
        <f t="shared" si="107"/>
        <v>1810.2</v>
      </c>
      <c r="N335" s="3" t="str">
        <f t="shared" si="108"/>
        <v>0</v>
      </c>
      <c r="O335" s="3" t="str">
        <f t="shared" si="109"/>
        <v>0</v>
      </c>
      <c r="P335" s="3" t="str">
        <f t="shared" si="110"/>
        <v>0</v>
      </c>
      <c r="Q335" s="3" t="str">
        <f t="shared" si="111"/>
        <v>0</v>
      </c>
      <c r="R335" s="3" t="str">
        <f t="shared" si="112"/>
        <v>0</v>
      </c>
      <c r="S335" s="3" t="str">
        <f t="shared" si="113"/>
        <v>0</v>
      </c>
      <c r="T335" s="3" t="str">
        <f t="shared" si="114"/>
        <v>0</v>
      </c>
      <c r="U335" s="3"/>
      <c r="V335" s="3"/>
      <c r="W335" s="3"/>
      <c r="X335" s="3"/>
      <c r="Y335" s="3"/>
      <c r="Z335" s="3"/>
    </row>
    <row r="336" spans="1:26" x14ac:dyDescent="0.25">
      <c r="A336" s="2">
        <v>46079</v>
      </c>
      <c r="B336" s="3" t="s">
        <v>170</v>
      </c>
      <c r="C336" s="169" t="s">
        <v>259</v>
      </c>
      <c r="D336" s="4">
        <v>2453</v>
      </c>
      <c r="E336" s="239">
        <v>0.995</v>
      </c>
      <c r="F336" s="239">
        <f t="shared" si="116"/>
        <v>2440.7350000000001</v>
      </c>
      <c r="G336" s="240"/>
      <c r="H336" s="3">
        <f>D336*G336</f>
        <v>0</v>
      </c>
      <c r="I336" s="3" t="str">
        <f t="shared" si="103"/>
        <v>0</v>
      </c>
      <c r="J336" s="3" t="str">
        <f t="shared" si="104"/>
        <v>0</v>
      </c>
      <c r="K336" s="3" t="str">
        <f t="shared" si="105"/>
        <v>0</v>
      </c>
      <c r="L336" s="3" t="str">
        <f t="shared" si="106"/>
        <v>0</v>
      </c>
      <c r="M336" s="3" t="str">
        <f t="shared" si="107"/>
        <v>0</v>
      </c>
      <c r="N336" s="3" t="str">
        <f t="shared" si="108"/>
        <v>0</v>
      </c>
      <c r="O336" s="3">
        <f t="shared" si="109"/>
        <v>2453</v>
      </c>
      <c r="P336" s="3" t="str">
        <f t="shared" si="110"/>
        <v>0</v>
      </c>
      <c r="Q336" s="3">
        <f t="shared" si="111"/>
        <v>2440.7350000000001</v>
      </c>
      <c r="R336" s="3" t="str">
        <f t="shared" si="112"/>
        <v>0</v>
      </c>
      <c r="S336" s="3">
        <f t="shared" si="113"/>
        <v>0</v>
      </c>
      <c r="T336" s="3" t="str">
        <f t="shared" si="114"/>
        <v>0</v>
      </c>
      <c r="U336" s="3"/>
      <c r="V336" s="3"/>
      <c r="W336" s="3"/>
      <c r="X336" s="3"/>
      <c r="Y336" s="3"/>
      <c r="Z336" s="3"/>
    </row>
    <row r="337" spans="1:26" x14ac:dyDescent="0.25">
      <c r="A337" s="2">
        <v>46080</v>
      </c>
      <c r="B337" s="3" t="s">
        <v>169</v>
      </c>
      <c r="C337" s="169" t="s">
        <v>283</v>
      </c>
      <c r="D337" s="4">
        <v>1264.3</v>
      </c>
      <c r="E337" s="239">
        <v>0.88</v>
      </c>
      <c r="F337" s="239">
        <f t="shared" si="116"/>
        <v>1112.5840000000001</v>
      </c>
      <c r="G337" s="240">
        <f>+H337/D337</f>
        <v>8.7103140077513252</v>
      </c>
      <c r="H337" s="3">
        <v>11012.45</v>
      </c>
      <c r="I337" s="3">
        <f t="shared" si="103"/>
        <v>1264.3</v>
      </c>
      <c r="J337" s="3" t="str">
        <f t="shared" si="104"/>
        <v>0</v>
      </c>
      <c r="K337" s="3">
        <f t="shared" si="105"/>
        <v>1112.5840000000001</v>
      </c>
      <c r="L337" s="3" t="str">
        <f t="shared" si="106"/>
        <v>0</v>
      </c>
      <c r="M337" s="3">
        <f t="shared" si="107"/>
        <v>11012.45</v>
      </c>
      <c r="N337" s="3" t="str">
        <f t="shared" si="108"/>
        <v>0</v>
      </c>
      <c r="O337" s="3" t="str">
        <f t="shared" si="109"/>
        <v>0</v>
      </c>
      <c r="P337" s="3" t="str">
        <f t="shared" si="110"/>
        <v>0</v>
      </c>
      <c r="Q337" s="3" t="str">
        <f t="shared" si="111"/>
        <v>0</v>
      </c>
      <c r="R337" s="3" t="str">
        <f t="shared" si="112"/>
        <v>0</v>
      </c>
      <c r="S337" s="3" t="str">
        <f t="shared" si="113"/>
        <v>0</v>
      </c>
      <c r="T337" s="3" t="str">
        <f t="shared" si="114"/>
        <v>0</v>
      </c>
      <c r="U337" s="3"/>
      <c r="V337" s="3"/>
      <c r="W337" s="3"/>
      <c r="X337" s="3"/>
      <c r="Y337" s="3"/>
      <c r="Z337" s="3"/>
    </row>
    <row r="338" spans="1:26" x14ac:dyDescent="0.25">
      <c r="A338" s="2">
        <v>46080</v>
      </c>
      <c r="B338" s="3" t="s">
        <v>170</v>
      </c>
      <c r="C338" s="169" t="s">
        <v>283</v>
      </c>
      <c r="D338" s="4">
        <v>1000</v>
      </c>
      <c r="E338" s="239">
        <v>0.995</v>
      </c>
      <c r="F338" s="239">
        <f t="shared" si="116"/>
        <v>995</v>
      </c>
      <c r="G338" s="3"/>
      <c r="H338" s="3">
        <f>D338*G338</f>
        <v>0</v>
      </c>
      <c r="I338" s="3" t="str">
        <f t="shared" si="103"/>
        <v>0</v>
      </c>
      <c r="J338" s="3" t="str">
        <f t="shared" si="104"/>
        <v>0</v>
      </c>
      <c r="K338" s="3" t="str">
        <f t="shared" si="105"/>
        <v>0</v>
      </c>
      <c r="L338" s="3" t="str">
        <f t="shared" si="106"/>
        <v>0</v>
      </c>
      <c r="M338" s="3" t="str">
        <f t="shared" si="107"/>
        <v>0</v>
      </c>
      <c r="N338" s="3" t="str">
        <f t="shared" si="108"/>
        <v>0</v>
      </c>
      <c r="O338" s="3">
        <f t="shared" si="109"/>
        <v>1000</v>
      </c>
      <c r="P338" s="3" t="str">
        <f t="shared" si="110"/>
        <v>0</v>
      </c>
      <c r="Q338" s="3">
        <f t="shared" si="111"/>
        <v>995</v>
      </c>
      <c r="R338" s="3" t="str">
        <f t="shared" si="112"/>
        <v>0</v>
      </c>
      <c r="S338" s="3">
        <f t="shared" si="113"/>
        <v>0</v>
      </c>
      <c r="T338" s="3" t="str">
        <f t="shared" si="114"/>
        <v>0</v>
      </c>
      <c r="U338" s="3"/>
      <c r="V338" s="3"/>
      <c r="W338" s="3"/>
      <c r="X338" s="3"/>
      <c r="Y338" s="3"/>
      <c r="Z338" s="3"/>
    </row>
    <row r="339" spans="1:26" x14ac:dyDescent="0.25">
      <c r="A339" s="2">
        <v>46081</v>
      </c>
      <c r="B339" s="3" t="s">
        <v>169</v>
      </c>
      <c r="C339" s="169" t="s">
        <v>283</v>
      </c>
      <c r="D339" s="4">
        <v>1307.2</v>
      </c>
      <c r="E339" s="239">
        <v>0.88</v>
      </c>
      <c r="F339" s="239">
        <f t="shared" si="116"/>
        <v>1150.336</v>
      </c>
      <c r="G339" s="240">
        <f>+H339/D339</f>
        <v>6.8207236842105257</v>
      </c>
      <c r="H339" s="3">
        <v>8916.0499999999993</v>
      </c>
      <c r="I339" s="3">
        <f t="shared" si="103"/>
        <v>1307.2</v>
      </c>
      <c r="J339" s="3" t="str">
        <f t="shared" si="104"/>
        <v>0</v>
      </c>
      <c r="K339" s="3">
        <f t="shared" si="105"/>
        <v>1150.336</v>
      </c>
      <c r="L339" s="3" t="str">
        <f t="shared" si="106"/>
        <v>0</v>
      </c>
      <c r="M339" s="3">
        <f t="shared" si="107"/>
        <v>8916.0499999999993</v>
      </c>
      <c r="N339" s="3" t="str">
        <f t="shared" si="108"/>
        <v>0</v>
      </c>
      <c r="O339" s="3" t="str">
        <f t="shared" si="109"/>
        <v>0</v>
      </c>
      <c r="P339" s="3" t="str">
        <f t="shared" si="110"/>
        <v>0</v>
      </c>
      <c r="Q339" s="3" t="str">
        <f t="shared" si="111"/>
        <v>0</v>
      </c>
      <c r="R339" s="3" t="str">
        <f t="shared" si="112"/>
        <v>0</v>
      </c>
      <c r="S339" s="3" t="str">
        <f t="shared" si="113"/>
        <v>0</v>
      </c>
      <c r="T339" s="3" t="str">
        <f t="shared" si="114"/>
        <v>0</v>
      </c>
      <c r="U339" s="3"/>
      <c r="V339" s="3"/>
      <c r="W339" s="3"/>
      <c r="X339" s="3"/>
      <c r="Y339" s="3"/>
      <c r="Z339" s="3"/>
    </row>
    <row r="340" spans="1:26" x14ac:dyDescent="0.25">
      <c r="A340" s="2">
        <v>46081</v>
      </c>
      <c r="B340" s="3" t="s">
        <v>170</v>
      </c>
      <c r="C340" s="169" t="s">
        <v>283</v>
      </c>
      <c r="D340" s="4">
        <v>2042.75</v>
      </c>
      <c r="E340" s="239">
        <v>0.995</v>
      </c>
      <c r="F340" s="239">
        <f t="shared" si="116"/>
        <v>2032.5362499999999</v>
      </c>
      <c r="G340" s="3"/>
      <c r="H340" s="3">
        <f>D340*G340</f>
        <v>0</v>
      </c>
      <c r="I340" s="3" t="str">
        <f t="shared" si="103"/>
        <v>0</v>
      </c>
      <c r="J340" s="3" t="str">
        <f t="shared" si="104"/>
        <v>0</v>
      </c>
      <c r="K340" s="3" t="str">
        <f t="shared" si="105"/>
        <v>0</v>
      </c>
      <c r="L340" s="3" t="str">
        <f t="shared" si="106"/>
        <v>0</v>
      </c>
      <c r="M340" s="3" t="str">
        <f t="shared" si="107"/>
        <v>0</v>
      </c>
      <c r="N340" s="3" t="str">
        <f t="shared" si="108"/>
        <v>0</v>
      </c>
      <c r="O340" s="3">
        <f t="shared" si="109"/>
        <v>2042.75</v>
      </c>
      <c r="P340" s="3" t="str">
        <f t="shared" si="110"/>
        <v>0</v>
      </c>
      <c r="Q340" s="3">
        <f t="shared" si="111"/>
        <v>2032.5362499999999</v>
      </c>
      <c r="R340" s="3" t="str">
        <f t="shared" si="112"/>
        <v>0</v>
      </c>
      <c r="S340" s="3">
        <f t="shared" si="113"/>
        <v>0</v>
      </c>
      <c r="T340" s="3" t="str">
        <f t="shared" si="114"/>
        <v>0</v>
      </c>
      <c r="U340" s="3"/>
      <c r="V340" s="3"/>
      <c r="W340" s="3"/>
      <c r="X340" s="3"/>
      <c r="Y340" s="3"/>
      <c r="Z340" s="3"/>
    </row>
  </sheetData>
  <autoFilter ref="A1:Z340" xr:uid="{C6373BA3-9EAE-415B-851D-EB2EA6134299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28B8-F090-4926-8E22-52714E545C1F}">
  <sheetPr codeName="Sheet3"/>
  <dimension ref="A1:V792"/>
  <sheetViews>
    <sheetView workbookViewId="0">
      <pane ySplit="1" topLeftCell="A2" activePane="bottomLeft" state="frozen"/>
      <selection pane="bottomLeft" activeCell="E780" sqref="E780"/>
    </sheetView>
  </sheetViews>
  <sheetFormatPr defaultRowHeight="15" x14ac:dyDescent="0.25"/>
  <cols>
    <col min="1" max="1" width="10.42578125" bestFit="1" customWidth="1"/>
    <col min="2" max="2" width="18.42578125" customWidth="1"/>
    <col min="3" max="3" width="31" bestFit="1" customWidth="1"/>
    <col min="4" max="4" width="48.28515625" bestFit="1" customWidth="1"/>
    <col min="5" max="5" width="29.28515625" bestFit="1" customWidth="1"/>
    <col min="6" max="6" width="20.28515625" bestFit="1" customWidth="1"/>
    <col min="7" max="7" width="20.42578125" bestFit="1" customWidth="1"/>
    <col min="8" max="8" width="15.5703125" bestFit="1" customWidth="1"/>
    <col min="9" max="9" width="21.140625" bestFit="1" customWidth="1"/>
    <col min="10" max="10" width="19.28515625" bestFit="1" customWidth="1"/>
    <col min="11" max="11" width="36.28515625" bestFit="1" customWidth="1"/>
    <col min="12" max="12" width="22.5703125" bestFit="1" customWidth="1"/>
    <col min="13" max="13" width="32" bestFit="1" customWidth="1"/>
    <col min="14" max="14" width="16.140625" bestFit="1" customWidth="1"/>
    <col min="15" max="15" width="15.5703125" bestFit="1" customWidth="1"/>
    <col min="16" max="16" width="21.140625" bestFit="1" customWidth="1"/>
    <col min="17" max="17" width="12.42578125" bestFit="1" customWidth="1"/>
    <col min="18" max="18" width="18" bestFit="1" customWidth="1"/>
    <col min="21" max="21" width="31.7109375" bestFit="1" customWidth="1"/>
    <col min="22" max="22" width="16.7109375" bestFit="1" customWidth="1"/>
  </cols>
  <sheetData>
    <row r="1" spans="1:22" x14ac:dyDescent="0.25">
      <c r="A1" s="9" t="s">
        <v>30</v>
      </c>
      <c r="B1" s="9" t="s">
        <v>31</v>
      </c>
      <c r="C1" s="10" t="s">
        <v>32</v>
      </c>
      <c r="D1" s="10" t="s">
        <v>33</v>
      </c>
      <c r="E1" s="9" t="s">
        <v>34</v>
      </c>
      <c r="F1" s="9" t="s">
        <v>35</v>
      </c>
      <c r="G1" s="10" t="s">
        <v>36</v>
      </c>
      <c r="H1" s="9" t="s">
        <v>37</v>
      </c>
      <c r="I1" s="9" t="s">
        <v>38</v>
      </c>
      <c r="J1" s="9" t="s">
        <v>39</v>
      </c>
      <c r="K1" s="9" t="s">
        <v>40</v>
      </c>
      <c r="L1" s="9" t="s">
        <v>41</v>
      </c>
      <c r="M1" s="9" t="s">
        <v>42</v>
      </c>
      <c r="N1" s="9" t="s">
        <v>43</v>
      </c>
      <c r="O1" s="9" t="s">
        <v>44</v>
      </c>
      <c r="P1" s="9" t="s">
        <v>45</v>
      </c>
      <c r="Q1" s="9" t="s">
        <v>46</v>
      </c>
      <c r="R1" s="9" t="s">
        <v>47</v>
      </c>
      <c r="U1" t="s">
        <v>49</v>
      </c>
      <c r="V1" t="s">
        <v>48</v>
      </c>
    </row>
    <row r="2" spans="1:22" x14ac:dyDescent="0.25">
      <c r="A2" s="2">
        <v>46174</v>
      </c>
      <c r="B2" s="2" t="s">
        <v>48</v>
      </c>
      <c r="C2" s="3" t="s">
        <v>49</v>
      </c>
      <c r="D2" s="11" t="s">
        <v>303</v>
      </c>
      <c r="E2" s="3">
        <v>963</v>
      </c>
      <c r="F2" s="3">
        <f>E2*5%</f>
        <v>48.150000000000006</v>
      </c>
      <c r="G2" s="4">
        <f>IF(F2="NO TAX",E2,E2+F2)</f>
        <v>1011.15</v>
      </c>
      <c r="H2" s="3"/>
      <c r="I2" s="3"/>
      <c r="J2" s="3"/>
      <c r="K2" s="3"/>
      <c r="L2" s="3">
        <f>K2*5%</f>
        <v>0</v>
      </c>
      <c r="M2" s="3">
        <f>IF(L2="NO TAX",K2,K2+L2)</f>
        <v>0</v>
      </c>
      <c r="N2" s="3"/>
      <c r="O2" s="3"/>
      <c r="P2" s="3"/>
      <c r="Q2" s="3"/>
      <c r="R2" s="3"/>
      <c r="U2" t="s">
        <v>50</v>
      </c>
      <c r="V2" t="s">
        <v>285</v>
      </c>
    </row>
    <row r="3" spans="1:22" x14ac:dyDescent="0.25">
      <c r="A3" s="2">
        <v>46174</v>
      </c>
      <c r="B3" s="2" t="s">
        <v>48</v>
      </c>
      <c r="C3" s="3" t="s">
        <v>68</v>
      </c>
      <c r="D3" s="11" t="s">
        <v>304</v>
      </c>
      <c r="E3" s="3">
        <v>125</v>
      </c>
      <c r="F3" s="3">
        <f t="shared" ref="F3:F62" si="0">E3*5%</f>
        <v>6.25</v>
      </c>
      <c r="G3" s="177">
        <f t="shared" ref="E3:G66" si="1">IF(F3="NO TAX",E3,E3+F3)</f>
        <v>131.25</v>
      </c>
      <c r="H3" s="3"/>
      <c r="I3" s="3"/>
      <c r="J3" s="3"/>
      <c r="K3" s="3"/>
      <c r="L3" s="3">
        <f t="shared" ref="L3:L66" si="2">K3*5%</f>
        <v>0</v>
      </c>
      <c r="M3" s="3">
        <f t="shared" ref="M3:M66" si="3">IF(L3="NO TAX",K3,K3+L3)</f>
        <v>0</v>
      </c>
      <c r="N3" s="3"/>
      <c r="O3" s="3"/>
      <c r="P3" s="3"/>
      <c r="Q3" s="3"/>
      <c r="R3" s="3"/>
      <c r="U3" t="s">
        <v>51</v>
      </c>
      <c r="V3" t="s">
        <v>292</v>
      </c>
    </row>
    <row r="4" spans="1:22" x14ac:dyDescent="0.25">
      <c r="A4" s="2">
        <v>46174</v>
      </c>
      <c r="B4" s="2" t="s">
        <v>48</v>
      </c>
      <c r="C4" s="3" t="s">
        <v>49</v>
      </c>
      <c r="D4" s="11" t="s">
        <v>305</v>
      </c>
      <c r="E4" s="3">
        <v>96</v>
      </c>
      <c r="F4" s="3" t="s">
        <v>172</v>
      </c>
      <c r="G4" s="4">
        <f t="shared" si="1"/>
        <v>96</v>
      </c>
      <c r="H4" s="3"/>
      <c r="I4" s="3"/>
      <c r="J4" s="3"/>
      <c r="K4" s="3"/>
      <c r="L4" s="3">
        <f t="shared" si="2"/>
        <v>0</v>
      </c>
      <c r="M4" s="3">
        <f t="shared" si="3"/>
        <v>0</v>
      </c>
      <c r="N4" s="3"/>
      <c r="O4" s="3"/>
      <c r="P4" s="3"/>
      <c r="Q4" s="3"/>
      <c r="R4" s="3"/>
      <c r="U4" t="s">
        <v>53</v>
      </c>
      <c r="V4" t="s">
        <v>54</v>
      </c>
    </row>
    <row r="5" spans="1:22" x14ac:dyDescent="0.25">
      <c r="A5" s="2">
        <v>46174</v>
      </c>
      <c r="B5" s="2" t="s">
        <v>48</v>
      </c>
      <c r="C5" s="3" t="s">
        <v>73</v>
      </c>
      <c r="D5" s="11" t="s">
        <v>306</v>
      </c>
      <c r="E5" s="3">
        <v>28</v>
      </c>
      <c r="F5" s="3" t="s">
        <v>172</v>
      </c>
      <c r="G5" s="4">
        <f t="shared" si="1"/>
        <v>28</v>
      </c>
      <c r="H5" s="3"/>
      <c r="I5" s="3"/>
      <c r="J5" s="3"/>
      <c r="K5" s="3"/>
      <c r="L5" s="3">
        <f t="shared" si="2"/>
        <v>0</v>
      </c>
      <c r="M5" s="3">
        <f t="shared" si="3"/>
        <v>0</v>
      </c>
      <c r="N5" s="3"/>
      <c r="O5" s="3"/>
      <c r="P5" s="3"/>
      <c r="Q5" s="3"/>
      <c r="R5" s="3"/>
      <c r="U5" t="s">
        <v>55</v>
      </c>
      <c r="V5" t="s">
        <v>286</v>
      </c>
    </row>
    <row r="6" spans="1:22" x14ac:dyDescent="0.25">
      <c r="A6" s="2">
        <v>46174</v>
      </c>
      <c r="B6" s="2" t="s">
        <v>48</v>
      </c>
      <c r="C6" s="3" t="s">
        <v>70</v>
      </c>
      <c r="D6" s="11" t="s">
        <v>307</v>
      </c>
      <c r="E6" s="3">
        <v>45</v>
      </c>
      <c r="F6" s="3" t="s">
        <v>172</v>
      </c>
      <c r="G6" s="4">
        <f t="shared" si="1"/>
        <v>45</v>
      </c>
      <c r="H6" s="3"/>
      <c r="I6" s="3"/>
      <c r="J6" s="3"/>
      <c r="K6" s="3"/>
      <c r="L6" s="3">
        <f t="shared" si="2"/>
        <v>0</v>
      </c>
      <c r="M6" s="3">
        <f t="shared" si="3"/>
        <v>0</v>
      </c>
      <c r="N6" s="3"/>
      <c r="O6" s="3"/>
      <c r="P6" s="3"/>
      <c r="Q6" s="3"/>
      <c r="R6" s="3"/>
      <c r="U6" t="s">
        <v>56</v>
      </c>
      <c r="V6" t="s">
        <v>287</v>
      </c>
    </row>
    <row r="7" spans="1:22" x14ac:dyDescent="0.25">
      <c r="A7" s="2">
        <v>46174</v>
      </c>
      <c r="B7" s="2" t="s">
        <v>48</v>
      </c>
      <c r="C7" s="3" t="s">
        <v>73</v>
      </c>
      <c r="D7" s="11" t="s">
        <v>308</v>
      </c>
      <c r="E7" s="3">
        <v>54</v>
      </c>
      <c r="F7" s="3" t="s">
        <v>172</v>
      </c>
      <c r="G7" s="4">
        <f t="shared" si="1"/>
        <v>54</v>
      </c>
      <c r="H7" s="3"/>
      <c r="I7" s="3"/>
      <c r="J7" s="3"/>
      <c r="K7" s="3"/>
      <c r="L7" s="3">
        <f t="shared" si="2"/>
        <v>0</v>
      </c>
      <c r="M7" s="3">
        <f t="shared" si="3"/>
        <v>0</v>
      </c>
      <c r="N7" s="3"/>
      <c r="O7" s="3"/>
      <c r="P7" s="3"/>
      <c r="Q7" s="3"/>
      <c r="R7" s="3"/>
      <c r="U7" t="s">
        <v>57</v>
      </c>
      <c r="V7" t="s">
        <v>291</v>
      </c>
    </row>
    <row r="8" spans="1:22" x14ac:dyDescent="0.25">
      <c r="A8" s="2">
        <v>46175</v>
      </c>
      <c r="B8" s="2" t="s">
        <v>48</v>
      </c>
      <c r="C8" s="3" t="s">
        <v>84</v>
      </c>
      <c r="D8" s="11" t="s">
        <v>309</v>
      </c>
      <c r="E8" s="3">
        <v>16</v>
      </c>
      <c r="F8" s="3" t="s">
        <v>172</v>
      </c>
      <c r="G8" s="4">
        <f t="shared" si="1"/>
        <v>16</v>
      </c>
      <c r="H8" s="3"/>
      <c r="I8" s="3"/>
      <c r="J8" s="3"/>
      <c r="K8" s="3"/>
      <c r="L8" s="3">
        <f t="shared" si="2"/>
        <v>0</v>
      </c>
      <c r="M8" s="3">
        <f t="shared" si="3"/>
        <v>0</v>
      </c>
      <c r="N8" s="3"/>
      <c r="O8" s="3"/>
      <c r="P8" s="3"/>
      <c r="Q8" s="3"/>
      <c r="R8" s="3"/>
      <c r="U8" t="s">
        <v>58</v>
      </c>
      <c r="V8" t="s">
        <v>288</v>
      </c>
    </row>
    <row r="9" spans="1:22" x14ac:dyDescent="0.25">
      <c r="A9" s="2">
        <v>46175</v>
      </c>
      <c r="B9" s="2" t="s">
        <v>48</v>
      </c>
      <c r="C9" s="3" t="s">
        <v>92</v>
      </c>
      <c r="D9" s="11" t="s">
        <v>310</v>
      </c>
      <c r="E9" s="3"/>
      <c r="F9" s="3">
        <f t="shared" si="0"/>
        <v>0</v>
      </c>
      <c r="G9" s="4">
        <f t="shared" si="1"/>
        <v>0</v>
      </c>
      <c r="H9" s="3">
        <v>500</v>
      </c>
      <c r="I9" s="3"/>
      <c r="J9" s="3"/>
      <c r="K9" s="3"/>
      <c r="L9" s="3">
        <f t="shared" si="2"/>
        <v>0</v>
      </c>
      <c r="M9" s="3">
        <f t="shared" si="3"/>
        <v>0</v>
      </c>
      <c r="N9" s="3"/>
      <c r="O9" s="3"/>
      <c r="P9" s="3"/>
      <c r="Q9" s="3"/>
      <c r="R9" s="3"/>
      <c r="U9" t="s">
        <v>59</v>
      </c>
      <c r="V9" t="s">
        <v>289</v>
      </c>
    </row>
    <row r="10" spans="1:22" x14ac:dyDescent="0.25">
      <c r="A10" s="2">
        <v>46175</v>
      </c>
      <c r="B10" s="2" t="s">
        <v>48</v>
      </c>
      <c r="C10" s="3" t="s">
        <v>64</v>
      </c>
      <c r="D10" s="11" t="s">
        <v>311</v>
      </c>
      <c r="E10" s="3">
        <v>160</v>
      </c>
      <c r="F10" s="3" t="s">
        <v>172</v>
      </c>
      <c r="G10" s="4">
        <f t="shared" si="1"/>
        <v>160</v>
      </c>
      <c r="H10" s="3"/>
      <c r="I10" s="3"/>
      <c r="J10" s="3"/>
      <c r="K10" s="3"/>
      <c r="L10" s="3">
        <f t="shared" si="2"/>
        <v>0</v>
      </c>
      <c r="M10" s="3">
        <f t="shared" si="3"/>
        <v>0</v>
      </c>
      <c r="N10" s="3"/>
      <c r="O10" s="3"/>
      <c r="P10" s="3"/>
      <c r="Q10" s="3"/>
      <c r="R10" s="3"/>
      <c r="U10" t="s">
        <v>60</v>
      </c>
      <c r="V10" t="s">
        <v>290</v>
      </c>
    </row>
    <row r="11" spans="1:22" x14ac:dyDescent="0.25">
      <c r="A11" s="2">
        <v>46175</v>
      </c>
      <c r="B11" s="2" t="s">
        <v>48</v>
      </c>
      <c r="C11" s="3" t="s">
        <v>49</v>
      </c>
      <c r="D11" s="11" t="s">
        <v>312</v>
      </c>
      <c r="E11" s="3">
        <v>116</v>
      </c>
      <c r="F11" s="3">
        <f t="shared" si="0"/>
        <v>5.8000000000000007</v>
      </c>
      <c r="G11" s="177">
        <f t="shared" si="1"/>
        <v>121.8</v>
      </c>
      <c r="H11" s="3"/>
      <c r="I11" s="3"/>
      <c r="J11" s="3"/>
      <c r="K11" s="3"/>
      <c r="L11" s="3">
        <f t="shared" si="2"/>
        <v>0</v>
      </c>
      <c r="M11" s="3">
        <f t="shared" si="3"/>
        <v>0</v>
      </c>
      <c r="N11" s="3"/>
      <c r="O11" s="3"/>
      <c r="P11" s="3"/>
      <c r="Q11" s="3"/>
      <c r="R11" s="3"/>
      <c r="U11" t="s">
        <v>62</v>
      </c>
      <c r="V11" t="s">
        <v>49</v>
      </c>
    </row>
    <row r="12" spans="1:22" x14ac:dyDescent="0.25">
      <c r="A12" s="2">
        <v>46175</v>
      </c>
      <c r="B12" s="2" t="s">
        <v>48</v>
      </c>
      <c r="C12" s="3" t="s">
        <v>49</v>
      </c>
      <c r="D12" s="11" t="s">
        <v>313</v>
      </c>
      <c r="E12" s="3">
        <v>10</v>
      </c>
      <c r="F12" s="3" t="s">
        <v>172</v>
      </c>
      <c r="G12" s="4">
        <f t="shared" si="1"/>
        <v>10</v>
      </c>
      <c r="H12" s="3"/>
      <c r="I12" s="3"/>
      <c r="J12" s="3"/>
      <c r="K12" s="3"/>
      <c r="L12" s="3">
        <f t="shared" si="2"/>
        <v>0</v>
      </c>
      <c r="M12" s="3">
        <f t="shared" si="3"/>
        <v>0</v>
      </c>
      <c r="N12" s="3"/>
      <c r="O12" s="3"/>
      <c r="P12" s="3"/>
      <c r="Q12" s="3"/>
      <c r="R12" s="3"/>
      <c r="U12" t="s">
        <v>63</v>
      </c>
      <c r="V12" t="s">
        <v>92</v>
      </c>
    </row>
    <row r="13" spans="1:22" x14ac:dyDescent="0.25">
      <c r="A13" s="2">
        <v>46175</v>
      </c>
      <c r="B13" s="2" t="s">
        <v>48</v>
      </c>
      <c r="C13" s="3" t="s">
        <v>91</v>
      </c>
      <c r="D13" s="11" t="s">
        <v>314</v>
      </c>
      <c r="E13" s="3">
        <v>90</v>
      </c>
      <c r="F13" s="3" t="s">
        <v>172</v>
      </c>
      <c r="G13" s="4">
        <f t="shared" si="1"/>
        <v>90</v>
      </c>
      <c r="H13" s="3"/>
      <c r="I13" s="3"/>
      <c r="J13" s="3"/>
      <c r="K13" s="3"/>
      <c r="L13" s="3">
        <f t="shared" si="2"/>
        <v>0</v>
      </c>
      <c r="M13" s="3">
        <f t="shared" si="3"/>
        <v>0</v>
      </c>
      <c r="N13" s="3"/>
      <c r="O13" s="3"/>
      <c r="P13" s="3"/>
      <c r="Q13" s="3"/>
      <c r="R13" s="3"/>
      <c r="U13" t="s">
        <v>64</v>
      </c>
      <c r="V13" t="s">
        <v>56</v>
      </c>
    </row>
    <row r="14" spans="1:22" x14ac:dyDescent="0.25">
      <c r="A14" s="2">
        <v>46175</v>
      </c>
      <c r="B14" s="2" t="s">
        <v>48</v>
      </c>
      <c r="C14" s="3" t="s">
        <v>73</v>
      </c>
      <c r="D14" s="11" t="s">
        <v>315</v>
      </c>
      <c r="E14" s="3">
        <v>12</v>
      </c>
      <c r="F14" s="3" t="s">
        <v>172</v>
      </c>
      <c r="G14" s="4">
        <f t="shared" si="1"/>
        <v>12</v>
      </c>
      <c r="H14" s="3"/>
      <c r="I14" s="3"/>
      <c r="J14" s="3"/>
      <c r="K14" s="3"/>
      <c r="L14" s="3">
        <f t="shared" si="2"/>
        <v>0</v>
      </c>
      <c r="M14" s="3">
        <f t="shared" si="3"/>
        <v>0</v>
      </c>
      <c r="N14" s="3"/>
      <c r="O14" s="3"/>
      <c r="P14" s="3"/>
      <c r="Q14" s="3"/>
      <c r="R14" s="3"/>
      <c r="U14" t="s">
        <v>65</v>
      </c>
    </row>
    <row r="15" spans="1:22" x14ac:dyDescent="0.25">
      <c r="A15" s="2">
        <v>46175</v>
      </c>
      <c r="B15" s="2" t="s">
        <v>48</v>
      </c>
      <c r="C15" s="3" t="s">
        <v>70</v>
      </c>
      <c r="D15" s="11" t="s">
        <v>316</v>
      </c>
      <c r="E15" s="3">
        <v>10</v>
      </c>
      <c r="F15" s="3" t="s">
        <v>172</v>
      </c>
      <c r="G15" s="4">
        <f t="shared" si="1"/>
        <v>10</v>
      </c>
      <c r="H15" s="3"/>
      <c r="I15" s="3"/>
      <c r="J15" s="3"/>
      <c r="K15" s="3"/>
      <c r="L15" s="3">
        <f t="shared" si="2"/>
        <v>0</v>
      </c>
      <c r="M15" s="3">
        <f t="shared" si="3"/>
        <v>0</v>
      </c>
      <c r="N15" s="3"/>
      <c r="O15" s="3"/>
      <c r="P15" s="3"/>
      <c r="Q15" s="3"/>
      <c r="R15" s="3"/>
      <c r="U15" t="s">
        <v>66</v>
      </c>
    </row>
    <row r="16" spans="1:22" x14ac:dyDescent="0.25">
      <c r="A16" s="2">
        <v>46175</v>
      </c>
      <c r="B16" s="2" t="s">
        <v>287</v>
      </c>
      <c r="C16" s="3" t="s">
        <v>75</v>
      </c>
      <c r="D16" s="11" t="s">
        <v>317</v>
      </c>
      <c r="E16" s="3">
        <v>1254</v>
      </c>
      <c r="F16" s="3" t="s">
        <v>172</v>
      </c>
      <c r="G16" s="4">
        <f t="shared" si="1"/>
        <v>1254</v>
      </c>
      <c r="H16" s="3"/>
      <c r="I16" s="3"/>
      <c r="J16" s="3"/>
      <c r="K16" s="3"/>
      <c r="L16" s="3">
        <f t="shared" si="2"/>
        <v>0</v>
      </c>
      <c r="M16" s="3">
        <f t="shared" si="3"/>
        <v>0</v>
      </c>
      <c r="N16" s="3"/>
      <c r="O16" s="3"/>
      <c r="P16" s="3"/>
      <c r="Q16" s="3"/>
      <c r="R16" s="3"/>
      <c r="U16" t="s">
        <v>67</v>
      </c>
    </row>
    <row r="17" spans="1:21" x14ac:dyDescent="0.25">
      <c r="A17" s="2">
        <v>46176</v>
      </c>
      <c r="B17" s="2" t="s">
        <v>48</v>
      </c>
      <c r="C17" s="3" t="s">
        <v>84</v>
      </c>
      <c r="D17" s="11" t="s">
        <v>318</v>
      </c>
      <c r="E17" s="3">
        <v>12</v>
      </c>
      <c r="F17" s="3" t="s">
        <v>172</v>
      </c>
      <c r="G17" s="4">
        <f t="shared" si="1"/>
        <v>12</v>
      </c>
      <c r="H17" s="3"/>
      <c r="I17" s="3"/>
      <c r="J17" s="3"/>
      <c r="K17" s="3"/>
      <c r="L17" s="3">
        <f t="shared" si="2"/>
        <v>0</v>
      </c>
      <c r="M17" s="3">
        <f t="shared" si="3"/>
        <v>0</v>
      </c>
      <c r="N17" s="3"/>
      <c r="O17" s="3"/>
      <c r="P17" s="3"/>
      <c r="Q17" s="3"/>
      <c r="R17" s="3"/>
      <c r="U17" t="s">
        <v>68</v>
      </c>
    </row>
    <row r="18" spans="1:21" x14ac:dyDescent="0.25">
      <c r="A18" s="2">
        <v>46176</v>
      </c>
      <c r="B18" s="2" t="s">
        <v>48</v>
      </c>
      <c r="C18" s="3" t="s">
        <v>49</v>
      </c>
      <c r="D18" s="11" t="s">
        <v>319</v>
      </c>
      <c r="E18" s="3">
        <v>49</v>
      </c>
      <c r="F18" s="3" t="s">
        <v>172</v>
      </c>
      <c r="G18" s="4">
        <f t="shared" si="1"/>
        <v>49</v>
      </c>
      <c r="H18" s="3"/>
      <c r="I18" s="3"/>
      <c r="J18" s="3"/>
      <c r="K18" s="3"/>
      <c r="L18" s="3">
        <f t="shared" si="2"/>
        <v>0</v>
      </c>
      <c r="M18" s="3">
        <f t="shared" si="3"/>
        <v>0</v>
      </c>
      <c r="N18" s="3"/>
      <c r="O18" s="3"/>
      <c r="P18" s="3"/>
      <c r="Q18" s="3"/>
      <c r="R18" s="3"/>
      <c r="U18" t="s">
        <v>69</v>
      </c>
    </row>
    <row r="19" spans="1:21" x14ac:dyDescent="0.25">
      <c r="A19" s="2">
        <v>46176</v>
      </c>
      <c r="B19" s="2" t="s">
        <v>48</v>
      </c>
      <c r="C19" s="3" t="s">
        <v>76</v>
      </c>
      <c r="D19" s="11" t="s">
        <v>320</v>
      </c>
      <c r="E19" s="3">
        <v>60</v>
      </c>
      <c r="F19" s="3" t="s">
        <v>172</v>
      </c>
      <c r="G19" s="4">
        <f t="shared" si="1"/>
        <v>60</v>
      </c>
      <c r="H19" s="3"/>
      <c r="I19" s="3"/>
      <c r="J19" s="3"/>
      <c r="K19" s="3"/>
      <c r="L19" s="3">
        <f t="shared" si="2"/>
        <v>0</v>
      </c>
      <c r="M19" s="3">
        <f t="shared" si="3"/>
        <v>0</v>
      </c>
      <c r="N19" s="3"/>
      <c r="O19" s="3"/>
      <c r="P19" s="3"/>
      <c r="Q19" s="3"/>
      <c r="R19" s="3"/>
      <c r="U19" t="s">
        <v>70</v>
      </c>
    </row>
    <row r="20" spans="1:21" x14ac:dyDescent="0.25">
      <c r="A20" s="2">
        <v>46176</v>
      </c>
      <c r="B20" s="2" t="s">
        <v>48</v>
      </c>
      <c r="C20" s="3" t="s">
        <v>56</v>
      </c>
      <c r="D20" s="11" t="s">
        <v>321</v>
      </c>
      <c r="E20" s="3">
        <v>5244</v>
      </c>
      <c r="F20" s="3" t="s">
        <v>172</v>
      </c>
      <c r="G20" s="4">
        <f t="shared" si="1"/>
        <v>5244</v>
      </c>
      <c r="H20" s="3"/>
      <c r="I20" s="3"/>
      <c r="J20" s="3"/>
      <c r="K20" s="3"/>
      <c r="L20" s="3">
        <f t="shared" si="2"/>
        <v>0</v>
      </c>
      <c r="M20" s="3">
        <f t="shared" si="3"/>
        <v>0</v>
      </c>
      <c r="N20" s="3"/>
      <c r="O20" s="3"/>
      <c r="P20" s="3"/>
      <c r="Q20" s="3"/>
      <c r="R20" s="3"/>
      <c r="U20" t="s">
        <v>71</v>
      </c>
    </row>
    <row r="21" spans="1:21" x14ac:dyDescent="0.25">
      <c r="A21" s="2">
        <v>46177</v>
      </c>
      <c r="B21" s="2" t="s">
        <v>48</v>
      </c>
      <c r="C21" s="3" t="s">
        <v>49</v>
      </c>
      <c r="D21" s="11" t="s">
        <v>322</v>
      </c>
      <c r="E21" s="3">
        <v>14546</v>
      </c>
      <c r="F21" s="3">
        <f t="shared" si="0"/>
        <v>727.30000000000007</v>
      </c>
      <c r="G21" s="4">
        <f t="shared" si="1"/>
        <v>15273.3</v>
      </c>
      <c r="H21" s="3"/>
      <c r="I21" s="3"/>
      <c r="J21" s="3"/>
      <c r="K21" s="3"/>
      <c r="L21" s="3">
        <f t="shared" si="2"/>
        <v>0</v>
      </c>
      <c r="M21" s="3">
        <f t="shared" si="3"/>
        <v>0</v>
      </c>
      <c r="N21" s="3"/>
      <c r="O21" s="3"/>
      <c r="P21" s="3"/>
      <c r="Q21" s="3"/>
      <c r="R21" s="3"/>
      <c r="U21" t="s">
        <v>72</v>
      </c>
    </row>
    <row r="22" spans="1:21" x14ac:dyDescent="0.25">
      <c r="A22" s="2">
        <v>46177</v>
      </c>
      <c r="B22" s="2" t="s">
        <v>48</v>
      </c>
      <c r="C22" s="3" t="s">
        <v>70</v>
      </c>
      <c r="D22" s="11" t="s">
        <v>323</v>
      </c>
      <c r="E22" s="3">
        <v>13</v>
      </c>
      <c r="F22" s="3" t="s">
        <v>172</v>
      </c>
      <c r="G22" s="4">
        <f t="shared" si="1"/>
        <v>13</v>
      </c>
      <c r="H22" s="3"/>
      <c r="I22" s="3"/>
      <c r="J22" s="3"/>
      <c r="K22" s="3"/>
      <c r="L22" s="3">
        <f t="shared" si="2"/>
        <v>0</v>
      </c>
      <c r="M22" s="3">
        <f t="shared" si="3"/>
        <v>0</v>
      </c>
      <c r="N22" s="3"/>
      <c r="O22" s="3"/>
      <c r="P22" s="3"/>
      <c r="Q22" s="3"/>
      <c r="R22" s="3"/>
      <c r="U22" t="s">
        <v>73</v>
      </c>
    </row>
    <row r="23" spans="1:21" x14ac:dyDescent="0.25">
      <c r="A23" s="2">
        <v>46177</v>
      </c>
      <c r="B23" s="2" t="s">
        <v>48</v>
      </c>
      <c r="C23" s="3" t="s">
        <v>49</v>
      </c>
      <c r="D23" s="11" t="s">
        <v>324</v>
      </c>
      <c r="E23" s="3">
        <v>564</v>
      </c>
      <c r="F23" s="3">
        <f t="shared" si="0"/>
        <v>28.200000000000003</v>
      </c>
      <c r="G23" s="4">
        <f t="shared" si="1"/>
        <v>592.20000000000005</v>
      </c>
      <c r="H23" s="3"/>
      <c r="I23" s="3"/>
      <c r="J23" s="3"/>
      <c r="K23" s="3"/>
      <c r="L23" s="3">
        <f t="shared" si="2"/>
        <v>0</v>
      </c>
      <c r="M23" s="3">
        <f t="shared" si="3"/>
        <v>0</v>
      </c>
      <c r="N23" s="3"/>
      <c r="O23" s="3"/>
      <c r="P23" s="3"/>
      <c r="Q23" s="3"/>
      <c r="R23" s="3"/>
      <c r="U23" t="s">
        <v>74</v>
      </c>
    </row>
    <row r="24" spans="1:21" x14ac:dyDescent="0.25">
      <c r="A24" s="2">
        <v>46177</v>
      </c>
      <c r="B24" s="2" t="s">
        <v>48</v>
      </c>
      <c r="C24" s="3" t="s">
        <v>90</v>
      </c>
      <c r="D24" s="11" t="s">
        <v>325</v>
      </c>
      <c r="E24" s="3"/>
      <c r="F24" s="3">
        <f t="shared" si="0"/>
        <v>0</v>
      </c>
      <c r="G24" s="4">
        <f t="shared" si="1"/>
        <v>0</v>
      </c>
      <c r="H24" s="3"/>
      <c r="I24" s="3"/>
      <c r="J24" s="3">
        <v>13210</v>
      </c>
      <c r="K24" s="3"/>
      <c r="L24" s="3">
        <f t="shared" si="2"/>
        <v>0</v>
      </c>
      <c r="M24" s="3">
        <f t="shared" si="3"/>
        <v>0</v>
      </c>
      <c r="N24" s="3"/>
      <c r="O24" s="3"/>
      <c r="P24" s="3"/>
      <c r="Q24" s="3"/>
      <c r="R24" s="3"/>
      <c r="U24" t="s">
        <v>75</v>
      </c>
    </row>
    <row r="25" spans="1:21" x14ac:dyDescent="0.25">
      <c r="A25" s="2">
        <v>46177</v>
      </c>
      <c r="B25" s="2" t="s">
        <v>48</v>
      </c>
      <c r="C25" s="3" t="s">
        <v>49</v>
      </c>
      <c r="D25" s="11" t="s">
        <v>326</v>
      </c>
      <c r="E25" s="3">
        <v>456</v>
      </c>
      <c r="F25" s="3">
        <f t="shared" si="0"/>
        <v>22.8</v>
      </c>
      <c r="G25" s="4">
        <f t="shared" si="1"/>
        <v>478.8</v>
      </c>
      <c r="H25" s="3"/>
      <c r="I25" s="3"/>
      <c r="J25" s="3"/>
      <c r="K25" s="3"/>
      <c r="L25" s="3">
        <f t="shared" si="2"/>
        <v>0</v>
      </c>
      <c r="M25" s="3">
        <f t="shared" si="3"/>
        <v>0</v>
      </c>
      <c r="N25" s="3"/>
      <c r="O25" s="3"/>
      <c r="P25" s="3"/>
      <c r="Q25" s="3"/>
      <c r="R25" s="3"/>
      <c r="U25" t="s">
        <v>76</v>
      </c>
    </row>
    <row r="26" spans="1:21" x14ac:dyDescent="0.25">
      <c r="A26" s="2">
        <v>46177</v>
      </c>
      <c r="B26" s="2" t="s">
        <v>48</v>
      </c>
      <c r="C26" s="3" t="s">
        <v>64</v>
      </c>
      <c r="D26" s="11" t="s">
        <v>327</v>
      </c>
      <c r="E26" s="3">
        <v>142</v>
      </c>
      <c r="F26" s="3" t="s">
        <v>172</v>
      </c>
      <c r="G26" s="4">
        <f t="shared" si="1"/>
        <v>142</v>
      </c>
      <c r="H26" s="3"/>
      <c r="I26" s="3"/>
      <c r="J26" s="3"/>
      <c r="K26" s="3"/>
      <c r="L26" s="3">
        <f t="shared" si="2"/>
        <v>0</v>
      </c>
      <c r="M26" s="3">
        <f t="shared" si="3"/>
        <v>0</v>
      </c>
      <c r="N26" s="3"/>
      <c r="O26" s="3"/>
      <c r="P26" s="3"/>
      <c r="Q26" s="3"/>
      <c r="R26" s="3"/>
      <c r="U26" t="s">
        <v>77</v>
      </c>
    </row>
    <row r="27" spans="1:21" x14ac:dyDescent="0.25">
      <c r="A27" s="2">
        <v>46177</v>
      </c>
      <c r="B27" s="2" t="s">
        <v>48</v>
      </c>
      <c r="C27" s="3" t="s">
        <v>73</v>
      </c>
      <c r="D27" s="11" t="s">
        <v>328</v>
      </c>
      <c r="E27" s="3">
        <v>16120</v>
      </c>
      <c r="F27" s="3" t="s">
        <v>172</v>
      </c>
      <c r="G27" s="4">
        <f t="shared" si="1"/>
        <v>16120</v>
      </c>
      <c r="H27" s="3"/>
      <c r="I27" s="3"/>
      <c r="J27" s="3"/>
      <c r="K27" s="3"/>
      <c r="L27" s="3">
        <f t="shared" si="2"/>
        <v>0</v>
      </c>
      <c r="M27" s="3">
        <f t="shared" si="3"/>
        <v>0</v>
      </c>
      <c r="N27" s="3"/>
      <c r="O27" s="3"/>
      <c r="P27" s="3"/>
      <c r="Q27" s="3"/>
      <c r="R27" s="3"/>
      <c r="U27" t="s">
        <v>78</v>
      </c>
    </row>
    <row r="28" spans="1:21" x14ac:dyDescent="0.25">
      <c r="A28" s="2">
        <v>46178</v>
      </c>
      <c r="B28" s="2" t="s">
        <v>48</v>
      </c>
      <c r="C28" s="3" t="s">
        <v>49</v>
      </c>
      <c r="D28" s="11" t="s">
        <v>329</v>
      </c>
      <c r="E28" s="3">
        <v>5714.29</v>
      </c>
      <c r="F28" s="3">
        <f t="shared" si="0"/>
        <v>285.71449999999999</v>
      </c>
      <c r="G28" s="4">
        <f t="shared" si="1"/>
        <v>6000.0045</v>
      </c>
      <c r="H28" s="3"/>
      <c r="I28" s="3"/>
      <c r="J28" s="3"/>
      <c r="K28" s="3"/>
      <c r="L28" s="3">
        <f t="shared" si="2"/>
        <v>0</v>
      </c>
      <c r="M28" s="3">
        <f t="shared" si="3"/>
        <v>0</v>
      </c>
      <c r="N28" s="3"/>
      <c r="O28" s="3"/>
      <c r="P28" s="3"/>
      <c r="Q28" s="3"/>
      <c r="R28" s="3"/>
      <c r="U28" t="s">
        <v>79</v>
      </c>
    </row>
    <row r="29" spans="1:21" x14ac:dyDescent="0.25">
      <c r="A29" s="2">
        <v>46178</v>
      </c>
      <c r="B29" s="2" t="s">
        <v>48</v>
      </c>
      <c r="C29" s="3" t="s">
        <v>51</v>
      </c>
      <c r="D29" s="11" t="s">
        <v>330</v>
      </c>
      <c r="E29" s="3">
        <v>454</v>
      </c>
      <c r="F29" s="3">
        <f t="shared" si="0"/>
        <v>22.700000000000003</v>
      </c>
      <c r="G29" s="4">
        <f t="shared" si="1"/>
        <v>476.7</v>
      </c>
      <c r="H29" s="3"/>
      <c r="I29" s="3"/>
      <c r="J29" s="3"/>
      <c r="K29" s="3"/>
      <c r="L29" s="3">
        <f t="shared" si="2"/>
        <v>0</v>
      </c>
      <c r="M29" s="3">
        <f t="shared" si="3"/>
        <v>0</v>
      </c>
      <c r="N29" s="3"/>
      <c r="O29" s="3"/>
      <c r="P29" s="3"/>
      <c r="Q29" s="3"/>
      <c r="R29" s="3"/>
      <c r="U29" t="s">
        <v>80</v>
      </c>
    </row>
    <row r="30" spans="1:21" x14ac:dyDescent="0.25">
      <c r="A30" s="2">
        <v>46178</v>
      </c>
      <c r="B30" s="2" t="s">
        <v>48</v>
      </c>
      <c r="C30" s="3" t="s">
        <v>92</v>
      </c>
      <c r="D30" s="11" t="s">
        <v>331</v>
      </c>
      <c r="E30" s="3"/>
      <c r="F30" s="3">
        <f t="shared" si="0"/>
        <v>0</v>
      </c>
      <c r="G30" s="4">
        <f t="shared" si="1"/>
        <v>0</v>
      </c>
      <c r="H30" s="3">
        <v>100</v>
      </c>
      <c r="I30" s="3"/>
      <c r="J30" s="3"/>
      <c r="K30" s="3"/>
      <c r="L30" s="3">
        <f t="shared" si="2"/>
        <v>0</v>
      </c>
      <c r="M30" s="3">
        <f t="shared" si="3"/>
        <v>0</v>
      </c>
      <c r="N30" s="3"/>
      <c r="O30" s="3"/>
      <c r="P30" s="3"/>
      <c r="Q30" s="3"/>
      <c r="R30" s="3"/>
      <c r="U30" t="s">
        <v>81</v>
      </c>
    </row>
    <row r="31" spans="1:21" x14ac:dyDescent="0.25">
      <c r="A31" s="2">
        <v>46178</v>
      </c>
      <c r="B31" s="2" t="s">
        <v>48</v>
      </c>
      <c r="C31" s="3" t="s">
        <v>73</v>
      </c>
      <c r="D31" s="11" t="s">
        <v>332</v>
      </c>
      <c r="E31" s="3">
        <v>60</v>
      </c>
      <c r="F31" s="3" t="s">
        <v>172</v>
      </c>
      <c r="G31" s="4">
        <f t="shared" si="1"/>
        <v>60</v>
      </c>
      <c r="H31" s="3"/>
      <c r="I31" s="3"/>
      <c r="J31" s="3"/>
      <c r="K31" s="3"/>
      <c r="L31" s="3">
        <f t="shared" si="2"/>
        <v>0</v>
      </c>
      <c r="M31" s="3">
        <f t="shared" si="3"/>
        <v>0</v>
      </c>
      <c r="N31" s="3"/>
      <c r="O31" s="3"/>
      <c r="P31" s="3"/>
      <c r="Q31" s="3"/>
      <c r="R31" s="3"/>
      <c r="U31" t="s">
        <v>82</v>
      </c>
    </row>
    <row r="32" spans="1:21" x14ac:dyDescent="0.25">
      <c r="A32" s="2">
        <v>46178</v>
      </c>
      <c r="B32" s="2" t="s">
        <v>48</v>
      </c>
      <c r="C32" s="3" t="s">
        <v>73</v>
      </c>
      <c r="D32" s="11" t="s">
        <v>333</v>
      </c>
      <c r="E32" s="3">
        <v>5244</v>
      </c>
      <c r="F32" s="3" t="s">
        <v>172</v>
      </c>
      <c r="G32" s="4">
        <f t="shared" si="1"/>
        <v>5244</v>
      </c>
      <c r="H32" s="3"/>
      <c r="I32" s="3"/>
      <c r="J32" s="3"/>
      <c r="K32" s="3"/>
      <c r="L32" s="3">
        <f t="shared" si="2"/>
        <v>0</v>
      </c>
      <c r="M32" s="3">
        <f t="shared" si="3"/>
        <v>0</v>
      </c>
      <c r="N32" s="3"/>
      <c r="O32" s="3"/>
      <c r="P32" s="3"/>
      <c r="Q32" s="3"/>
      <c r="R32" s="3"/>
      <c r="U32" t="s">
        <v>83</v>
      </c>
    </row>
    <row r="33" spans="1:21" x14ac:dyDescent="0.25">
      <c r="A33" s="2">
        <v>46178</v>
      </c>
      <c r="B33" s="2" t="s">
        <v>48</v>
      </c>
      <c r="C33" s="3" t="s">
        <v>76</v>
      </c>
      <c r="D33" s="11" t="s">
        <v>334</v>
      </c>
      <c r="E33" s="3">
        <v>655</v>
      </c>
      <c r="F33" s="3" t="s">
        <v>172</v>
      </c>
      <c r="G33" s="4">
        <f t="shared" si="1"/>
        <v>655</v>
      </c>
      <c r="H33" s="3"/>
      <c r="I33" s="3"/>
      <c r="J33" s="3"/>
      <c r="K33" s="3"/>
      <c r="L33" s="3">
        <f t="shared" si="2"/>
        <v>0</v>
      </c>
      <c r="M33" s="3">
        <f t="shared" si="3"/>
        <v>0</v>
      </c>
      <c r="N33" s="3"/>
      <c r="O33" s="3"/>
      <c r="P33" s="3"/>
      <c r="Q33" s="3"/>
      <c r="R33" s="3"/>
      <c r="U33" t="s">
        <v>84</v>
      </c>
    </row>
    <row r="34" spans="1:21" x14ac:dyDescent="0.25">
      <c r="A34" s="2">
        <v>46178</v>
      </c>
      <c r="B34" s="2" t="s">
        <v>48</v>
      </c>
      <c r="C34" s="3" t="s">
        <v>49</v>
      </c>
      <c r="D34" s="11" t="s">
        <v>335</v>
      </c>
      <c r="E34" s="3">
        <v>60</v>
      </c>
      <c r="F34" s="3">
        <f t="shared" si="0"/>
        <v>3</v>
      </c>
      <c r="G34" s="4">
        <f t="shared" si="1"/>
        <v>63</v>
      </c>
      <c r="H34" s="3"/>
      <c r="I34" s="3"/>
      <c r="J34" s="3"/>
      <c r="K34" s="3"/>
      <c r="L34" s="3">
        <f t="shared" si="2"/>
        <v>0</v>
      </c>
      <c r="M34" s="3">
        <f t="shared" si="3"/>
        <v>0</v>
      </c>
      <c r="N34" s="3"/>
      <c r="O34" s="3"/>
      <c r="P34" s="3"/>
      <c r="Q34" s="3"/>
      <c r="R34" s="3"/>
      <c r="U34" t="s">
        <v>85</v>
      </c>
    </row>
    <row r="35" spans="1:21" x14ac:dyDescent="0.25">
      <c r="A35" s="2">
        <v>46178</v>
      </c>
      <c r="B35" s="2" t="s">
        <v>48</v>
      </c>
      <c r="C35" s="3" t="s">
        <v>70</v>
      </c>
      <c r="D35" s="11" t="s">
        <v>336</v>
      </c>
      <c r="E35" s="3">
        <v>7</v>
      </c>
      <c r="F35" s="3" t="s">
        <v>172</v>
      </c>
      <c r="G35" s="4">
        <f t="shared" si="1"/>
        <v>7</v>
      </c>
      <c r="H35" s="3"/>
      <c r="I35" s="3"/>
      <c r="J35" s="3"/>
      <c r="K35" s="3"/>
      <c r="L35" s="3">
        <f t="shared" si="2"/>
        <v>0</v>
      </c>
      <c r="M35" s="3">
        <f t="shared" si="3"/>
        <v>0</v>
      </c>
      <c r="N35" s="3"/>
      <c r="O35" s="3"/>
      <c r="P35" s="3"/>
      <c r="Q35" s="3"/>
      <c r="R35" s="3"/>
      <c r="U35" t="s">
        <v>86</v>
      </c>
    </row>
    <row r="36" spans="1:21" x14ac:dyDescent="0.25">
      <c r="A36" s="2">
        <v>46178</v>
      </c>
      <c r="B36" s="2" t="s">
        <v>48</v>
      </c>
      <c r="C36" s="3" t="s">
        <v>73</v>
      </c>
      <c r="D36" s="11" t="s">
        <v>337</v>
      </c>
      <c r="E36" s="3">
        <v>35</v>
      </c>
      <c r="F36" s="3" t="s">
        <v>172</v>
      </c>
      <c r="G36" s="4">
        <f t="shared" si="1"/>
        <v>35</v>
      </c>
      <c r="H36" s="3"/>
      <c r="I36" s="3"/>
      <c r="J36" s="3"/>
      <c r="K36" s="3"/>
      <c r="L36" s="3">
        <f t="shared" si="2"/>
        <v>0</v>
      </c>
      <c r="M36" s="3">
        <f t="shared" si="3"/>
        <v>0</v>
      </c>
      <c r="N36" s="3"/>
      <c r="O36" s="3"/>
      <c r="P36" s="3"/>
      <c r="Q36" s="3"/>
      <c r="R36" s="3"/>
      <c r="U36" t="s">
        <v>87</v>
      </c>
    </row>
    <row r="37" spans="1:21" x14ac:dyDescent="0.25">
      <c r="A37" s="2">
        <v>46178</v>
      </c>
      <c r="B37" s="2" t="s">
        <v>48</v>
      </c>
      <c r="C37" s="3" t="s">
        <v>73</v>
      </c>
      <c r="D37" s="11" t="s">
        <v>338</v>
      </c>
      <c r="E37" s="3">
        <v>343</v>
      </c>
      <c r="F37" s="3" t="s">
        <v>172</v>
      </c>
      <c r="G37" s="4">
        <f t="shared" si="1"/>
        <v>343</v>
      </c>
      <c r="H37" s="3"/>
      <c r="I37" s="3"/>
      <c r="J37" s="3"/>
      <c r="K37" s="3"/>
      <c r="L37" s="3">
        <f t="shared" si="2"/>
        <v>0</v>
      </c>
      <c r="M37" s="3">
        <f t="shared" si="3"/>
        <v>0</v>
      </c>
      <c r="N37" s="3"/>
      <c r="O37" s="3"/>
      <c r="P37" s="3"/>
      <c r="Q37" s="3"/>
      <c r="R37" s="3"/>
      <c r="U37" t="s">
        <v>88</v>
      </c>
    </row>
    <row r="38" spans="1:21" x14ac:dyDescent="0.25">
      <c r="A38" s="2">
        <v>46178</v>
      </c>
      <c r="B38" s="2" t="s">
        <v>48</v>
      </c>
      <c r="C38" s="3" t="s">
        <v>49</v>
      </c>
      <c r="D38" s="11" t="s">
        <v>339</v>
      </c>
      <c r="E38" s="3">
        <v>47.62</v>
      </c>
      <c r="F38" s="3">
        <f t="shared" si="0"/>
        <v>2.3809999999999998</v>
      </c>
      <c r="G38" s="4">
        <f t="shared" si="1"/>
        <v>50.000999999999998</v>
      </c>
      <c r="H38" s="3"/>
      <c r="I38" s="3"/>
      <c r="J38" s="3"/>
      <c r="K38" s="3"/>
      <c r="L38" s="3">
        <f t="shared" si="2"/>
        <v>0</v>
      </c>
      <c r="M38" s="3">
        <f t="shared" si="3"/>
        <v>0</v>
      </c>
      <c r="N38" s="3"/>
      <c r="O38" s="3"/>
      <c r="P38" s="3"/>
      <c r="Q38" s="3"/>
      <c r="R38" s="3"/>
      <c r="U38" t="s">
        <v>89</v>
      </c>
    </row>
    <row r="39" spans="1:21" x14ac:dyDescent="0.25">
      <c r="A39" s="2">
        <v>46179</v>
      </c>
      <c r="B39" s="2" t="s">
        <v>48</v>
      </c>
      <c r="C39" s="3" t="s">
        <v>64</v>
      </c>
      <c r="D39" s="11" t="s">
        <v>340</v>
      </c>
      <c r="E39" s="3">
        <v>125</v>
      </c>
      <c r="F39" s="3" t="s">
        <v>172</v>
      </c>
      <c r="G39" s="4">
        <f t="shared" si="1"/>
        <v>125</v>
      </c>
      <c r="H39" s="3"/>
      <c r="I39" s="3"/>
      <c r="J39" s="3"/>
      <c r="K39" s="3"/>
      <c r="L39" s="3">
        <f t="shared" si="2"/>
        <v>0</v>
      </c>
      <c r="M39" s="3">
        <f t="shared" si="3"/>
        <v>0</v>
      </c>
      <c r="N39" s="3"/>
      <c r="O39" s="3"/>
      <c r="P39" s="3"/>
      <c r="Q39" s="3"/>
      <c r="R39" s="3"/>
      <c r="U39" t="s">
        <v>90</v>
      </c>
    </row>
    <row r="40" spans="1:21" x14ac:dyDescent="0.25">
      <c r="A40" s="2">
        <v>46179</v>
      </c>
      <c r="B40" s="2" t="s">
        <v>48</v>
      </c>
      <c r="C40" s="3" t="s">
        <v>49</v>
      </c>
      <c r="D40" s="11" t="s">
        <v>341</v>
      </c>
      <c r="E40" s="3">
        <f>2346+250.12</f>
        <v>2596.12</v>
      </c>
      <c r="F40" s="3">
        <f t="shared" si="0"/>
        <v>129.80600000000001</v>
      </c>
      <c r="G40" s="177">
        <f t="shared" si="1"/>
        <v>2725.9259999999999</v>
      </c>
      <c r="H40" s="3"/>
      <c r="I40" s="3"/>
      <c r="J40" s="3"/>
      <c r="K40" s="3"/>
      <c r="L40" s="3">
        <f t="shared" si="2"/>
        <v>0</v>
      </c>
      <c r="M40" s="3">
        <f t="shared" si="3"/>
        <v>0</v>
      </c>
      <c r="N40" s="3"/>
      <c r="O40" s="3"/>
      <c r="P40" s="3"/>
      <c r="Q40" s="3"/>
      <c r="R40" s="3"/>
      <c r="U40" t="s">
        <v>91</v>
      </c>
    </row>
    <row r="41" spans="1:21" x14ac:dyDescent="0.25">
      <c r="A41" s="2">
        <v>46179</v>
      </c>
      <c r="B41" s="2" t="s">
        <v>48</v>
      </c>
      <c r="C41" s="3" t="s">
        <v>93</v>
      </c>
      <c r="D41" s="11" t="s">
        <v>342</v>
      </c>
      <c r="E41" s="3">
        <v>1500</v>
      </c>
      <c r="F41" s="3" t="s">
        <v>172</v>
      </c>
      <c r="G41" s="4">
        <f t="shared" si="1"/>
        <v>1500</v>
      </c>
      <c r="H41" s="3"/>
      <c r="I41" s="3"/>
      <c r="J41" s="3"/>
      <c r="K41" s="3"/>
      <c r="L41" s="3">
        <f t="shared" si="2"/>
        <v>0</v>
      </c>
      <c r="M41" s="3">
        <f t="shared" si="3"/>
        <v>0</v>
      </c>
      <c r="N41" s="3"/>
      <c r="O41" s="3"/>
      <c r="P41" s="3"/>
      <c r="Q41" s="3"/>
      <c r="R41" s="3"/>
      <c r="U41" t="s">
        <v>92</v>
      </c>
    </row>
    <row r="42" spans="1:21" x14ac:dyDescent="0.25">
      <c r="A42" s="2">
        <v>46179</v>
      </c>
      <c r="B42" s="2" t="s">
        <v>48</v>
      </c>
      <c r="C42" s="3" t="s">
        <v>49</v>
      </c>
      <c r="D42" s="11" t="s">
        <v>343</v>
      </c>
      <c r="E42" s="3">
        <v>203.7</v>
      </c>
      <c r="F42" s="3">
        <f t="shared" si="0"/>
        <v>10.185</v>
      </c>
      <c r="G42" s="177">
        <f t="shared" si="1"/>
        <v>213.88499999999999</v>
      </c>
      <c r="H42" s="3"/>
      <c r="I42" s="3"/>
      <c r="J42" s="3"/>
      <c r="K42" s="3"/>
      <c r="L42" s="3">
        <f t="shared" si="2"/>
        <v>0</v>
      </c>
      <c r="M42" s="3">
        <f t="shared" si="3"/>
        <v>0</v>
      </c>
      <c r="N42" s="3"/>
      <c r="O42" s="3"/>
      <c r="P42" s="3"/>
      <c r="Q42" s="3"/>
      <c r="R42" s="3"/>
      <c r="U42" t="s">
        <v>93</v>
      </c>
    </row>
    <row r="43" spans="1:21" x14ac:dyDescent="0.25">
      <c r="A43" s="2">
        <v>46179</v>
      </c>
      <c r="B43" s="2" t="s">
        <v>48</v>
      </c>
      <c r="C43" s="3" t="s">
        <v>49</v>
      </c>
      <c r="D43" s="11" t="s">
        <v>344</v>
      </c>
      <c r="E43" s="3">
        <v>23.81</v>
      </c>
      <c r="F43" s="3">
        <f t="shared" si="0"/>
        <v>1.1904999999999999</v>
      </c>
      <c r="G43" s="4">
        <f t="shared" si="1"/>
        <v>25.000499999999999</v>
      </c>
      <c r="H43" s="3"/>
      <c r="I43" s="3"/>
      <c r="J43" s="3"/>
      <c r="K43" s="3"/>
      <c r="L43" s="3">
        <f t="shared" si="2"/>
        <v>0</v>
      </c>
      <c r="M43" s="3">
        <f t="shared" si="3"/>
        <v>0</v>
      </c>
      <c r="N43" s="3"/>
      <c r="O43" s="3"/>
      <c r="P43" s="3"/>
      <c r="Q43" s="3"/>
      <c r="R43" s="3"/>
      <c r="U43" t="s">
        <v>94</v>
      </c>
    </row>
    <row r="44" spans="1:21" x14ac:dyDescent="0.25">
      <c r="A44" s="2">
        <v>46179</v>
      </c>
      <c r="B44" s="2" t="s">
        <v>48</v>
      </c>
      <c r="C44" s="3" t="s">
        <v>78</v>
      </c>
      <c r="D44" s="11" t="s">
        <v>345</v>
      </c>
      <c r="E44" s="3">
        <v>5</v>
      </c>
      <c r="F44" s="3">
        <f t="shared" si="0"/>
        <v>0.25</v>
      </c>
      <c r="G44" s="4">
        <f t="shared" si="1"/>
        <v>5.25</v>
      </c>
      <c r="H44" s="3"/>
      <c r="I44" s="3"/>
      <c r="J44" s="3"/>
      <c r="K44" s="3"/>
      <c r="L44" s="3">
        <f t="shared" si="2"/>
        <v>0</v>
      </c>
      <c r="M44" s="3">
        <f t="shared" si="3"/>
        <v>0</v>
      </c>
      <c r="N44" s="3"/>
      <c r="O44" s="3"/>
      <c r="P44" s="3"/>
      <c r="Q44" s="3"/>
      <c r="R44" s="3"/>
      <c r="U44" t="s">
        <v>95</v>
      </c>
    </row>
    <row r="45" spans="1:21" x14ac:dyDescent="0.25">
      <c r="A45" s="2">
        <v>46179</v>
      </c>
      <c r="B45" s="2" t="s">
        <v>48</v>
      </c>
      <c r="C45" s="3" t="s">
        <v>62</v>
      </c>
      <c r="D45" s="11" t="s">
        <v>346</v>
      </c>
      <c r="E45" s="3">
        <v>592</v>
      </c>
      <c r="F45" s="3" t="s">
        <v>172</v>
      </c>
      <c r="G45" s="4">
        <f t="shared" si="1"/>
        <v>592</v>
      </c>
      <c r="H45" s="3"/>
      <c r="I45" s="3"/>
      <c r="J45" s="3"/>
      <c r="K45" s="3"/>
      <c r="L45" s="3">
        <f t="shared" si="2"/>
        <v>0</v>
      </c>
      <c r="M45" s="3">
        <f t="shared" si="3"/>
        <v>0</v>
      </c>
      <c r="N45" s="3"/>
      <c r="O45" s="3"/>
      <c r="P45" s="3"/>
      <c r="Q45" s="3"/>
      <c r="R45" s="3"/>
      <c r="U45" t="s">
        <v>96</v>
      </c>
    </row>
    <row r="46" spans="1:21" x14ac:dyDescent="0.25">
      <c r="A46" s="2">
        <v>46179</v>
      </c>
      <c r="B46" s="2" t="s">
        <v>48</v>
      </c>
      <c r="C46" s="3" t="s">
        <v>88</v>
      </c>
      <c r="D46" s="11" t="s">
        <v>347</v>
      </c>
      <c r="E46" s="3">
        <v>625</v>
      </c>
      <c r="F46" s="3" t="s">
        <v>172</v>
      </c>
      <c r="G46" s="4">
        <f t="shared" si="1"/>
        <v>625</v>
      </c>
      <c r="H46" s="3"/>
      <c r="I46" s="3"/>
      <c r="J46" s="3"/>
      <c r="K46" s="3"/>
      <c r="L46" s="3">
        <f t="shared" si="2"/>
        <v>0</v>
      </c>
      <c r="M46" s="3">
        <f t="shared" si="3"/>
        <v>0</v>
      </c>
      <c r="N46" s="3"/>
      <c r="O46" s="3"/>
      <c r="P46" s="3"/>
      <c r="Q46" s="3"/>
      <c r="R46" s="3"/>
      <c r="U46" t="s">
        <v>97</v>
      </c>
    </row>
    <row r="47" spans="1:21" x14ac:dyDescent="0.25">
      <c r="A47" s="2">
        <v>46179</v>
      </c>
      <c r="B47" s="2" t="s">
        <v>48</v>
      </c>
      <c r="C47" s="3" t="s">
        <v>73</v>
      </c>
      <c r="D47" s="11" t="s">
        <v>348</v>
      </c>
      <c r="E47" s="3">
        <v>52.3</v>
      </c>
      <c r="F47" s="3" t="s">
        <v>172</v>
      </c>
      <c r="G47" s="4">
        <f t="shared" si="1"/>
        <v>52.3</v>
      </c>
      <c r="H47" s="3"/>
      <c r="I47" s="3"/>
      <c r="J47" s="3"/>
      <c r="K47" s="3"/>
      <c r="L47" s="3">
        <f t="shared" si="2"/>
        <v>0</v>
      </c>
      <c r="M47" s="3">
        <f t="shared" si="3"/>
        <v>0</v>
      </c>
      <c r="N47" s="3"/>
      <c r="O47" s="3"/>
      <c r="P47" s="3"/>
      <c r="Q47" s="3"/>
      <c r="R47" s="3"/>
      <c r="U47" t="s">
        <v>98</v>
      </c>
    </row>
    <row r="48" spans="1:21" x14ac:dyDescent="0.25">
      <c r="A48" s="2">
        <v>46179</v>
      </c>
      <c r="B48" s="2" t="s">
        <v>48</v>
      </c>
      <c r="C48" s="3" t="s">
        <v>81</v>
      </c>
      <c r="D48" s="11" t="s">
        <v>349</v>
      </c>
      <c r="E48" s="3">
        <v>69</v>
      </c>
      <c r="F48" s="3" t="s">
        <v>172</v>
      </c>
      <c r="G48" s="4">
        <f t="shared" si="1"/>
        <v>69</v>
      </c>
      <c r="H48" s="3"/>
      <c r="I48" s="3"/>
      <c r="J48" s="3"/>
      <c r="K48" s="3"/>
      <c r="L48" s="3">
        <f t="shared" si="2"/>
        <v>0</v>
      </c>
      <c r="M48" s="3">
        <f t="shared" si="3"/>
        <v>0</v>
      </c>
      <c r="N48" s="3"/>
      <c r="O48" s="3"/>
      <c r="P48" s="3"/>
      <c r="Q48" s="3"/>
      <c r="R48" s="3"/>
      <c r="U48" t="s">
        <v>99</v>
      </c>
    </row>
    <row r="49" spans="1:21" x14ac:dyDescent="0.25">
      <c r="A49" s="2">
        <v>46179</v>
      </c>
      <c r="B49" s="2" t="s">
        <v>48</v>
      </c>
      <c r="C49" s="3" t="s">
        <v>64</v>
      </c>
      <c r="D49" s="11" t="s">
        <v>350</v>
      </c>
      <c r="E49" s="3">
        <v>300</v>
      </c>
      <c r="F49" s="3" t="s">
        <v>172</v>
      </c>
      <c r="G49" s="4">
        <f t="shared" si="1"/>
        <v>300</v>
      </c>
      <c r="H49" s="3"/>
      <c r="I49" s="3"/>
      <c r="J49" s="3"/>
      <c r="K49" s="3"/>
      <c r="L49" s="3">
        <f t="shared" si="2"/>
        <v>0</v>
      </c>
      <c r="M49" s="3">
        <f t="shared" si="3"/>
        <v>0</v>
      </c>
      <c r="N49" s="3"/>
      <c r="O49" s="3"/>
      <c r="P49" s="3"/>
      <c r="Q49" s="3"/>
      <c r="R49" s="3"/>
      <c r="U49" t="s">
        <v>100</v>
      </c>
    </row>
    <row r="50" spans="1:21" x14ac:dyDescent="0.25">
      <c r="A50" s="2">
        <v>46179</v>
      </c>
      <c r="B50" s="2" t="s">
        <v>49</v>
      </c>
      <c r="C50" s="3" t="s">
        <v>90</v>
      </c>
      <c r="D50" s="11" t="s">
        <v>351</v>
      </c>
      <c r="E50" s="3"/>
      <c r="F50" s="3">
        <f t="shared" si="0"/>
        <v>0</v>
      </c>
      <c r="G50" s="4">
        <f t="shared" si="1"/>
        <v>0</v>
      </c>
      <c r="H50" s="3"/>
      <c r="I50" s="3"/>
      <c r="J50" s="3">
        <v>6675</v>
      </c>
      <c r="K50" s="3"/>
      <c r="L50" s="3">
        <f t="shared" si="2"/>
        <v>0</v>
      </c>
      <c r="M50" s="3">
        <f t="shared" si="3"/>
        <v>0</v>
      </c>
      <c r="N50" s="3"/>
      <c r="O50" s="3"/>
      <c r="P50" s="3"/>
      <c r="Q50" s="3"/>
      <c r="R50" s="3"/>
      <c r="U50" t="s">
        <v>101</v>
      </c>
    </row>
    <row r="51" spans="1:21" x14ac:dyDescent="0.25">
      <c r="A51" s="2">
        <v>46181</v>
      </c>
      <c r="B51" s="2" t="s">
        <v>48</v>
      </c>
      <c r="C51" s="3" t="s">
        <v>49</v>
      </c>
      <c r="D51" s="11" t="s">
        <v>352</v>
      </c>
      <c r="E51" s="3">
        <v>200</v>
      </c>
      <c r="F51" s="3">
        <f t="shared" si="0"/>
        <v>10</v>
      </c>
      <c r="G51" s="4">
        <f t="shared" si="1"/>
        <v>210</v>
      </c>
      <c r="H51" s="3"/>
      <c r="I51" s="3"/>
      <c r="J51" s="3"/>
      <c r="K51" s="3"/>
      <c r="L51" s="3">
        <f t="shared" si="2"/>
        <v>0</v>
      </c>
      <c r="M51" s="3">
        <f t="shared" si="3"/>
        <v>0</v>
      </c>
      <c r="N51" s="3"/>
      <c r="O51" s="3"/>
      <c r="P51" s="3"/>
      <c r="Q51" s="3"/>
      <c r="R51" s="3"/>
      <c r="U51" t="s">
        <v>102</v>
      </c>
    </row>
    <row r="52" spans="1:21" x14ac:dyDescent="0.25">
      <c r="A52" s="2">
        <v>46181</v>
      </c>
      <c r="B52" s="2" t="s">
        <v>48</v>
      </c>
      <c r="C52" s="3" t="s">
        <v>78</v>
      </c>
      <c r="D52" s="11" t="s">
        <v>353</v>
      </c>
      <c r="E52" s="3">
        <v>600</v>
      </c>
      <c r="F52" s="3" t="s">
        <v>172</v>
      </c>
      <c r="G52" s="4">
        <f t="shared" si="1"/>
        <v>600</v>
      </c>
      <c r="H52" s="3"/>
      <c r="I52" s="3"/>
      <c r="J52" s="3"/>
      <c r="K52" s="3"/>
      <c r="L52" s="3">
        <f t="shared" si="2"/>
        <v>0</v>
      </c>
      <c r="M52" s="3">
        <f t="shared" si="3"/>
        <v>0</v>
      </c>
      <c r="N52" s="3"/>
      <c r="O52" s="3"/>
      <c r="P52" s="3"/>
      <c r="Q52" s="3"/>
      <c r="R52" s="3"/>
      <c r="U52" t="s">
        <v>52</v>
      </c>
    </row>
    <row r="53" spans="1:21" x14ac:dyDescent="0.25">
      <c r="A53" s="2">
        <v>46181</v>
      </c>
      <c r="B53" s="2" t="s">
        <v>48</v>
      </c>
      <c r="C53" s="3" t="s">
        <v>73</v>
      </c>
      <c r="D53" s="11" t="s">
        <v>354</v>
      </c>
      <c r="E53" s="3">
        <v>58</v>
      </c>
      <c r="F53" s="3" t="s">
        <v>172</v>
      </c>
      <c r="G53" s="4">
        <f t="shared" si="1"/>
        <v>58</v>
      </c>
      <c r="H53" s="3"/>
      <c r="I53" s="3"/>
      <c r="J53" s="3"/>
      <c r="K53" s="3"/>
      <c r="L53" s="3">
        <f t="shared" si="2"/>
        <v>0</v>
      </c>
      <c r="M53" s="3">
        <f t="shared" si="3"/>
        <v>0</v>
      </c>
      <c r="N53" s="3"/>
      <c r="O53" s="3"/>
      <c r="P53" s="3"/>
      <c r="Q53" s="3"/>
      <c r="R53" s="3"/>
      <c r="U53" t="s">
        <v>61</v>
      </c>
    </row>
    <row r="54" spans="1:21" x14ac:dyDescent="0.25">
      <c r="A54" s="2">
        <v>46181</v>
      </c>
      <c r="B54" s="2" t="s">
        <v>48</v>
      </c>
      <c r="C54" s="3" t="s">
        <v>92</v>
      </c>
      <c r="D54" s="11" t="s">
        <v>355</v>
      </c>
      <c r="E54" s="3"/>
      <c r="F54" s="3">
        <f t="shared" si="0"/>
        <v>0</v>
      </c>
      <c r="G54" s="4">
        <f t="shared" si="1"/>
        <v>0</v>
      </c>
      <c r="H54" s="3">
        <v>1500</v>
      </c>
      <c r="I54" s="3"/>
      <c r="J54" s="3"/>
      <c r="K54" s="3"/>
      <c r="L54" s="3">
        <f t="shared" si="2"/>
        <v>0</v>
      </c>
      <c r="M54" s="3">
        <f t="shared" si="3"/>
        <v>0</v>
      </c>
      <c r="N54" s="3"/>
      <c r="O54" s="3"/>
      <c r="P54" s="3"/>
      <c r="Q54" s="3"/>
      <c r="R54" s="3"/>
      <c r="U54" t="s">
        <v>151</v>
      </c>
    </row>
    <row r="55" spans="1:21" x14ac:dyDescent="0.25">
      <c r="A55" s="2">
        <v>46181</v>
      </c>
      <c r="B55" s="2" t="s">
        <v>48</v>
      </c>
      <c r="C55" s="3" t="s">
        <v>92</v>
      </c>
      <c r="D55" s="11" t="s">
        <v>356</v>
      </c>
      <c r="E55" s="3"/>
      <c r="F55" s="3">
        <f t="shared" si="0"/>
        <v>0</v>
      </c>
      <c r="G55" s="4">
        <f t="shared" si="1"/>
        <v>0</v>
      </c>
      <c r="H55" s="3">
        <v>3000</v>
      </c>
      <c r="I55" s="3"/>
      <c r="J55" s="3"/>
      <c r="K55" s="3"/>
      <c r="L55" s="3">
        <f t="shared" si="2"/>
        <v>0</v>
      </c>
      <c r="M55" s="3">
        <f t="shared" si="3"/>
        <v>0</v>
      </c>
      <c r="N55" s="3"/>
      <c r="O55" s="3"/>
      <c r="P55" s="3"/>
      <c r="Q55" s="3"/>
      <c r="R55" s="3"/>
      <c r="U55" t="s">
        <v>215</v>
      </c>
    </row>
    <row r="56" spans="1:21" x14ac:dyDescent="0.25">
      <c r="A56" s="2">
        <v>46181</v>
      </c>
      <c r="B56" s="2" t="s">
        <v>48</v>
      </c>
      <c r="C56" s="3" t="s">
        <v>49</v>
      </c>
      <c r="D56" s="11" t="s">
        <v>357</v>
      </c>
      <c r="E56" s="3">
        <v>121</v>
      </c>
      <c r="F56" s="3">
        <f t="shared" si="0"/>
        <v>6.0500000000000007</v>
      </c>
      <c r="G56" s="187">
        <f t="shared" si="1"/>
        <v>127.05</v>
      </c>
      <c r="H56" s="3"/>
      <c r="I56" s="3"/>
      <c r="J56" s="3"/>
      <c r="K56" s="3"/>
      <c r="L56" s="3">
        <f t="shared" si="2"/>
        <v>0</v>
      </c>
      <c r="M56" s="3">
        <f t="shared" si="3"/>
        <v>0</v>
      </c>
      <c r="N56" s="3"/>
      <c r="O56" s="3"/>
      <c r="P56" s="3"/>
      <c r="Q56" s="3"/>
      <c r="R56" s="3"/>
      <c r="U56" t="s">
        <v>216</v>
      </c>
    </row>
    <row r="57" spans="1:21" x14ac:dyDescent="0.25">
      <c r="A57" s="2">
        <v>46181</v>
      </c>
      <c r="B57" s="2" t="s">
        <v>48</v>
      </c>
      <c r="C57" s="3" t="s">
        <v>49</v>
      </c>
      <c r="D57" s="11" t="s">
        <v>358</v>
      </c>
      <c r="E57" s="3">
        <v>14.29</v>
      </c>
      <c r="F57" s="3">
        <f t="shared" si="0"/>
        <v>0.71450000000000002</v>
      </c>
      <c r="G57" s="4">
        <f t="shared" si="1"/>
        <v>15.004499999999998</v>
      </c>
      <c r="H57" s="3"/>
      <c r="I57" s="3"/>
      <c r="J57" s="3"/>
      <c r="K57" s="3"/>
      <c r="L57" s="3">
        <f t="shared" si="2"/>
        <v>0</v>
      </c>
      <c r="M57" s="3">
        <f t="shared" si="3"/>
        <v>0</v>
      </c>
      <c r="N57" s="3"/>
      <c r="O57" s="3"/>
      <c r="P57" s="3"/>
      <c r="Q57" s="3"/>
      <c r="R57" s="3"/>
      <c r="U57" t="s">
        <v>217</v>
      </c>
    </row>
    <row r="58" spans="1:21" x14ac:dyDescent="0.25">
      <c r="A58" s="2">
        <v>46181</v>
      </c>
      <c r="B58" s="2" t="s">
        <v>285</v>
      </c>
      <c r="C58" s="3" t="s">
        <v>81</v>
      </c>
      <c r="D58" s="11" t="s">
        <v>359</v>
      </c>
      <c r="E58" s="3">
        <v>1000</v>
      </c>
      <c r="F58" s="3" t="s">
        <v>172</v>
      </c>
      <c r="G58" s="4">
        <f t="shared" si="1"/>
        <v>1000</v>
      </c>
      <c r="H58" s="3"/>
      <c r="I58" s="3"/>
      <c r="J58" s="3"/>
      <c r="K58" s="3"/>
      <c r="L58" s="3">
        <f t="shared" si="2"/>
        <v>0</v>
      </c>
      <c r="M58" s="3">
        <f t="shared" si="3"/>
        <v>0</v>
      </c>
      <c r="N58" s="3"/>
      <c r="O58" s="3"/>
      <c r="P58" s="3"/>
      <c r="Q58" s="3"/>
      <c r="R58" s="3"/>
    </row>
    <row r="59" spans="1:21" x14ac:dyDescent="0.25">
      <c r="A59" s="2">
        <v>46181</v>
      </c>
      <c r="B59" s="2" t="s">
        <v>92</v>
      </c>
      <c r="C59" s="3" t="s">
        <v>78</v>
      </c>
      <c r="D59" s="11" t="s">
        <v>360</v>
      </c>
      <c r="E59" s="3">
        <v>2965</v>
      </c>
      <c r="F59" s="3" t="s">
        <v>172</v>
      </c>
      <c r="G59" s="4">
        <f t="shared" si="1"/>
        <v>2965</v>
      </c>
      <c r="H59" s="3"/>
      <c r="I59" s="3"/>
      <c r="J59" s="3"/>
      <c r="K59" s="3"/>
      <c r="L59" s="3">
        <f t="shared" si="2"/>
        <v>0</v>
      </c>
      <c r="M59" s="3">
        <f t="shared" si="3"/>
        <v>0</v>
      </c>
      <c r="N59" s="3"/>
      <c r="O59" s="3"/>
      <c r="P59" s="3"/>
      <c r="Q59" s="3"/>
      <c r="R59" s="3"/>
    </row>
    <row r="60" spans="1:21" x14ac:dyDescent="0.25">
      <c r="A60" s="2">
        <v>46182</v>
      </c>
      <c r="B60" s="2" t="s">
        <v>48</v>
      </c>
      <c r="C60" s="3" t="s">
        <v>73</v>
      </c>
      <c r="D60" s="11" t="s">
        <v>361</v>
      </c>
      <c r="E60" s="3">
        <v>38</v>
      </c>
      <c r="F60" s="3" t="s">
        <v>172</v>
      </c>
      <c r="G60" s="4">
        <f t="shared" si="1"/>
        <v>38</v>
      </c>
      <c r="H60" s="3"/>
      <c r="I60" s="3"/>
      <c r="J60" s="3"/>
      <c r="K60" s="3"/>
      <c r="L60" s="3">
        <f t="shared" si="2"/>
        <v>0</v>
      </c>
      <c r="M60" s="3">
        <f t="shared" si="3"/>
        <v>0</v>
      </c>
      <c r="N60" s="3"/>
      <c r="O60" s="3"/>
      <c r="P60" s="3"/>
      <c r="Q60" s="3"/>
      <c r="R60" s="3"/>
    </row>
    <row r="61" spans="1:21" x14ac:dyDescent="0.25">
      <c r="A61" s="2">
        <v>46182</v>
      </c>
      <c r="B61" s="2" t="s">
        <v>48</v>
      </c>
      <c r="C61" s="3" t="s">
        <v>64</v>
      </c>
      <c r="D61" s="11" t="s">
        <v>362</v>
      </c>
      <c r="E61" s="3">
        <v>166</v>
      </c>
      <c r="F61" s="3" t="s">
        <v>172</v>
      </c>
      <c r="G61" s="4">
        <f t="shared" si="1"/>
        <v>166</v>
      </c>
      <c r="H61" s="3"/>
      <c r="I61" s="3"/>
      <c r="J61" s="3"/>
      <c r="K61" s="3"/>
      <c r="L61" s="3">
        <f t="shared" si="2"/>
        <v>0</v>
      </c>
      <c r="M61" s="3">
        <f t="shared" si="3"/>
        <v>0</v>
      </c>
      <c r="N61" s="3"/>
      <c r="O61" s="3"/>
      <c r="P61" s="3"/>
      <c r="Q61" s="3"/>
      <c r="R61" s="3"/>
    </row>
    <row r="62" spans="1:21" x14ac:dyDescent="0.25">
      <c r="A62" s="2">
        <v>46182</v>
      </c>
      <c r="B62" s="2" t="s">
        <v>48</v>
      </c>
      <c r="C62" s="3" t="s">
        <v>49</v>
      </c>
      <c r="D62" s="11" t="s">
        <v>363</v>
      </c>
      <c r="E62" s="3">
        <v>5</v>
      </c>
      <c r="F62" s="3">
        <f t="shared" si="0"/>
        <v>0.25</v>
      </c>
      <c r="G62" s="4">
        <f t="shared" si="1"/>
        <v>5.25</v>
      </c>
      <c r="H62" s="3"/>
      <c r="I62" s="3"/>
      <c r="J62" s="3"/>
      <c r="K62" s="3"/>
      <c r="L62" s="3">
        <f t="shared" si="2"/>
        <v>0</v>
      </c>
      <c r="M62" s="3">
        <f t="shared" si="3"/>
        <v>0</v>
      </c>
      <c r="N62" s="3"/>
      <c r="O62" s="3"/>
      <c r="P62" s="3"/>
      <c r="Q62" s="3"/>
      <c r="R62" s="3"/>
    </row>
    <row r="63" spans="1:21" x14ac:dyDescent="0.25">
      <c r="A63" s="2">
        <v>46182</v>
      </c>
      <c r="B63" s="2" t="s">
        <v>285</v>
      </c>
      <c r="C63" s="3" t="s">
        <v>61</v>
      </c>
      <c r="D63" s="11" t="s">
        <v>364</v>
      </c>
      <c r="E63" s="3">
        <v>500</v>
      </c>
      <c r="F63" s="3" t="s">
        <v>172</v>
      </c>
      <c r="G63" s="4">
        <f t="shared" si="1"/>
        <v>500</v>
      </c>
      <c r="H63" s="3"/>
      <c r="I63" s="3"/>
      <c r="J63" s="3"/>
      <c r="K63" s="3"/>
      <c r="L63" s="3">
        <f t="shared" si="2"/>
        <v>0</v>
      </c>
      <c r="M63" s="3">
        <f t="shared" si="3"/>
        <v>0</v>
      </c>
      <c r="N63" s="3"/>
      <c r="O63" s="3"/>
      <c r="P63" s="3"/>
      <c r="Q63" s="3"/>
      <c r="R63" s="3"/>
    </row>
    <row r="64" spans="1:21" x14ac:dyDescent="0.25">
      <c r="A64" s="2">
        <v>46182</v>
      </c>
      <c r="B64" s="2" t="s">
        <v>285</v>
      </c>
      <c r="C64" s="3" t="s">
        <v>49</v>
      </c>
      <c r="D64" s="11" t="s">
        <v>365</v>
      </c>
      <c r="E64" s="3">
        <v>652</v>
      </c>
      <c r="F64" s="3" t="s">
        <v>172</v>
      </c>
      <c r="G64" s="4">
        <f t="shared" si="1"/>
        <v>652</v>
      </c>
      <c r="H64" s="3"/>
      <c r="I64" s="3"/>
      <c r="J64" s="3"/>
      <c r="K64" s="3"/>
      <c r="L64" s="3">
        <f t="shared" si="2"/>
        <v>0</v>
      </c>
      <c r="M64" s="3">
        <f t="shared" si="3"/>
        <v>0</v>
      </c>
      <c r="N64" s="3"/>
      <c r="O64" s="3"/>
      <c r="P64" s="3"/>
      <c r="Q64" s="3"/>
      <c r="R64" s="3"/>
    </row>
    <row r="65" spans="1:18" x14ac:dyDescent="0.25">
      <c r="A65" s="2">
        <v>46182</v>
      </c>
      <c r="B65" s="2" t="s">
        <v>285</v>
      </c>
      <c r="C65" s="3" t="s">
        <v>68</v>
      </c>
      <c r="D65" s="11" t="s">
        <v>366</v>
      </c>
      <c r="E65" s="3">
        <v>202</v>
      </c>
      <c r="F65" s="3" t="s">
        <v>172</v>
      </c>
      <c r="G65" s="4">
        <f t="shared" si="1"/>
        <v>202</v>
      </c>
      <c r="H65" s="3"/>
      <c r="I65" s="3"/>
      <c r="J65" s="3"/>
      <c r="K65" s="3"/>
      <c r="L65" s="3">
        <f t="shared" si="2"/>
        <v>0</v>
      </c>
      <c r="M65" s="3">
        <f t="shared" si="3"/>
        <v>0</v>
      </c>
      <c r="N65" s="3"/>
      <c r="O65" s="3"/>
      <c r="P65" s="3"/>
      <c r="Q65" s="3"/>
      <c r="R65" s="3"/>
    </row>
    <row r="66" spans="1:18" x14ac:dyDescent="0.25">
      <c r="A66" s="2">
        <v>46182</v>
      </c>
      <c r="B66" s="2" t="s">
        <v>285</v>
      </c>
      <c r="C66" s="3" t="s">
        <v>66</v>
      </c>
      <c r="D66" s="11" t="s">
        <v>367</v>
      </c>
      <c r="E66" s="3">
        <v>556</v>
      </c>
      <c r="F66" s="3" t="s">
        <v>172</v>
      </c>
      <c r="G66" s="4">
        <f t="shared" si="1"/>
        <v>556</v>
      </c>
      <c r="H66" s="3"/>
      <c r="I66" s="3"/>
      <c r="J66" s="3"/>
      <c r="K66" s="3"/>
      <c r="L66" s="3">
        <f t="shared" si="2"/>
        <v>0</v>
      </c>
      <c r="M66" s="3">
        <f t="shared" si="3"/>
        <v>0</v>
      </c>
      <c r="N66" s="3"/>
      <c r="O66" s="3"/>
      <c r="P66" s="3"/>
      <c r="Q66" s="3"/>
      <c r="R66" s="3"/>
    </row>
    <row r="67" spans="1:18" x14ac:dyDescent="0.25">
      <c r="A67" s="2">
        <v>46183</v>
      </c>
      <c r="B67" s="2" t="s">
        <v>48</v>
      </c>
      <c r="C67" s="3" t="s">
        <v>49</v>
      </c>
      <c r="D67" s="11" t="s">
        <v>368</v>
      </c>
      <c r="E67" s="3">
        <v>40</v>
      </c>
      <c r="F67" s="3">
        <f t="shared" ref="F67:F129" si="4">E67*5%</f>
        <v>2</v>
      </c>
      <c r="G67" s="4">
        <f t="shared" ref="G67:G130" si="5">IF(F67="NO TAX",E67,E67+F67)</f>
        <v>42</v>
      </c>
      <c r="H67" s="3"/>
      <c r="I67" s="3"/>
      <c r="J67" s="3"/>
      <c r="K67" s="3"/>
      <c r="L67" s="3">
        <f t="shared" ref="L67:L130" si="6">K67*5%</f>
        <v>0</v>
      </c>
      <c r="M67" s="3">
        <f t="shared" ref="M67:M130" si="7">IF(L67="NO TAX",K67,K67+L67)</f>
        <v>0</v>
      </c>
      <c r="N67" s="3"/>
      <c r="O67" s="3"/>
      <c r="P67" s="3"/>
      <c r="Q67" s="3"/>
      <c r="R67" s="3"/>
    </row>
    <row r="68" spans="1:18" x14ac:dyDescent="0.25">
      <c r="A68" s="2">
        <v>46183</v>
      </c>
      <c r="B68" s="2" t="s">
        <v>48</v>
      </c>
      <c r="C68" s="3" t="s">
        <v>78</v>
      </c>
      <c r="D68" s="11" t="s">
        <v>369</v>
      </c>
      <c r="E68" s="3">
        <v>300</v>
      </c>
      <c r="F68" s="3" t="s">
        <v>172</v>
      </c>
      <c r="G68" s="4">
        <f t="shared" si="5"/>
        <v>300</v>
      </c>
      <c r="H68" s="3"/>
      <c r="I68" s="3"/>
      <c r="J68" s="3"/>
      <c r="K68" s="3"/>
      <c r="L68" s="3">
        <f t="shared" si="6"/>
        <v>0</v>
      </c>
      <c r="M68" s="3">
        <f t="shared" si="7"/>
        <v>0</v>
      </c>
      <c r="N68" s="3"/>
      <c r="O68" s="3"/>
      <c r="P68" s="3"/>
      <c r="Q68" s="3"/>
      <c r="R68" s="3"/>
    </row>
    <row r="69" spans="1:18" x14ac:dyDescent="0.25">
      <c r="A69" s="2">
        <v>46183</v>
      </c>
      <c r="B69" s="2" t="s">
        <v>48</v>
      </c>
      <c r="C69" s="3" t="s">
        <v>92</v>
      </c>
      <c r="D69" s="11" t="s">
        <v>370</v>
      </c>
      <c r="E69" s="3"/>
      <c r="F69" s="3">
        <f t="shared" si="4"/>
        <v>0</v>
      </c>
      <c r="G69" s="4">
        <f t="shared" si="5"/>
        <v>0</v>
      </c>
      <c r="H69" s="3">
        <v>500</v>
      </c>
      <c r="I69" s="3"/>
      <c r="J69" s="3"/>
      <c r="K69" s="3"/>
      <c r="L69" s="3">
        <f t="shared" si="6"/>
        <v>0</v>
      </c>
      <c r="M69" s="3">
        <f t="shared" si="7"/>
        <v>0</v>
      </c>
      <c r="N69" s="3"/>
      <c r="O69" s="3"/>
      <c r="P69" s="3"/>
      <c r="Q69" s="3"/>
      <c r="R69" s="3"/>
    </row>
    <row r="70" spans="1:18" x14ac:dyDescent="0.25">
      <c r="A70" s="2">
        <v>46183</v>
      </c>
      <c r="B70" s="2" t="s">
        <v>48</v>
      </c>
      <c r="C70" s="3" t="s">
        <v>80</v>
      </c>
      <c r="D70" s="11" t="s">
        <v>371</v>
      </c>
      <c r="E70" s="3">
        <v>2050</v>
      </c>
      <c r="F70" s="3" t="s">
        <v>172</v>
      </c>
      <c r="G70" s="4">
        <f t="shared" si="5"/>
        <v>2050</v>
      </c>
      <c r="H70" s="3"/>
      <c r="I70" s="3"/>
      <c r="J70" s="3"/>
      <c r="K70" s="3"/>
      <c r="L70" s="3">
        <f t="shared" si="6"/>
        <v>0</v>
      </c>
      <c r="M70" s="3">
        <f t="shared" si="7"/>
        <v>0</v>
      </c>
      <c r="N70" s="3"/>
      <c r="O70" s="3"/>
      <c r="P70" s="3"/>
      <c r="Q70" s="3"/>
      <c r="R70" s="3"/>
    </row>
    <row r="71" spans="1:18" x14ac:dyDescent="0.25">
      <c r="A71" s="2">
        <v>46183</v>
      </c>
      <c r="B71" s="2" t="s">
        <v>48</v>
      </c>
      <c r="C71" s="3" t="s">
        <v>49</v>
      </c>
      <c r="D71" s="11" t="s">
        <v>372</v>
      </c>
      <c r="E71" s="3">
        <v>25</v>
      </c>
      <c r="F71" s="3">
        <f t="shared" si="4"/>
        <v>1.25</v>
      </c>
      <c r="G71" s="187">
        <f t="shared" si="5"/>
        <v>26.25</v>
      </c>
      <c r="H71" s="3"/>
      <c r="I71" s="3"/>
      <c r="J71" s="3"/>
      <c r="K71" s="3"/>
      <c r="L71" s="3">
        <f t="shared" si="6"/>
        <v>0</v>
      </c>
      <c r="M71" s="3">
        <f t="shared" si="7"/>
        <v>0</v>
      </c>
      <c r="N71" s="3"/>
      <c r="O71" s="3"/>
      <c r="P71" s="3"/>
      <c r="Q71" s="3"/>
      <c r="R71" s="3"/>
    </row>
    <row r="72" spans="1:18" x14ac:dyDescent="0.25">
      <c r="A72" s="2">
        <v>46183</v>
      </c>
      <c r="B72" s="2" t="s">
        <v>48</v>
      </c>
      <c r="C72" s="3" t="s">
        <v>67</v>
      </c>
      <c r="D72" s="11" t="s">
        <v>373</v>
      </c>
      <c r="E72" s="3">
        <v>5</v>
      </c>
      <c r="F72" s="3" t="s">
        <v>172</v>
      </c>
      <c r="G72" s="4">
        <f t="shared" si="5"/>
        <v>5</v>
      </c>
      <c r="H72" s="3"/>
      <c r="I72" s="3"/>
      <c r="J72" s="3"/>
      <c r="K72" s="3"/>
      <c r="L72" s="3">
        <f t="shared" si="6"/>
        <v>0</v>
      </c>
      <c r="M72" s="3">
        <f t="shared" si="7"/>
        <v>0</v>
      </c>
      <c r="N72" s="3"/>
      <c r="O72" s="3"/>
      <c r="P72" s="3"/>
      <c r="Q72" s="3"/>
      <c r="R72" s="3"/>
    </row>
    <row r="73" spans="1:18" x14ac:dyDescent="0.25">
      <c r="A73" s="2">
        <v>46183</v>
      </c>
      <c r="B73" s="2" t="s">
        <v>48</v>
      </c>
      <c r="C73" s="3" t="s">
        <v>70</v>
      </c>
      <c r="D73" s="11" t="s">
        <v>374</v>
      </c>
      <c r="E73" s="3">
        <v>5</v>
      </c>
      <c r="F73" s="3" t="s">
        <v>172</v>
      </c>
      <c r="G73" s="4">
        <f t="shared" si="5"/>
        <v>5</v>
      </c>
      <c r="H73" s="3"/>
      <c r="I73" s="3"/>
      <c r="J73" s="3"/>
      <c r="K73" s="3"/>
      <c r="L73" s="3">
        <f t="shared" si="6"/>
        <v>0</v>
      </c>
      <c r="M73" s="3">
        <f t="shared" si="7"/>
        <v>0</v>
      </c>
      <c r="N73" s="3"/>
      <c r="O73" s="3"/>
      <c r="P73" s="3"/>
      <c r="Q73" s="3"/>
      <c r="R73" s="3"/>
    </row>
    <row r="74" spans="1:18" x14ac:dyDescent="0.25">
      <c r="A74" s="2">
        <v>46183</v>
      </c>
      <c r="B74" s="2" t="s">
        <v>48</v>
      </c>
      <c r="C74" s="3" t="s">
        <v>73</v>
      </c>
      <c r="D74" s="11" t="s">
        <v>375</v>
      </c>
      <c r="E74" s="3">
        <v>150</v>
      </c>
      <c r="F74" s="3" t="s">
        <v>172</v>
      </c>
      <c r="G74" s="4">
        <f t="shared" si="5"/>
        <v>150</v>
      </c>
      <c r="H74" s="3"/>
      <c r="I74" s="3"/>
      <c r="J74" s="3"/>
      <c r="K74" s="3"/>
      <c r="L74" s="3">
        <f t="shared" si="6"/>
        <v>0</v>
      </c>
      <c r="M74" s="3">
        <f t="shared" si="7"/>
        <v>0</v>
      </c>
      <c r="N74" s="3"/>
      <c r="O74" s="3"/>
      <c r="P74" s="3"/>
      <c r="Q74" s="3"/>
      <c r="R74" s="3"/>
    </row>
    <row r="75" spans="1:18" x14ac:dyDescent="0.25">
      <c r="A75" s="2">
        <v>46183</v>
      </c>
      <c r="B75" s="2" t="s">
        <v>48</v>
      </c>
      <c r="C75" s="3" t="s">
        <v>92</v>
      </c>
      <c r="D75" s="11" t="s">
        <v>376</v>
      </c>
      <c r="E75" s="3"/>
      <c r="F75" s="3">
        <f t="shared" si="4"/>
        <v>0</v>
      </c>
      <c r="G75" s="4">
        <f t="shared" si="5"/>
        <v>0</v>
      </c>
      <c r="H75" s="3">
        <v>100</v>
      </c>
      <c r="I75" s="3"/>
      <c r="J75" s="3"/>
      <c r="K75" s="3"/>
      <c r="L75" s="3">
        <f t="shared" si="6"/>
        <v>0</v>
      </c>
      <c r="M75" s="3">
        <f t="shared" si="7"/>
        <v>0</v>
      </c>
      <c r="N75" s="3"/>
      <c r="O75" s="3"/>
      <c r="P75" s="3"/>
      <c r="Q75" s="3"/>
      <c r="R75" s="3"/>
    </row>
    <row r="76" spans="1:18" x14ac:dyDescent="0.25">
      <c r="A76" s="2">
        <v>46183</v>
      </c>
      <c r="B76" s="2" t="s">
        <v>48</v>
      </c>
      <c r="C76" s="3" t="s">
        <v>73</v>
      </c>
      <c r="D76" s="11" t="s">
        <v>377</v>
      </c>
      <c r="E76" s="3">
        <v>220</v>
      </c>
      <c r="F76" s="3" t="s">
        <v>172</v>
      </c>
      <c r="G76" s="4">
        <f t="shared" si="5"/>
        <v>220</v>
      </c>
      <c r="H76" s="3"/>
      <c r="I76" s="3"/>
      <c r="J76" s="3"/>
      <c r="K76" s="3"/>
      <c r="L76" s="3">
        <f t="shared" si="6"/>
        <v>0</v>
      </c>
      <c r="M76" s="3">
        <f t="shared" si="7"/>
        <v>0</v>
      </c>
      <c r="N76" s="3"/>
      <c r="O76" s="3"/>
      <c r="P76" s="3"/>
      <c r="Q76" s="3"/>
      <c r="R76" s="3"/>
    </row>
    <row r="77" spans="1:18" x14ac:dyDescent="0.25">
      <c r="A77" s="2">
        <v>46183</v>
      </c>
      <c r="B77" s="2" t="s">
        <v>48</v>
      </c>
      <c r="C77" s="3" t="s">
        <v>66</v>
      </c>
      <c r="D77" s="11" t="s">
        <v>378</v>
      </c>
      <c r="E77" s="3">
        <v>20</v>
      </c>
      <c r="F77" s="3" t="s">
        <v>172</v>
      </c>
      <c r="G77" s="4">
        <f t="shared" si="5"/>
        <v>20</v>
      </c>
      <c r="H77" s="3"/>
      <c r="I77" s="3"/>
      <c r="J77" s="3"/>
      <c r="K77" s="3"/>
      <c r="L77" s="3">
        <f t="shared" si="6"/>
        <v>0</v>
      </c>
      <c r="M77" s="3">
        <f t="shared" si="7"/>
        <v>0</v>
      </c>
      <c r="N77" s="3"/>
      <c r="O77" s="3"/>
      <c r="P77" s="3"/>
      <c r="Q77" s="3"/>
      <c r="R77" s="3"/>
    </row>
    <row r="78" spans="1:18" x14ac:dyDescent="0.25">
      <c r="A78" s="2">
        <v>46183</v>
      </c>
      <c r="B78" s="2" t="s">
        <v>48</v>
      </c>
      <c r="C78" s="3" t="s">
        <v>92</v>
      </c>
      <c r="D78" s="11" t="s">
        <v>379</v>
      </c>
      <c r="E78" s="3"/>
      <c r="F78" s="3">
        <f t="shared" si="4"/>
        <v>0</v>
      </c>
      <c r="G78" s="4">
        <f t="shared" si="5"/>
        <v>0</v>
      </c>
      <c r="H78" s="3">
        <v>200</v>
      </c>
      <c r="I78" s="3"/>
      <c r="J78" s="3"/>
      <c r="K78" s="3"/>
      <c r="L78" s="3">
        <f t="shared" si="6"/>
        <v>0</v>
      </c>
      <c r="M78" s="3">
        <f t="shared" si="7"/>
        <v>0</v>
      </c>
      <c r="N78" s="3"/>
      <c r="O78" s="3"/>
      <c r="P78" s="3"/>
      <c r="Q78" s="3"/>
      <c r="R78" s="3"/>
    </row>
    <row r="79" spans="1:18" s="195" customFormat="1" x14ac:dyDescent="0.25">
      <c r="A79" s="192">
        <v>46184</v>
      </c>
      <c r="B79" s="193" t="s">
        <v>48</v>
      </c>
      <c r="C79" s="193" t="s">
        <v>93</v>
      </c>
      <c r="D79" s="11" t="s">
        <v>380</v>
      </c>
      <c r="E79" s="193">
        <v>1500</v>
      </c>
      <c r="F79" s="193" t="s">
        <v>172</v>
      </c>
      <c r="G79" s="194">
        <f t="shared" si="5"/>
        <v>1500</v>
      </c>
      <c r="H79" s="193"/>
      <c r="I79" s="193"/>
      <c r="J79" s="193"/>
      <c r="K79" s="193"/>
      <c r="L79" s="193">
        <f t="shared" si="6"/>
        <v>0</v>
      </c>
      <c r="M79" s="193">
        <f t="shared" si="7"/>
        <v>0</v>
      </c>
      <c r="N79" s="193"/>
      <c r="O79" s="193"/>
      <c r="P79" s="193"/>
      <c r="Q79" s="193"/>
      <c r="R79" s="193"/>
    </row>
    <row r="80" spans="1:18" x14ac:dyDescent="0.25">
      <c r="A80" s="2">
        <v>46184</v>
      </c>
      <c r="B80" s="2" t="s">
        <v>48</v>
      </c>
      <c r="C80" s="3" t="s">
        <v>49</v>
      </c>
      <c r="D80" s="11" t="s">
        <v>381</v>
      </c>
      <c r="E80" s="3">
        <v>9</v>
      </c>
      <c r="F80" s="3">
        <f t="shared" si="4"/>
        <v>0.45</v>
      </c>
      <c r="G80" s="177">
        <f t="shared" si="5"/>
        <v>9.4499999999999993</v>
      </c>
      <c r="H80" s="3"/>
      <c r="I80" s="3"/>
      <c r="J80" s="3"/>
      <c r="K80" s="3"/>
      <c r="L80" s="3">
        <f t="shared" si="6"/>
        <v>0</v>
      </c>
      <c r="M80" s="3">
        <f t="shared" si="7"/>
        <v>0</v>
      </c>
      <c r="N80" s="3"/>
      <c r="O80" s="3"/>
      <c r="P80" s="3"/>
      <c r="Q80" s="3"/>
      <c r="R80" s="3"/>
    </row>
    <row r="81" spans="1:18" x14ac:dyDescent="0.25">
      <c r="A81" s="2">
        <v>46184</v>
      </c>
      <c r="B81" s="2" t="s">
        <v>48</v>
      </c>
      <c r="C81" s="3" t="s">
        <v>92</v>
      </c>
      <c r="D81" s="11" t="s">
        <v>382</v>
      </c>
      <c r="E81" s="3"/>
      <c r="F81" s="3">
        <f t="shared" si="4"/>
        <v>0</v>
      </c>
      <c r="G81" s="4">
        <f t="shared" si="5"/>
        <v>0</v>
      </c>
      <c r="H81" s="3">
        <v>2000</v>
      </c>
      <c r="I81" s="3"/>
      <c r="J81" s="3"/>
      <c r="K81" s="3"/>
      <c r="L81" s="3">
        <f t="shared" si="6"/>
        <v>0</v>
      </c>
      <c r="M81" s="3">
        <f t="shared" si="7"/>
        <v>0</v>
      </c>
      <c r="N81" s="3"/>
      <c r="O81" s="3"/>
      <c r="P81" s="3"/>
      <c r="Q81" s="3"/>
      <c r="R81" s="3"/>
    </row>
    <row r="82" spans="1:18" x14ac:dyDescent="0.25">
      <c r="A82" s="2">
        <v>46184</v>
      </c>
      <c r="B82" s="2" t="s">
        <v>48</v>
      </c>
      <c r="C82" s="3" t="s">
        <v>73</v>
      </c>
      <c r="D82" s="11" t="s">
        <v>383</v>
      </c>
      <c r="E82" s="3">
        <v>58</v>
      </c>
      <c r="F82" s="3" t="s">
        <v>172</v>
      </c>
      <c r="G82" s="4">
        <f t="shared" si="5"/>
        <v>58</v>
      </c>
      <c r="H82" s="3"/>
      <c r="I82" s="3"/>
      <c r="J82" s="3"/>
      <c r="K82" s="3"/>
      <c r="L82" s="3">
        <f t="shared" si="6"/>
        <v>0</v>
      </c>
      <c r="M82" s="3">
        <f t="shared" si="7"/>
        <v>0</v>
      </c>
      <c r="N82" s="3"/>
      <c r="O82" s="3"/>
      <c r="P82" s="3"/>
      <c r="Q82" s="3"/>
      <c r="R82" s="3"/>
    </row>
    <row r="83" spans="1:18" x14ac:dyDescent="0.25">
      <c r="A83" s="2">
        <v>46184</v>
      </c>
      <c r="B83" s="2" t="s">
        <v>48</v>
      </c>
      <c r="C83" s="3" t="s">
        <v>92</v>
      </c>
      <c r="D83" s="11" t="s">
        <v>384</v>
      </c>
      <c r="E83" s="3"/>
      <c r="F83" s="3">
        <f t="shared" si="4"/>
        <v>0</v>
      </c>
      <c r="G83" s="4">
        <f t="shared" si="5"/>
        <v>0</v>
      </c>
      <c r="H83" s="3">
        <v>500</v>
      </c>
      <c r="I83" s="3"/>
      <c r="J83" s="3"/>
      <c r="K83" s="3"/>
      <c r="L83" s="3">
        <f t="shared" si="6"/>
        <v>0</v>
      </c>
      <c r="M83" s="3">
        <f t="shared" si="7"/>
        <v>0</v>
      </c>
      <c r="N83" s="3"/>
      <c r="O83" s="3"/>
      <c r="P83" s="3"/>
      <c r="Q83" s="3"/>
      <c r="R83" s="3"/>
    </row>
    <row r="84" spans="1:18" x14ac:dyDescent="0.25">
      <c r="A84" s="2">
        <v>46184</v>
      </c>
      <c r="B84" s="2" t="s">
        <v>48</v>
      </c>
      <c r="C84" s="3" t="s">
        <v>64</v>
      </c>
      <c r="D84" s="11" t="s">
        <v>385</v>
      </c>
      <c r="E84" s="3">
        <v>155</v>
      </c>
      <c r="F84" s="3" t="s">
        <v>172</v>
      </c>
      <c r="G84" s="4">
        <f t="shared" si="5"/>
        <v>155</v>
      </c>
      <c r="H84" s="3"/>
      <c r="I84" s="3"/>
      <c r="J84" s="3"/>
      <c r="K84" s="3"/>
      <c r="L84" s="3">
        <f t="shared" si="6"/>
        <v>0</v>
      </c>
      <c r="M84" s="3">
        <f t="shared" si="7"/>
        <v>0</v>
      </c>
      <c r="N84" s="3"/>
      <c r="O84" s="3"/>
      <c r="P84" s="3"/>
      <c r="Q84" s="3"/>
      <c r="R84" s="3"/>
    </row>
    <row r="85" spans="1:18" x14ac:dyDescent="0.25">
      <c r="A85" s="2">
        <v>46184</v>
      </c>
      <c r="B85" s="2" t="s">
        <v>48</v>
      </c>
      <c r="C85" s="3" t="s">
        <v>49</v>
      </c>
      <c r="D85" s="11" t="s">
        <v>386</v>
      </c>
      <c r="E85" s="3">
        <v>15</v>
      </c>
      <c r="F85" s="3">
        <f t="shared" si="4"/>
        <v>0.75</v>
      </c>
      <c r="G85" s="177">
        <f t="shared" si="5"/>
        <v>15.75</v>
      </c>
      <c r="H85" s="3"/>
      <c r="I85" s="3"/>
      <c r="J85" s="3"/>
      <c r="K85" s="3"/>
      <c r="L85" s="3">
        <f t="shared" si="6"/>
        <v>0</v>
      </c>
      <c r="M85" s="3">
        <f t="shared" si="7"/>
        <v>0</v>
      </c>
      <c r="N85" s="3"/>
      <c r="O85" s="3"/>
      <c r="P85" s="3"/>
      <c r="Q85" s="3"/>
      <c r="R85" s="3"/>
    </row>
    <row r="86" spans="1:18" x14ac:dyDescent="0.25">
      <c r="A86" s="2">
        <v>46184</v>
      </c>
      <c r="B86" s="2" t="s">
        <v>48</v>
      </c>
      <c r="C86" s="3" t="s">
        <v>49</v>
      </c>
      <c r="D86" s="11" t="s">
        <v>387</v>
      </c>
      <c r="E86" s="3">
        <v>58</v>
      </c>
      <c r="F86" s="3">
        <f t="shared" si="4"/>
        <v>2.9000000000000004</v>
      </c>
      <c r="G86" s="4">
        <f t="shared" si="5"/>
        <v>60.9</v>
      </c>
      <c r="H86" s="3"/>
      <c r="I86" s="3"/>
      <c r="J86" s="3"/>
      <c r="K86" s="3"/>
      <c r="L86" s="3">
        <f t="shared" si="6"/>
        <v>0</v>
      </c>
      <c r="M86" s="3">
        <f t="shared" si="7"/>
        <v>0</v>
      </c>
      <c r="N86" s="3"/>
      <c r="O86" s="3"/>
      <c r="P86" s="3"/>
      <c r="Q86" s="3"/>
      <c r="R86" s="3"/>
    </row>
    <row r="87" spans="1:18" x14ac:dyDescent="0.25">
      <c r="A87" s="2">
        <v>46184</v>
      </c>
      <c r="B87" s="2" t="s">
        <v>48</v>
      </c>
      <c r="C87" s="3" t="s">
        <v>49</v>
      </c>
      <c r="D87" s="11" t="s">
        <v>388</v>
      </c>
      <c r="E87" s="3">
        <v>18</v>
      </c>
      <c r="F87" s="3">
        <f t="shared" si="4"/>
        <v>0.9</v>
      </c>
      <c r="G87" s="177">
        <f t="shared" si="5"/>
        <v>18.899999999999999</v>
      </c>
      <c r="H87" s="3"/>
      <c r="I87" s="3"/>
      <c r="J87" s="3"/>
      <c r="K87" s="3"/>
      <c r="L87" s="3">
        <f t="shared" si="6"/>
        <v>0</v>
      </c>
      <c r="M87" s="3">
        <f t="shared" si="7"/>
        <v>0</v>
      </c>
      <c r="N87" s="3"/>
      <c r="O87" s="3"/>
      <c r="P87" s="3"/>
      <c r="Q87" s="3"/>
      <c r="R87" s="3"/>
    </row>
    <row r="88" spans="1:18" x14ac:dyDescent="0.25">
      <c r="A88" s="2">
        <v>46184</v>
      </c>
      <c r="B88" s="2" t="s">
        <v>48</v>
      </c>
      <c r="C88" s="3" t="s">
        <v>76</v>
      </c>
      <c r="D88" s="11" t="s">
        <v>389</v>
      </c>
      <c r="E88" s="3">
        <v>15</v>
      </c>
      <c r="F88" s="3" t="s">
        <v>172</v>
      </c>
      <c r="G88" s="4">
        <f t="shared" si="5"/>
        <v>15</v>
      </c>
      <c r="H88" s="3"/>
      <c r="I88" s="3"/>
      <c r="J88" s="3"/>
      <c r="K88" s="3"/>
      <c r="L88" s="3">
        <f t="shared" si="6"/>
        <v>0</v>
      </c>
      <c r="M88" s="3">
        <f t="shared" si="7"/>
        <v>0</v>
      </c>
      <c r="N88" s="3"/>
      <c r="O88" s="3"/>
      <c r="P88" s="3"/>
      <c r="Q88" s="3"/>
      <c r="R88" s="3"/>
    </row>
    <row r="89" spans="1:18" x14ac:dyDescent="0.25">
      <c r="A89" s="2">
        <v>46184</v>
      </c>
      <c r="B89" s="2" t="s">
        <v>285</v>
      </c>
      <c r="C89" s="3" t="s">
        <v>81</v>
      </c>
      <c r="D89" s="11" t="s">
        <v>390</v>
      </c>
      <c r="E89" s="3">
        <v>150</v>
      </c>
      <c r="F89" s="3" t="s">
        <v>172</v>
      </c>
      <c r="G89" s="4">
        <f t="shared" si="5"/>
        <v>150</v>
      </c>
      <c r="H89" s="3"/>
      <c r="I89" s="3"/>
      <c r="J89" s="3"/>
      <c r="K89" s="3"/>
      <c r="L89" s="3">
        <f t="shared" si="6"/>
        <v>0</v>
      </c>
      <c r="M89" s="3">
        <f t="shared" si="7"/>
        <v>0</v>
      </c>
      <c r="N89" s="3"/>
      <c r="O89" s="3"/>
      <c r="P89" s="3"/>
      <c r="Q89" s="3"/>
      <c r="R89" s="3"/>
    </row>
    <row r="90" spans="1:18" x14ac:dyDescent="0.25">
      <c r="A90" s="2">
        <v>46184</v>
      </c>
      <c r="B90" s="2" t="s">
        <v>285</v>
      </c>
      <c r="C90" s="3" t="s">
        <v>61</v>
      </c>
      <c r="D90" s="11" t="s">
        <v>391</v>
      </c>
      <c r="E90" s="3">
        <v>1500</v>
      </c>
      <c r="F90" s="3" t="s">
        <v>172</v>
      </c>
      <c r="G90" s="4">
        <f t="shared" si="5"/>
        <v>1500</v>
      </c>
      <c r="H90" s="3"/>
      <c r="I90" s="3"/>
      <c r="J90" s="3"/>
      <c r="K90" s="3"/>
      <c r="L90" s="3">
        <f t="shared" si="6"/>
        <v>0</v>
      </c>
      <c r="M90" s="3">
        <f t="shared" si="7"/>
        <v>0</v>
      </c>
      <c r="N90" s="3"/>
      <c r="O90" s="3"/>
      <c r="P90" s="3"/>
      <c r="Q90" s="3"/>
      <c r="R90" s="3"/>
    </row>
    <row r="91" spans="1:18" x14ac:dyDescent="0.25">
      <c r="A91" s="2">
        <v>46184</v>
      </c>
      <c r="B91" s="2" t="s">
        <v>285</v>
      </c>
      <c r="C91" s="3" t="s">
        <v>75</v>
      </c>
      <c r="D91" s="11" t="s">
        <v>392</v>
      </c>
      <c r="E91" s="3">
        <v>768</v>
      </c>
      <c r="F91" s="3" t="s">
        <v>172</v>
      </c>
      <c r="G91" s="4">
        <f t="shared" si="5"/>
        <v>768</v>
      </c>
      <c r="H91" s="3"/>
      <c r="I91" s="3"/>
      <c r="J91" s="3"/>
      <c r="K91" s="3"/>
      <c r="L91" s="3">
        <f t="shared" si="6"/>
        <v>0</v>
      </c>
      <c r="M91" s="3">
        <f t="shared" si="7"/>
        <v>0</v>
      </c>
      <c r="N91" s="3"/>
      <c r="O91" s="3"/>
      <c r="P91" s="3"/>
      <c r="Q91" s="3"/>
      <c r="R91" s="3"/>
    </row>
    <row r="92" spans="1:18" x14ac:dyDescent="0.25">
      <c r="A92" s="2">
        <v>46184</v>
      </c>
      <c r="B92" s="2" t="s">
        <v>292</v>
      </c>
      <c r="C92" s="3" t="s">
        <v>59</v>
      </c>
      <c r="D92" s="11" t="s">
        <v>393</v>
      </c>
      <c r="E92" s="3">
        <v>676.46</v>
      </c>
      <c r="F92" s="3" t="s">
        <v>172</v>
      </c>
      <c r="G92" s="4">
        <f t="shared" si="5"/>
        <v>676.46</v>
      </c>
      <c r="H92" s="3"/>
      <c r="I92" s="3"/>
      <c r="J92" s="3"/>
      <c r="K92" s="3"/>
      <c r="L92" s="3">
        <f t="shared" si="6"/>
        <v>0</v>
      </c>
      <c r="M92" s="3">
        <f t="shared" si="7"/>
        <v>0</v>
      </c>
      <c r="N92" s="3"/>
      <c r="O92" s="3"/>
      <c r="P92" s="3"/>
      <c r="Q92" s="3"/>
      <c r="R92" s="3"/>
    </row>
    <row r="93" spans="1:18" x14ac:dyDescent="0.25">
      <c r="A93" s="2">
        <v>46185</v>
      </c>
      <c r="B93" s="2" t="s">
        <v>48</v>
      </c>
      <c r="C93" s="3" t="s">
        <v>66</v>
      </c>
      <c r="D93" s="11" t="s">
        <v>394</v>
      </c>
      <c r="E93" s="3">
        <v>240</v>
      </c>
      <c r="F93" s="3" t="s">
        <v>172</v>
      </c>
      <c r="G93" s="4">
        <f t="shared" si="5"/>
        <v>240</v>
      </c>
      <c r="H93" s="3"/>
      <c r="I93" s="3"/>
      <c r="J93" s="3"/>
      <c r="K93" s="3"/>
      <c r="L93" s="3">
        <f t="shared" si="6"/>
        <v>0</v>
      </c>
      <c r="M93" s="3">
        <f t="shared" si="7"/>
        <v>0</v>
      </c>
      <c r="N93" s="3"/>
      <c r="O93" s="3"/>
      <c r="P93" s="3"/>
      <c r="Q93" s="3"/>
      <c r="R93" s="3"/>
    </row>
    <row r="94" spans="1:18" x14ac:dyDescent="0.25">
      <c r="A94" s="2">
        <v>46185</v>
      </c>
      <c r="B94" s="2" t="s">
        <v>48</v>
      </c>
      <c r="C94" s="3" t="s">
        <v>76</v>
      </c>
      <c r="D94" s="11" t="s">
        <v>395</v>
      </c>
      <c r="E94" s="3">
        <v>70</v>
      </c>
      <c r="F94" s="3" t="s">
        <v>172</v>
      </c>
      <c r="G94" s="4">
        <f t="shared" si="5"/>
        <v>70</v>
      </c>
      <c r="H94" s="3"/>
      <c r="I94" s="3"/>
      <c r="J94" s="3"/>
      <c r="K94" s="3"/>
      <c r="L94" s="3">
        <f t="shared" si="6"/>
        <v>0</v>
      </c>
      <c r="M94" s="3">
        <f t="shared" si="7"/>
        <v>0</v>
      </c>
      <c r="N94" s="3"/>
      <c r="O94" s="3"/>
      <c r="P94" s="3"/>
      <c r="Q94" s="3"/>
      <c r="R94" s="3"/>
    </row>
    <row r="95" spans="1:18" x14ac:dyDescent="0.25">
      <c r="A95" s="2">
        <v>46185</v>
      </c>
      <c r="B95" s="2" t="s">
        <v>48</v>
      </c>
      <c r="C95" s="3" t="s">
        <v>92</v>
      </c>
      <c r="D95" s="11" t="s">
        <v>396</v>
      </c>
      <c r="E95" s="3"/>
      <c r="F95" s="3">
        <f t="shared" si="4"/>
        <v>0</v>
      </c>
      <c r="G95" s="4">
        <f t="shared" si="5"/>
        <v>0</v>
      </c>
      <c r="H95" s="3">
        <v>100</v>
      </c>
      <c r="I95" s="3"/>
      <c r="J95" s="3"/>
      <c r="K95" s="3"/>
      <c r="L95" s="3">
        <f t="shared" si="6"/>
        <v>0</v>
      </c>
      <c r="M95" s="3">
        <f t="shared" si="7"/>
        <v>0</v>
      </c>
      <c r="N95" s="3"/>
      <c r="O95" s="3"/>
      <c r="P95" s="3"/>
      <c r="Q95" s="3"/>
      <c r="R95" s="3"/>
    </row>
    <row r="96" spans="1:18" x14ac:dyDescent="0.25">
      <c r="A96" s="2">
        <v>46185</v>
      </c>
      <c r="B96" s="2" t="s">
        <v>48</v>
      </c>
      <c r="C96" s="3" t="s">
        <v>49</v>
      </c>
      <c r="D96" s="11" t="s">
        <v>397</v>
      </c>
      <c r="E96" s="3">
        <v>47.62</v>
      </c>
      <c r="F96" s="3">
        <f t="shared" si="4"/>
        <v>2.3809999999999998</v>
      </c>
      <c r="G96" s="4">
        <f t="shared" si="5"/>
        <v>50.000999999999998</v>
      </c>
      <c r="H96" s="3"/>
      <c r="I96" s="3"/>
      <c r="J96" s="3"/>
      <c r="K96" s="3"/>
      <c r="L96" s="3">
        <f t="shared" si="6"/>
        <v>0</v>
      </c>
      <c r="M96" s="3">
        <f t="shared" si="7"/>
        <v>0</v>
      </c>
      <c r="N96" s="3"/>
      <c r="O96" s="3"/>
      <c r="P96" s="3"/>
      <c r="Q96" s="3"/>
      <c r="R96" s="3"/>
    </row>
    <row r="97" spans="1:18" x14ac:dyDescent="0.25">
      <c r="A97" s="2">
        <v>46185</v>
      </c>
      <c r="B97" s="2" t="s">
        <v>48</v>
      </c>
      <c r="C97" s="3" t="s">
        <v>78</v>
      </c>
      <c r="D97" s="11" t="s">
        <v>398</v>
      </c>
      <c r="E97" s="3">
        <v>70</v>
      </c>
      <c r="F97" s="3" t="s">
        <v>172</v>
      </c>
      <c r="G97" s="4">
        <f t="shared" si="5"/>
        <v>70</v>
      </c>
      <c r="H97" s="3"/>
      <c r="I97" s="3"/>
      <c r="J97" s="3"/>
      <c r="K97" s="3"/>
      <c r="L97" s="3">
        <f t="shared" si="6"/>
        <v>0</v>
      </c>
      <c r="M97" s="3">
        <f t="shared" si="7"/>
        <v>0</v>
      </c>
      <c r="N97" s="3"/>
      <c r="O97" s="3"/>
      <c r="P97" s="3"/>
      <c r="Q97" s="3"/>
      <c r="R97" s="3"/>
    </row>
    <row r="98" spans="1:18" x14ac:dyDescent="0.25">
      <c r="A98" s="2">
        <v>46185</v>
      </c>
      <c r="B98" s="2" t="s">
        <v>48</v>
      </c>
      <c r="C98" s="3" t="s">
        <v>92</v>
      </c>
      <c r="D98" s="11" t="s">
        <v>399</v>
      </c>
      <c r="E98" s="3"/>
      <c r="F98" s="3">
        <f t="shared" si="4"/>
        <v>0</v>
      </c>
      <c r="G98" s="4">
        <f t="shared" si="5"/>
        <v>0</v>
      </c>
      <c r="H98" s="3">
        <v>2000</v>
      </c>
      <c r="I98" s="3"/>
      <c r="J98" s="3"/>
      <c r="K98" s="3"/>
      <c r="L98" s="3">
        <f t="shared" si="6"/>
        <v>0</v>
      </c>
      <c r="M98" s="3">
        <f t="shared" si="7"/>
        <v>0</v>
      </c>
      <c r="N98" s="3"/>
      <c r="O98" s="3"/>
      <c r="P98" s="3"/>
      <c r="Q98" s="3"/>
      <c r="R98" s="3"/>
    </row>
    <row r="99" spans="1:18" x14ac:dyDescent="0.25">
      <c r="A99" s="2">
        <v>46184</v>
      </c>
      <c r="B99" s="2" t="s">
        <v>48</v>
      </c>
      <c r="C99" s="3" t="s">
        <v>78</v>
      </c>
      <c r="D99" s="11" t="s">
        <v>400</v>
      </c>
      <c r="E99" s="3"/>
      <c r="F99" s="3">
        <f t="shared" si="4"/>
        <v>0</v>
      </c>
      <c r="G99" s="4">
        <f t="shared" si="5"/>
        <v>0</v>
      </c>
      <c r="H99" s="3"/>
      <c r="I99" s="3"/>
      <c r="J99" s="3"/>
      <c r="K99" s="3"/>
      <c r="L99" s="3">
        <f t="shared" si="6"/>
        <v>0</v>
      </c>
      <c r="M99" s="3">
        <f t="shared" si="7"/>
        <v>0</v>
      </c>
      <c r="N99" s="3">
        <v>34000</v>
      </c>
      <c r="O99" s="3"/>
      <c r="P99" s="3"/>
      <c r="Q99" s="3"/>
      <c r="R99" s="3"/>
    </row>
    <row r="100" spans="1:18" x14ac:dyDescent="0.25">
      <c r="A100" s="2">
        <v>46189</v>
      </c>
      <c r="B100" s="2" t="s">
        <v>288</v>
      </c>
      <c r="C100" s="3" t="s">
        <v>151</v>
      </c>
      <c r="D100" s="11" t="s">
        <v>401</v>
      </c>
      <c r="E100" s="3">
        <v>52000</v>
      </c>
      <c r="F100" s="3" t="s">
        <v>172</v>
      </c>
      <c r="G100" s="4">
        <f t="shared" si="5"/>
        <v>52000</v>
      </c>
      <c r="H100" s="3"/>
      <c r="I100" s="3"/>
      <c r="J100" s="3"/>
      <c r="K100" s="3"/>
      <c r="L100" s="3">
        <f t="shared" si="6"/>
        <v>0</v>
      </c>
      <c r="M100" s="3">
        <f t="shared" si="7"/>
        <v>0</v>
      </c>
      <c r="N100" s="3"/>
      <c r="O100" s="3"/>
      <c r="P100" s="3"/>
      <c r="Q100" s="3"/>
      <c r="R100" s="3"/>
    </row>
    <row r="101" spans="1:18" x14ac:dyDescent="0.25">
      <c r="A101" s="2">
        <v>46186</v>
      </c>
      <c r="B101" s="2" t="s">
        <v>48</v>
      </c>
      <c r="C101" s="3" t="s">
        <v>92</v>
      </c>
      <c r="D101" s="11" t="s">
        <v>402</v>
      </c>
      <c r="E101" s="3"/>
      <c r="F101" s="3">
        <f t="shared" si="4"/>
        <v>0</v>
      </c>
      <c r="G101" s="4">
        <f t="shared" si="5"/>
        <v>0</v>
      </c>
      <c r="H101" s="3">
        <v>100</v>
      </c>
      <c r="I101" s="3"/>
      <c r="J101" s="3"/>
      <c r="K101" s="3"/>
      <c r="L101" s="3">
        <f t="shared" si="6"/>
        <v>0</v>
      </c>
      <c r="M101" s="3">
        <f t="shared" si="7"/>
        <v>0</v>
      </c>
      <c r="N101" s="3"/>
      <c r="O101" s="3"/>
      <c r="P101" s="3"/>
      <c r="Q101" s="3"/>
      <c r="R101" s="3"/>
    </row>
    <row r="102" spans="1:18" x14ac:dyDescent="0.25">
      <c r="A102" s="2">
        <v>46186</v>
      </c>
      <c r="B102" s="2" t="s">
        <v>48</v>
      </c>
      <c r="C102" s="3" t="s">
        <v>49</v>
      </c>
      <c r="D102" s="11" t="s">
        <v>403</v>
      </c>
      <c r="E102" s="3">
        <v>8</v>
      </c>
      <c r="F102" s="3">
        <f t="shared" si="4"/>
        <v>0.4</v>
      </c>
      <c r="G102" s="177">
        <f t="shared" si="5"/>
        <v>8.4</v>
      </c>
      <c r="H102" s="3"/>
      <c r="I102" s="3"/>
      <c r="J102" s="3"/>
      <c r="K102" s="3"/>
      <c r="L102" s="3">
        <f t="shared" si="6"/>
        <v>0</v>
      </c>
      <c r="M102" s="3">
        <f t="shared" si="7"/>
        <v>0</v>
      </c>
      <c r="N102" s="3"/>
      <c r="O102" s="3"/>
      <c r="P102" s="3"/>
      <c r="Q102" s="3"/>
      <c r="R102" s="3"/>
    </row>
    <row r="103" spans="1:18" x14ac:dyDescent="0.25">
      <c r="A103" s="2">
        <v>46186</v>
      </c>
      <c r="B103" s="2" t="s">
        <v>48</v>
      </c>
      <c r="C103" s="3" t="s">
        <v>92</v>
      </c>
      <c r="D103" s="11" t="s">
        <v>404</v>
      </c>
      <c r="E103" s="3"/>
      <c r="F103" s="3">
        <f t="shared" si="4"/>
        <v>0</v>
      </c>
      <c r="G103" s="4">
        <f t="shared" si="5"/>
        <v>0</v>
      </c>
      <c r="H103" s="3">
        <v>300</v>
      </c>
      <c r="I103" s="3"/>
      <c r="J103" s="3"/>
      <c r="K103" s="3"/>
      <c r="L103" s="3">
        <f t="shared" si="6"/>
        <v>0</v>
      </c>
      <c r="M103" s="3">
        <f t="shared" si="7"/>
        <v>0</v>
      </c>
      <c r="N103" s="3"/>
      <c r="O103" s="3"/>
      <c r="P103" s="3"/>
      <c r="Q103" s="3"/>
      <c r="R103" s="3"/>
    </row>
    <row r="104" spans="1:18" x14ac:dyDescent="0.25">
      <c r="A104" s="2">
        <v>46186</v>
      </c>
      <c r="B104" s="2" t="s">
        <v>48</v>
      </c>
      <c r="C104" s="3" t="s">
        <v>92</v>
      </c>
      <c r="D104" s="11" t="s">
        <v>405</v>
      </c>
      <c r="E104" s="3"/>
      <c r="F104" s="3">
        <f t="shared" si="4"/>
        <v>0</v>
      </c>
      <c r="G104" s="4">
        <f t="shared" si="5"/>
        <v>0</v>
      </c>
      <c r="H104" s="3">
        <v>500</v>
      </c>
      <c r="I104" s="3"/>
      <c r="J104" s="3"/>
      <c r="K104" s="3"/>
      <c r="L104" s="3">
        <f t="shared" si="6"/>
        <v>0</v>
      </c>
      <c r="M104" s="3">
        <f t="shared" si="7"/>
        <v>0</v>
      </c>
      <c r="N104" s="3"/>
      <c r="O104" s="3"/>
      <c r="P104" s="3"/>
      <c r="Q104" s="3"/>
      <c r="R104" s="3"/>
    </row>
    <row r="105" spans="1:18" x14ac:dyDescent="0.25">
      <c r="A105" s="2">
        <v>46186</v>
      </c>
      <c r="B105" s="2" t="s">
        <v>48</v>
      </c>
      <c r="C105" s="3" t="s">
        <v>64</v>
      </c>
      <c r="D105" s="11" t="s">
        <v>406</v>
      </c>
      <c r="E105" s="3">
        <v>140</v>
      </c>
      <c r="F105" s="3" t="s">
        <v>172</v>
      </c>
      <c r="G105" s="4">
        <f t="shared" si="5"/>
        <v>140</v>
      </c>
      <c r="H105" s="3"/>
      <c r="I105" s="3"/>
      <c r="J105" s="3"/>
      <c r="K105" s="3"/>
      <c r="L105" s="3">
        <f t="shared" si="6"/>
        <v>0</v>
      </c>
      <c r="M105" s="3">
        <f t="shared" si="7"/>
        <v>0</v>
      </c>
      <c r="N105" s="3"/>
      <c r="O105" s="3"/>
      <c r="P105" s="3"/>
      <c r="Q105" s="3"/>
      <c r="R105" s="3"/>
    </row>
    <row r="106" spans="1:18" x14ac:dyDescent="0.25">
      <c r="A106" s="2">
        <v>46186</v>
      </c>
      <c r="B106" s="2" t="s">
        <v>48</v>
      </c>
      <c r="C106" s="3" t="s">
        <v>78</v>
      </c>
      <c r="D106" s="11" t="s">
        <v>407</v>
      </c>
      <c r="E106" s="3">
        <v>11</v>
      </c>
      <c r="F106" s="3">
        <f t="shared" si="4"/>
        <v>0.55000000000000004</v>
      </c>
      <c r="G106" s="187">
        <f t="shared" si="5"/>
        <v>11.55</v>
      </c>
      <c r="H106" s="3"/>
      <c r="I106" s="3"/>
      <c r="J106" s="3"/>
      <c r="K106" s="3"/>
      <c r="L106" s="3">
        <f t="shared" si="6"/>
        <v>0</v>
      </c>
      <c r="M106" s="3">
        <f t="shared" si="7"/>
        <v>0</v>
      </c>
      <c r="N106" s="3"/>
      <c r="O106" s="3"/>
      <c r="P106" s="3"/>
      <c r="Q106" s="3"/>
      <c r="R106" s="3"/>
    </row>
    <row r="107" spans="1:18" x14ac:dyDescent="0.25">
      <c r="A107" s="2">
        <v>46186</v>
      </c>
      <c r="B107" s="2" t="s">
        <v>48</v>
      </c>
      <c r="C107" s="3" t="s">
        <v>78</v>
      </c>
      <c r="D107" s="11" t="s">
        <v>408</v>
      </c>
      <c r="E107" s="3">
        <v>31.46</v>
      </c>
      <c r="F107" s="3">
        <f t="shared" si="4"/>
        <v>1.5730000000000002</v>
      </c>
      <c r="G107" s="187">
        <f t="shared" si="5"/>
        <v>33.033000000000001</v>
      </c>
      <c r="H107" s="3"/>
      <c r="I107" s="3"/>
      <c r="J107" s="3"/>
      <c r="K107" s="3"/>
      <c r="L107" s="3">
        <f t="shared" si="6"/>
        <v>0</v>
      </c>
      <c r="M107" s="3">
        <f t="shared" si="7"/>
        <v>0</v>
      </c>
      <c r="N107" s="3"/>
      <c r="O107" s="3"/>
      <c r="P107" s="3"/>
      <c r="Q107" s="3"/>
      <c r="R107" s="3"/>
    </row>
    <row r="108" spans="1:18" x14ac:dyDescent="0.25">
      <c r="A108" s="2">
        <v>46186</v>
      </c>
      <c r="B108" s="2" t="s">
        <v>48</v>
      </c>
      <c r="C108" s="3" t="s">
        <v>49</v>
      </c>
      <c r="D108" s="11" t="s">
        <v>409</v>
      </c>
      <c r="E108" s="3">
        <v>12.5</v>
      </c>
      <c r="F108" s="3" t="s">
        <v>172</v>
      </c>
      <c r="G108" s="4">
        <f t="shared" si="5"/>
        <v>12.5</v>
      </c>
      <c r="H108" s="3"/>
      <c r="I108" s="3"/>
      <c r="J108" s="3"/>
      <c r="K108" s="3"/>
      <c r="L108" s="3">
        <f t="shared" si="6"/>
        <v>0</v>
      </c>
      <c r="M108" s="3">
        <f t="shared" si="7"/>
        <v>0</v>
      </c>
      <c r="N108" s="3"/>
      <c r="O108" s="3"/>
      <c r="P108" s="3"/>
      <c r="Q108" s="3"/>
      <c r="R108" s="3"/>
    </row>
    <row r="109" spans="1:18" x14ac:dyDescent="0.25">
      <c r="A109" s="2">
        <v>46186</v>
      </c>
      <c r="B109" s="2" t="s">
        <v>48</v>
      </c>
      <c r="C109" s="3" t="s">
        <v>78</v>
      </c>
      <c r="D109" s="11" t="s">
        <v>410</v>
      </c>
      <c r="E109" s="3">
        <v>95.24</v>
      </c>
      <c r="F109" s="3">
        <f t="shared" si="4"/>
        <v>4.7619999999999996</v>
      </c>
      <c r="G109" s="4">
        <f t="shared" si="5"/>
        <v>100.002</v>
      </c>
      <c r="H109" s="3"/>
      <c r="I109" s="3"/>
      <c r="J109" s="3"/>
      <c r="K109" s="3"/>
      <c r="L109" s="3">
        <f t="shared" si="6"/>
        <v>0</v>
      </c>
      <c r="M109" s="3">
        <f t="shared" si="7"/>
        <v>0</v>
      </c>
      <c r="N109" s="3"/>
      <c r="O109" s="3"/>
      <c r="P109" s="3"/>
      <c r="Q109" s="3"/>
      <c r="R109" s="3"/>
    </row>
    <row r="110" spans="1:18" x14ac:dyDescent="0.25">
      <c r="A110" s="2">
        <v>46186</v>
      </c>
      <c r="B110" s="2" t="s">
        <v>48</v>
      </c>
      <c r="C110" s="3" t="s">
        <v>68</v>
      </c>
      <c r="D110" s="11" t="s">
        <v>411</v>
      </c>
      <c r="E110" s="3">
        <v>526</v>
      </c>
      <c r="F110" s="3">
        <f t="shared" si="4"/>
        <v>26.3</v>
      </c>
      <c r="G110" s="177">
        <f t="shared" si="5"/>
        <v>552.29999999999995</v>
      </c>
      <c r="H110" s="3"/>
      <c r="I110" s="3"/>
      <c r="J110" s="3"/>
      <c r="K110" s="3"/>
      <c r="L110" s="3">
        <f t="shared" si="6"/>
        <v>0</v>
      </c>
      <c r="M110" s="3">
        <f t="shared" si="7"/>
        <v>0</v>
      </c>
      <c r="N110" s="3"/>
      <c r="O110" s="3"/>
      <c r="P110" s="3"/>
      <c r="Q110" s="3"/>
      <c r="R110" s="3"/>
    </row>
    <row r="111" spans="1:18" x14ac:dyDescent="0.25">
      <c r="A111" s="2">
        <v>46186</v>
      </c>
      <c r="B111" s="2" t="s">
        <v>48</v>
      </c>
      <c r="C111" s="3" t="s">
        <v>64</v>
      </c>
      <c r="D111" s="11" t="s">
        <v>412</v>
      </c>
      <c r="E111" s="3">
        <v>220</v>
      </c>
      <c r="F111" s="3" t="s">
        <v>172</v>
      </c>
      <c r="G111" s="4">
        <f t="shared" si="5"/>
        <v>220</v>
      </c>
      <c r="H111" s="3"/>
      <c r="I111" s="3"/>
      <c r="J111" s="3"/>
      <c r="K111" s="3"/>
      <c r="L111" s="3">
        <f t="shared" si="6"/>
        <v>0</v>
      </c>
      <c r="M111" s="3">
        <f t="shared" si="7"/>
        <v>0</v>
      </c>
      <c r="N111" s="3"/>
      <c r="O111" s="3"/>
      <c r="P111" s="3"/>
      <c r="Q111" s="3"/>
      <c r="R111" s="3"/>
    </row>
    <row r="112" spans="1:18" x14ac:dyDescent="0.25">
      <c r="A112" s="2">
        <v>46186</v>
      </c>
      <c r="B112" s="2" t="s">
        <v>48</v>
      </c>
      <c r="C112" s="3" t="s">
        <v>92</v>
      </c>
      <c r="D112" s="11" t="s">
        <v>413</v>
      </c>
      <c r="E112" s="3"/>
      <c r="F112" s="3">
        <f t="shared" si="4"/>
        <v>0</v>
      </c>
      <c r="G112" s="4">
        <f t="shared" si="5"/>
        <v>0</v>
      </c>
      <c r="H112" s="3">
        <v>3000</v>
      </c>
      <c r="I112" s="3"/>
      <c r="J112" s="3"/>
      <c r="K112" s="3"/>
      <c r="L112" s="3">
        <f t="shared" si="6"/>
        <v>0</v>
      </c>
      <c r="M112" s="3">
        <f t="shared" si="7"/>
        <v>0</v>
      </c>
      <c r="N112" s="3"/>
      <c r="O112" s="3"/>
      <c r="P112" s="3"/>
      <c r="Q112" s="3"/>
      <c r="R112" s="3"/>
    </row>
    <row r="113" spans="1:18" x14ac:dyDescent="0.25">
      <c r="A113" s="2">
        <v>46186</v>
      </c>
      <c r="B113" s="2" t="s">
        <v>48</v>
      </c>
      <c r="C113" s="3" t="s">
        <v>92</v>
      </c>
      <c r="D113" s="11" t="s">
        <v>414</v>
      </c>
      <c r="E113" s="3"/>
      <c r="F113" s="3">
        <f t="shared" si="4"/>
        <v>0</v>
      </c>
      <c r="G113" s="4">
        <f t="shared" si="5"/>
        <v>0</v>
      </c>
      <c r="H113" s="3">
        <v>500</v>
      </c>
      <c r="I113" s="3"/>
      <c r="J113" s="3"/>
      <c r="K113" s="3"/>
      <c r="L113" s="3">
        <f t="shared" si="6"/>
        <v>0</v>
      </c>
      <c r="M113" s="3">
        <f t="shared" si="7"/>
        <v>0</v>
      </c>
      <c r="N113" s="3"/>
      <c r="O113" s="3"/>
      <c r="P113" s="3"/>
      <c r="Q113" s="3"/>
      <c r="R113" s="3"/>
    </row>
    <row r="114" spans="1:18" x14ac:dyDescent="0.25">
      <c r="A114" s="2">
        <v>46186</v>
      </c>
      <c r="B114" s="2" t="s">
        <v>48</v>
      </c>
      <c r="C114" s="3" t="s">
        <v>70</v>
      </c>
      <c r="D114" s="11" t="s">
        <v>415</v>
      </c>
      <c r="E114" s="3">
        <v>10</v>
      </c>
      <c r="F114" s="3" t="s">
        <v>172</v>
      </c>
      <c r="G114" s="4">
        <f t="shared" si="5"/>
        <v>10</v>
      </c>
      <c r="H114" s="3"/>
      <c r="I114" s="3"/>
      <c r="J114" s="3"/>
      <c r="K114" s="3"/>
      <c r="L114" s="3">
        <f t="shared" si="6"/>
        <v>0</v>
      </c>
      <c r="M114" s="3">
        <f t="shared" si="7"/>
        <v>0</v>
      </c>
      <c r="N114" s="3"/>
      <c r="O114" s="3"/>
      <c r="P114" s="3"/>
      <c r="Q114" s="3"/>
      <c r="R114" s="3"/>
    </row>
    <row r="115" spans="1:18" x14ac:dyDescent="0.25">
      <c r="A115" s="2">
        <v>46186</v>
      </c>
      <c r="B115" s="2" t="s">
        <v>285</v>
      </c>
      <c r="C115" s="3" t="s">
        <v>61</v>
      </c>
      <c r="D115" s="11" t="s">
        <v>416</v>
      </c>
      <c r="E115" s="3">
        <v>4000</v>
      </c>
      <c r="F115" s="3" t="s">
        <v>172</v>
      </c>
      <c r="G115" s="4">
        <f t="shared" si="5"/>
        <v>4000</v>
      </c>
      <c r="H115" s="3"/>
      <c r="I115" s="3"/>
      <c r="J115" s="3"/>
      <c r="K115" s="3"/>
      <c r="L115" s="3">
        <f t="shared" si="6"/>
        <v>0</v>
      </c>
      <c r="M115" s="3">
        <f t="shared" si="7"/>
        <v>0</v>
      </c>
      <c r="N115" s="3"/>
      <c r="O115" s="3"/>
      <c r="P115" s="3"/>
      <c r="Q115" s="3"/>
      <c r="R115" s="3"/>
    </row>
    <row r="116" spans="1:18" x14ac:dyDescent="0.25">
      <c r="A116" s="2">
        <v>46188</v>
      </c>
      <c r="B116" s="2" t="s">
        <v>48</v>
      </c>
      <c r="C116" s="3" t="s">
        <v>80</v>
      </c>
      <c r="D116" s="11" t="s">
        <v>417</v>
      </c>
      <c r="E116" s="3">
        <v>500</v>
      </c>
      <c r="F116" s="3" t="s">
        <v>172</v>
      </c>
      <c r="G116" s="4">
        <f t="shared" si="5"/>
        <v>500</v>
      </c>
      <c r="H116" s="3"/>
      <c r="I116" s="3"/>
      <c r="J116" s="3"/>
      <c r="K116" s="3"/>
      <c r="L116" s="3">
        <f t="shared" si="6"/>
        <v>0</v>
      </c>
      <c r="M116" s="3">
        <f t="shared" si="7"/>
        <v>0</v>
      </c>
      <c r="N116" s="3"/>
      <c r="O116" s="3"/>
      <c r="P116" s="3"/>
      <c r="Q116" s="3"/>
      <c r="R116" s="3"/>
    </row>
    <row r="117" spans="1:18" x14ac:dyDescent="0.25">
      <c r="A117" s="2">
        <v>46188</v>
      </c>
      <c r="B117" s="2" t="s">
        <v>48</v>
      </c>
      <c r="C117" s="3" t="s">
        <v>92</v>
      </c>
      <c r="D117" s="11" t="s">
        <v>418</v>
      </c>
      <c r="E117" s="3"/>
      <c r="F117" s="3">
        <f t="shared" si="4"/>
        <v>0</v>
      </c>
      <c r="G117" s="4">
        <f t="shared" si="5"/>
        <v>0</v>
      </c>
      <c r="H117" s="3">
        <v>1000</v>
      </c>
      <c r="I117" s="3"/>
      <c r="J117" s="3"/>
      <c r="K117" s="3"/>
      <c r="L117" s="3">
        <f t="shared" si="6"/>
        <v>0</v>
      </c>
      <c r="M117" s="3">
        <f t="shared" si="7"/>
        <v>0</v>
      </c>
      <c r="N117" s="3"/>
      <c r="O117" s="3"/>
      <c r="P117" s="3"/>
      <c r="Q117" s="3"/>
      <c r="R117" s="3"/>
    </row>
    <row r="118" spans="1:18" x14ac:dyDescent="0.25">
      <c r="A118" s="2">
        <v>46188</v>
      </c>
      <c r="B118" s="2" t="s">
        <v>48</v>
      </c>
      <c r="C118" s="3" t="s">
        <v>91</v>
      </c>
      <c r="D118" s="11" t="s">
        <v>419</v>
      </c>
      <c r="E118" s="3">
        <v>1630</v>
      </c>
      <c r="F118" s="3" t="s">
        <v>172</v>
      </c>
      <c r="G118" s="4">
        <f t="shared" si="5"/>
        <v>1630</v>
      </c>
      <c r="H118" s="3"/>
      <c r="I118" s="3"/>
      <c r="J118" s="3"/>
      <c r="K118" s="3"/>
      <c r="L118" s="3">
        <f t="shared" si="6"/>
        <v>0</v>
      </c>
      <c r="M118" s="3">
        <f t="shared" si="7"/>
        <v>0</v>
      </c>
      <c r="N118" s="3"/>
      <c r="O118" s="3"/>
      <c r="P118" s="3"/>
      <c r="Q118" s="3"/>
      <c r="R118" s="3"/>
    </row>
    <row r="119" spans="1:18" x14ac:dyDescent="0.25">
      <c r="A119" s="2">
        <v>46188</v>
      </c>
      <c r="B119" s="2" t="s">
        <v>48</v>
      </c>
      <c r="C119" s="3" t="s">
        <v>78</v>
      </c>
      <c r="D119" s="11" t="s">
        <v>420</v>
      </c>
      <c r="E119" s="3">
        <v>12.5</v>
      </c>
      <c r="F119" s="3" t="s">
        <v>172</v>
      </c>
      <c r="G119" s="4">
        <f t="shared" si="5"/>
        <v>12.5</v>
      </c>
      <c r="H119" s="3"/>
      <c r="I119" s="3"/>
      <c r="J119" s="3"/>
      <c r="K119" s="3"/>
      <c r="L119" s="3">
        <f t="shared" si="6"/>
        <v>0</v>
      </c>
      <c r="M119" s="3">
        <f t="shared" si="7"/>
        <v>0</v>
      </c>
      <c r="N119" s="3"/>
      <c r="O119" s="3"/>
      <c r="P119" s="3"/>
      <c r="Q119" s="3"/>
      <c r="R119" s="3"/>
    </row>
    <row r="120" spans="1:18" x14ac:dyDescent="0.25">
      <c r="A120" s="2">
        <v>46188</v>
      </c>
      <c r="B120" s="2" t="s">
        <v>48</v>
      </c>
      <c r="C120" s="3" t="s">
        <v>92</v>
      </c>
      <c r="D120" s="11" t="s">
        <v>421</v>
      </c>
      <c r="E120" s="3"/>
      <c r="F120" s="3">
        <f t="shared" si="4"/>
        <v>0</v>
      </c>
      <c r="G120" s="4">
        <f t="shared" si="5"/>
        <v>0</v>
      </c>
      <c r="H120" s="3">
        <v>100</v>
      </c>
      <c r="I120" s="3"/>
      <c r="J120" s="3"/>
      <c r="K120" s="3"/>
      <c r="L120" s="3">
        <f t="shared" si="6"/>
        <v>0</v>
      </c>
      <c r="M120" s="3">
        <f t="shared" si="7"/>
        <v>0</v>
      </c>
      <c r="N120" s="3"/>
      <c r="O120" s="3"/>
      <c r="P120" s="3"/>
      <c r="Q120" s="3"/>
      <c r="R120" s="3"/>
    </row>
    <row r="121" spans="1:18" x14ac:dyDescent="0.25">
      <c r="A121" s="2">
        <v>46188</v>
      </c>
      <c r="B121" s="2" t="s">
        <v>48</v>
      </c>
      <c r="C121" s="3" t="s">
        <v>73</v>
      </c>
      <c r="D121" s="11" t="s">
        <v>422</v>
      </c>
      <c r="E121" s="3">
        <v>58</v>
      </c>
      <c r="F121" s="3" t="s">
        <v>172</v>
      </c>
      <c r="G121" s="4">
        <f t="shared" si="5"/>
        <v>58</v>
      </c>
      <c r="H121" s="3"/>
      <c r="I121" s="3"/>
      <c r="J121" s="3"/>
      <c r="K121" s="3"/>
      <c r="L121" s="3">
        <f t="shared" si="6"/>
        <v>0</v>
      </c>
      <c r="M121" s="3">
        <f t="shared" si="7"/>
        <v>0</v>
      </c>
      <c r="N121" s="3"/>
      <c r="O121" s="3"/>
      <c r="P121" s="3"/>
      <c r="Q121" s="3"/>
      <c r="R121" s="3"/>
    </row>
    <row r="122" spans="1:18" x14ac:dyDescent="0.25">
      <c r="A122" s="2">
        <v>46188</v>
      </c>
      <c r="B122" s="2" t="s">
        <v>48</v>
      </c>
      <c r="C122" s="3" t="s">
        <v>70</v>
      </c>
      <c r="D122" s="11" t="s">
        <v>423</v>
      </c>
      <c r="E122" s="3">
        <v>47</v>
      </c>
      <c r="F122" s="3" t="s">
        <v>172</v>
      </c>
      <c r="G122" s="4">
        <f t="shared" si="5"/>
        <v>47</v>
      </c>
      <c r="H122" s="3"/>
      <c r="I122" s="3"/>
      <c r="J122" s="3"/>
      <c r="K122" s="3"/>
      <c r="L122" s="3">
        <f t="shared" si="6"/>
        <v>0</v>
      </c>
      <c r="M122" s="3">
        <f t="shared" si="7"/>
        <v>0</v>
      </c>
      <c r="N122" s="3"/>
      <c r="O122" s="3"/>
      <c r="P122" s="3"/>
      <c r="Q122" s="3"/>
      <c r="R122" s="3"/>
    </row>
    <row r="123" spans="1:18" x14ac:dyDescent="0.25">
      <c r="A123" s="2">
        <v>46189</v>
      </c>
      <c r="B123" s="2" t="s">
        <v>48</v>
      </c>
      <c r="C123" s="3" t="s">
        <v>64</v>
      </c>
      <c r="D123" s="11" t="s">
        <v>424</v>
      </c>
      <c r="E123" s="3">
        <v>65</v>
      </c>
      <c r="F123" s="3" t="s">
        <v>172</v>
      </c>
      <c r="G123" s="4">
        <f t="shared" si="5"/>
        <v>65</v>
      </c>
      <c r="H123" s="3"/>
      <c r="I123" s="3"/>
      <c r="J123" s="3"/>
      <c r="K123" s="3"/>
      <c r="L123" s="3">
        <f t="shared" si="6"/>
        <v>0</v>
      </c>
      <c r="M123" s="3">
        <f t="shared" si="7"/>
        <v>0</v>
      </c>
      <c r="N123" s="3"/>
      <c r="O123" s="3"/>
      <c r="P123" s="3"/>
      <c r="Q123" s="3"/>
      <c r="R123" s="3"/>
    </row>
    <row r="124" spans="1:18" x14ac:dyDescent="0.25">
      <c r="A124" s="2">
        <v>46189</v>
      </c>
      <c r="B124" s="2" t="s">
        <v>48</v>
      </c>
      <c r="C124" s="3" t="s">
        <v>84</v>
      </c>
      <c r="D124" s="11" t="s">
        <v>425</v>
      </c>
      <c r="E124" s="3">
        <v>98</v>
      </c>
      <c r="F124" s="3" t="s">
        <v>172</v>
      </c>
      <c r="G124" s="4">
        <f>IF(F124="NO TAX",E124,E124+F124)</f>
        <v>98</v>
      </c>
      <c r="H124" s="3"/>
      <c r="I124" s="3"/>
      <c r="J124" s="3"/>
      <c r="K124" s="3"/>
      <c r="L124" s="3">
        <f t="shared" si="6"/>
        <v>0</v>
      </c>
      <c r="M124" s="3">
        <f t="shared" si="7"/>
        <v>0</v>
      </c>
      <c r="N124" s="3"/>
      <c r="O124" s="3"/>
      <c r="P124" s="3"/>
      <c r="Q124" s="3"/>
      <c r="R124" s="3"/>
    </row>
    <row r="125" spans="1:18" x14ac:dyDescent="0.25">
      <c r="A125" s="2">
        <v>46189</v>
      </c>
      <c r="B125" s="2" t="s">
        <v>48</v>
      </c>
      <c r="C125" s="3" t="s">
        <v>84</v>
      </c>
      <c r="D125" s="11" t="s">
        <v>426</v>
      </c>
      <c r="E125" s="3">
        <v>35</v>
      </c>
      <c r="F125" s="3" t="s">
        <v>172</v>
      </c>
      <c r="G125" s="4">
        <f>IF(F125="NO TAX",E125,E125+F125)</f>
        <v>35</v>
      </c>
      <c r="H125" s="3"/>
      <c r="I125" s="3"/>
      <c r="J125" s="3"/>
      <c r="K125" s="3"/>
      <c r="L125" s="3">
        <f t="shared" si="6"/>
        <v>0</v>
      </c>
      <c r="M125" s="3">
        <f t="shared" si="7"/>
        <v>0</v>
      </c>
      <c r="N125" s="3"/>
      <c r="O125" s="3"/>
      <c r="P125" s="3"/>
      <c r="Q125" s="3"/>
      <c r="R125" s="3"/>
    </row>
    <row r="126" spans="1:18" x14ac:dyDescent="0.25">
      <c r="A126" s="2">
        <v>46189</v>
      </c>
      <c r="B126" s="2" t="s">
        <v>48</v>
      </c>
      <c r="C126" s="3" t="s">
        <v>92</v>
      </c>
      <c r="D126" s="11" t="s">
        <v>427</v>
      </c>
      <c r="E126" s="3"/>
      <c r="F126" s="3">
        <f t="shared" si="4"/>
        <v>0</v>
      </c>
      <c r="G126" s="4">
        <f t="shared" si="5"/>
        <v>0</v>
      </c>
      <c r="H126" s="3">
        <v>300</v>
      </c>
      <c r="I126" s="3"/>
      <c r="J126" s="3"/>
      <c r="K126" s="3"/>
      <c r="L126" s="3">
        <f t="shared" si="6"/>
        <v>0</v>
      </c>
      <c r="M126" s="3">
        <f t="shared" si="7"/>
        <v>0</v>
      </c>
      <c r="N126" s="3"/>
      <c r="O126" s="3"/>
      <c r="P126" s="3"/>
      <c r="Q126" s="3"/>
      <c r="R126" s="3"/>
    </row>
    <row r="127" spans="1:18" x14ac:dyDescent="0.25">
      <c r="A127" s="2">
        <v>46189</v>
      </c>
      <c r="B127" s="2" t="s">
        <v>48</v>
      </c>
      <c r="C127" s="3" t="s">
        <v>49</v>
      </c>
      <c r="D127" s="11" t="s">
        <v>428</v>
      </c>
      <c r="E127" s="3">
        <f>703.5/1.05</f>
        <v>670</v>
      </c>
      <c r="F127" s="3">
        <f t="shared" si="4"/>
        <v>33.5</v>
      </c>
      <c r="G127" s="4">
        <f t="shared" si="5"/>
        <v>703.5</v>
      </c>
      <c r="H127" s="3"/>
      <c r="I127" s="3"/>
      <c r="J127" s="3"/>
      <c r="K127" s="3"/>
      <c r="L127" s="3">
        <f t="shared" si="6"/>
        <v>0</v>
      </c>
      <c r="M127" s="3">
        <f t="shared" si="7"/>
        <v>0</v>
      </c>
      <c r="N127" s="3"/>
      <c r="O127" s="3"/>
      <c r="P127" s="3"/>
      <c r="Q127" s="3"/>
      <c r="R127" s="3"/>
    </row>
    <row r="128" spans="1:18" x14ac:dyDescent="0.25">
      <c r="A128" s="2">
        <v>46189</v>
      </c>
      <c r="B128" s="2" t="s">
        <v>48</v>
      </c>
      <c r="C128" s="3" t="s">
        <v>92</v>
      </c>
      <c r="D128" s="11" t="s">
        <v>429</v>
      </c>
      <c r="E128" s="3"/>
      <c r="F128" s="3">
        <f t="shared" si="4"/>
        <v>0</v>
      </c>
      <c r="G128" s="4">
        <f t="shared" si="5"/>
        <v>0</v>
      </c>
      <c r="H128" s="3">
        <v>1500</v>
      </c>
      <c r="I128" s="3"/>
      <c r="J128" s="3"/>
      <c r="K128" s="3"/>
      <c r="L128" s="3">
        <f t="shared" si="6"/>
        <v>0</v>
      </c>
      <c r="M128" s="3">
        <f t="shared" si="7"/>
        <v>0</v>
      </c>
      <c r="N128" s="3"/>
      <c r="O128" s="3"/>
      <c r="P128" s="3"/>
      <c r="Q128" s="3"/>
      <c r="R128" s="3"/>
    </row>
    <row r="129" spans="1:18" x14ac:dyDescent="0.25">
      <c r="A129" s="2">
        <v>46189</v>
      </c>
      <c r="B129" s="2" t="s">
        <v>48</v>
      </c>
      <c r="C129" s="3" t="s">
        <v>92</v>
      </c>
      <c r="D129" s="11" t="s">
        <v>430</v>
      </c>
      <c r="E129" s="3"/>
      <c r="F129" s="3">
        <f t="shared" si="4"/>
        <v>0</v>
      </c>
      <c r="G129" s="4">
        <f t="shared" si="5"/>
        <v>0</v>
      </c>
      <c r="H129" s="3">
        <v>1500</v>
      </c>
      <c r="I129" s="3"/>
      <c r="J129" s="3"/>
      <c r="K129" s="3"/>
      <c r="L129" s="3">
        <f t="shared" si="6"/>
        <v>0</v>
      </c>
      <c r="M129" s="3">
        <f t="shared" si="7"/>
        <v>0</v>
      </c>
      <c r="N129" s="3"/>
      <c r="O129" s="3"/>
      <c r="P129" s="3"/>
      <c r="Q129" s="3"/>
      <c r="R129" s="3"/>
    </row>
    <row r="130" spans="1:18" x14ac:dyDescent="0.25">
      <c r="A130" s="2">
        <v>46189</v>
      </c>
      <c r="B130" s="2" t="s">
        <v>48</v>
      </c>
      <c r="C130" s="3" t="s">
        <v>82</v>
      </c>
      <c r="D130" s="11" t="s">
        <v>431</v>
      </c>
      <c r="E130" s="3">
        <v>700</v>
      </c>
      <c r="F130" s="3" t="s">
        <v>172</v>
      </c>
      <c r="G130" s="4">
        <f t="shared" si="5"/>
        <v>700</v>
      </c>
      <c r="H130" s="3"/>
      <c r="I130" s="3"/>
      <c r="J130" s="3"/>
      <c r="K130" s="3"/>
      <c r="L130" s="3">
        <f t="shared" si="6"/>
        <v>0</v>
      </c>
      <c r="M130" s="3">
        <f t="shared" si="7"/>
        <v>0</v>
      </c>
      <c r="N130" s="3"/>
      <c r="O130" s="3"/>
      <c r="P130" s="3"/>
      <c r="Q130" s="3"/>
      <c r="R130" s="3"/>
    </row>
    <row r="131" spans="1:18" x14ac:dyDescent="0.25">
      <c r="A131" s="2">
        <v>46189</v>
      </c>
      <c r="B131" s="2" t="s">
        <v>48</v>
      </c>
      <c r="C131" s="3" t="s">
        <v>49</v>
      </c>
      <c r="D131" s="11" t="s">
        <v>432</v>
      </c>
      <c r="E131" s="3">
        <v>19.5</v>
      </c>
      <c r="F131" s="3" t="s">
        <v>172</v>
      </c>
      <c r="G131" s="4">
        <f t="shared" ref="G131:G194" si="8">IF(F131="NO TAX",E131,E131+F131)</f>
        <v>19.5</v>
      </c>
      <c r="H131" s="3"/>
      <c r="I131" s="3"/>
      <c r="J131" s="3"/>
      <c r="K131" s="3"/>
      <c r="L131" s="3">
        <f t="shared" ref="L131:L194" si="9">K131*5%</f>
        <v>0</v>
      </c>
      <c r="M131" s="3">
        <f t="shared" ref="M131:M194" si="10">IF(L131="NO TAX",K131,K131+L131)</f>
        <v>0</v>
      </c>
      <c r="N131" s="3"/>
      <c r="O131" s="3"/>
      <c r="P131" s="3"/>
      <c r="Q131" s="3"/>
      <c r="R131" s="3"/>
    </row>
    <row r="132" spans="1:18" x14ac:dyDescent="0.25">
      <c r="A132" s="2">
        <v>46189</v>
      </c>
      <c r="B132" s="2" t="s">
        <v>48</v>
      </c>
      <c r="C132" s="3" t="s">
        <v>71</v>
      </c>
      <c r="D132" s="11" t="s">
        <v>433</v>
      </c>
      <c r="E132" s="3">
        <v>147.62</v>
      </c>
      <c r="F132" s="3">
        <f t="shared" ref="F132:F193" si="11">E132*5%</f>
        <v>7.3810000000000002</v>
      </c>
      <c r="G132" s="4">
        <f t="shared" si="8"/>
        <v>155.001</v>
      </c>
      <c r="H132" s="3"/>
      <c r="I132" s="3"/>
      <c r="J132" s="3"/>
      <c r="K132" s="3"/>
      <c r="L132" s="3">
        <f t="shared" si="9"/>
        <v>0</v>
      </c>
      <c r="M132" s="3">
        <f t="shared" si="10"/>
        <v>0</v>
      </c>
      <c r="N132" s="3"/>
      <c r="O132" s="3"/>
      <c r="P132" s="3"/>
      <c r="Q132" s="3"/>
      <c r="R132" s="3"/>
    </row>
    <row r="133" spans="1:18" x14ac:dyDescent="0.25">
      <c r="A133" s="2">
        <v>46189</v>
      </c>
      <c r="B133" s="2" t="s">
        <v>48</v>
      </c>
      <c r="C133" s="3" t="s">
        <v>73</v>
      </c>
      <c r="D133" s="11" t="s">
        <v>434</v>
      </c>
      <c r="E133" s="3">
        <v>386</v>
      </c>
      <c r="F133" s="3" t="s">
        <v>172</v>
      </c>
      <c r="G133" s="4">
        <f t="shared" si="8"/>
        <v>386</v>
      </c>
      <c r="H133" s="3"/>
      <c r="I133" s="3"/>
      <c r="J133" s="3"/>
      <c r="K133" s="3"/>
      <c r="L133" s="3">
        <f t="shared" si="9"/>
        <v>0</v>
      </c>
      <c r="M133" s="3">
        <f t="shared" si="10"/>
        <v>0</v>
      </c>
      <c r="N133" s="3"/>
      <c r="O133" s="3"/>
      <c r="P133" s="3"/>
      <c r="Q133" s="3"/>
      <c r="R133" s="3"/>
    </row>
    <row r="134" spans="1:18" x14ac:dyDescent="0.25">
      <c r="A134" s="2">
        <v>46189</v>
      </c>
      <c r="B134" s="2" t="s">
        <v>48</v>
      </c>
      <c r="C134" s="3" t="s">
        <v>49</v>
      </c>
      <c r="D134" s="11" t="s">
        <v>435</v>
      </c>
      <c r="E134" s="3">
        <v>40</v>
      </c>
      <c r="F134" s="3">
        <f t="shared" si="11"/>
        <v>2</v>
      </c>
      <c r="G134" s="4">
        <f t="shared" si="8"/>
        <v>42</v>
      </c>
      <c r="H134" s="3"/>
      <c r="I134" s="3"/>
      <c r="J134" s="3"/>
      <c r="K134" s="3"/>
      <c r="L134" s="3">
        <f t="shared" si="9"/>
        <v>0</v>
      </c>
      <c r="M134" s="3">
        <f t="shared" si="10"/>
        <v>0</v>
      </c>
      <c r="N134" s="3"/>
      <c r="O134" s="3"/>
      <c r="P134" s="3"/>
      <c r="Q134" s="3"/>
      <c r="R134" s="3"/>
    </row>
    <row r="135" spans="1:18" x14ac:dyDescent="0.25">
      <c r="A135" s="2">
        <v>46189</v>
      </c>
      <c r="B135" s="2" t="s">
        <v>48</v>
      </c>
      <c r="C135" s="3" t="s">
        <v>49</v>
      </c>
      <c r="D135" s="11" t="s">
        <v>436</v>
      </c>
      <c r="E135" s="3">
        <v>80</v>
      </c>
      <c r="F135" s="3">
        <f t="shared" si="11"/>
        <v>4</v>
      </c>
      <c r="G135" s="4">
        <f t="shared" si="8"/>
        <v>84</v>
      </c>
      <c r="H135" s="3"/>
      <c r="I135" s="3"/>
      <c r="J135" s="3"/>
      <c r="K135" s="3"/>
      <c r="L135" s="3">
        <f t="shared" si="9"/>
        <v>0</v>
      </c>
      <c r="M135" s="3">
        <f t="shared" si="10"/>
        <v>0</v>
      </c>
      <c r="N135" s="3"/>
      <c r="O135" s="3"/>
      <c r="P135" s="3"/>
      <c r="Q135" s="3"/>
      <c r="R135" s="3"/>
    </row>
    <row r="136" spans="1:18" x14ac:dyDescent="0.25">
      <c r="A136" s="2">
        <v>46189</v>
      </c>
      <c r="B136" s="2" t="s">
        <v>48</v>
      </c>
      <c r="C136" s="3" t="s">
        <v>73</v>
      </c>
      <c r="D136" s="11" t="s">
        <v>437</v>
      </c>
      <c r="E136" s="3">
        <v>14</v>
      </c>
      <c r="F136" s="3" t="s">
        <v>172</v>
      </c>
      <c r="G136" s="4">
        <f t="shared" si="8"/>
        <v>14</v>
      </c>
      <c r="H136" s="3"/>
      <c r="I136" s="3"/>
      <c r="J136" s="3"/>
      <c r="K136" s="3"/>
      <c r="L136" s="3">
        <f t="shared" si="9"/>
        <v>0</v>
      </c>
      <c r="M136" s="3">
        <f t="shared" si="10"/>
        <v>0</v>
      </c>
      <c r="N136" s="3"/>
      <c r="O136" s="3"/>
      <c r="P136" s="3"/>
      <c r="Q136" s="3"/>
      <c r="R136" s="3"/>
    </row>
    <row r="137" spans="1:18" x14ac:dyDescent="0.25">
      <c r="A137" s="2">
        <v>46190</v>
      </c>
      <c r="B137" s="2" t="s">
        <v>48</v>
      </c>
      <c r="C137" s="3" t="s">
        <v>51</v>
      </c>
      <c r="D137" s="11" t="s">
        <v>438</v>
      </c>
      <c r="E137" s="3">
        <v>3512</v>
      </c>
      <c r="F137" s="3">
        <f t="shared" si="11"/>
        <v>175.60000000000002</v>
      </c>
      <c r="G137" s="4">
        <f t="shared" si="8"/>
        <v>3687.6</v>
      </c>
      <c r="H137" s="3"/>
      <c r="I137" s="3"/>
      <c r="J137" s="3"/>
      <c r="K137" s="3"/>
      <c r="L137" s="3">
        <f t="shared" si="9"/>
        <v>0</v>
      </c>
      <c r="M137" s="3">
        <f t="shared" si="10"/>
        <v>0</v>
      </c>
      <c r="N137" s="3"/>
      <c r="O137" s="3"/>
      <c r="P137" s="3"/>
      <c r="Q137" s="3"/>
      <c r="R137" s="3"/>
    </row>
    <row r="138" spans="1:18" x14ac:dyDescent="0.25">
      <c r="A138" s="2">
        <v>46190</v>
      </c>
      <c r="B138" s="2" t="s">
        <v>286</v>
      </c>
      <c r="C138" s="3" t="s">
        <v>65</v>
      </c>
      <c r="D138" s="11" t="s">
        <v>439</v>
      </c>
      <c r="E138" s="3">
        <v>6000</v>
      </c>
      <c r="F138" s="3" t="s">
        <v>172</v>
      </c>
      <c r="G138" s="4">
        <f t="shared" si="8"/>
        <v>6000</v>
      </c>
      <c r="H138" s="3"/>
      <c r="I138" s="3"/>
      <c r="J138" s="3"/>
      <c r="K138" s="3"/>
      <c r="L138" s="3">
        <f t="shared" si="9"/>
        <v>0</v>
      </c>
      <c r="M138" s="3">
        <f t="shared" si="10"/>
        <v>0</v>
      </c>
      <c r="N138" s="3"/>
      <c r="O138" s="3"/>
      <c r="P138" s="3"/>
      <c r="Q138" s="3"/>
      <c r="R138" s="3"/>
    </row>
    <row r="139" spans="1:18" x14ac:dyDescent="0.25">
      <c r="A139" s="2">
        <v>46190</v>
      </c>
      <c r="B139" s="2" t="s">
        <v>48</v>
      </c>
      <c r="C139" s="3" t="s">
        <v>84</v>
      </c>
      <c r="D139" s="11" t="s">
        <v>440</v>
      </c>
      <c r="E139" s="3">
        <v>250</v>
      </c>
      <c r="F139" s="3" t="s">
        <v>172</v>
      </c>
      <c r="G139" s="4">
        <f t="shared" si="8"/>
        <v>250</v>
      </c>
      <c r="H139" s="3"/>
      <c r="I139" s="3"/>
      <c r="J139" s="3"/>
      <c r="K139" s="3"/>
      <c r="L139" s="3">
        <f t="shared" si="9"/>
        <v>0</v>
      </c>
      <c r="M139" s="3">
        <f t="shared" si="10"/>
        <v>0</v>
      </c>
      <c r="N139" s="3"/>
      <c r="O139" s="3"/>
      <c r="P139" s="3"/>
      <c r="Q139" s="3"/>
      <c r="R139" s="3"/>
    </row>
    <row r="140" spans="1:18" x14ac:dyDescent="0.25">
      <c r="A140" s="2">
        <v>46190</v>
      </c>
      <c r="B140" s="2" t="s">
        <v>48</v>
      </c>
      <c r="C140" s="3" t="s">
        <v>92</v>
      </c>
      <c r="D140" s="11" t="s">
        <v>441</v>
      </c>
      <c r="E140" s="3"/>
      <c r="F140" s="3">
        <f t="shared" si="11"/>
        <v>0</v>
      </c>
      <c r="G140" s="4">
        <f t="shared" si="8"/>
        <v>0</v>
      </c>
      <c r="H140" s="3">
        <v>100</v>
      </c>
      <c r="I140" s="3"/>
      <c r="J140" s="3"/>
      <c r="K140" s="3"/>
      <c r="L140" s="3">
        <f t="shared" si="9"/>
        <v>0</v>
      </c>
      <c r="M140" s="3">
        <f t="shared" si="10"/>
        <v>0</v>
      </c>
      <c r="N140" s="3"/>
      <c r="O140" s="3"/>
      <c r="P140" s="3"/>
      <c r="Q140" s="3"/>
      <c r="R140" s="3"/>
    </row>
    <row r="141" spans="1:18" x14ac:dyDescent="0.25">
      <c r="A141" s="2">
        <v>46190</v>
      </c>
      <c r="B141" s="2" t="s">
        <v>48</v>
      </c>
      <c r="C141" s="3" t="s">
        <v>74</v>
      </c>
      <c r="D141" s="11" t="s">
        <v>442</v>
      </c>
      <c r="E141" s="3">
        <v>2354</v>
      </c>
      <c r="F141" s="3" t="s">
        <v>172</v>
      </c>
      <c r="G141" s="4">
        <f t="shared" si="8"/>
        <v>2354</v>
      </c>
      <c r="H141" s="3"/>
      <c r="I141" s="3"/>
      <c r="J141" s="3"/>
      <c r="K141" s="3"/>
      <c r="L141" s="3">
        <f t="shared" si="9"/>
        <v>0</v>
      </c>
      <c r="M141" s="3">
        <f t="shared" si="10"/>
        <v>0</v>
      </c>
      <c r="N141" s="3"/>
      <c r="O141" s="3"/>
      <c r="P141" s="3"/>
      <c r="Q141" s="3"/>
      <c r="R141" s="3"/>
    </row>
    <row r="142" spans="1:18" x14ac:dyDescent="0.25">
      <c r="A142" s="2">
        <v>46190</v>
      </c>
      <c r="B142" s="2" t="s">
        <v>48</v>
      </c>
      <c r="C142" s="3" t="s">
        <v>73</v>
      </c>
      <c r="D142" s="11" t="s">
        <v>443</v>
      </c>
      <c r="E142" s="3">
        <v>60</v>
      </c>
      <c r="F142" s="3" t="s">
        <v>172</v>
      </c>
      <c r="G142" s="4">
        <f t="shared" si="8"/>
        <v>60</v>
      </c>
      <c r="H142" s="3"/>
      <c r="I142" s="3"/>
      <c r="J142" s="3"/>
      <c r="K142" s="3"/>
      <c r="L142" s="3">
        <f t="shared" si="9"/>
        <v>0</v>
      </c>
      <c r="M142" s="3">
        <f t="shared" si="10"/>
        <v>0</v>
      </c>
      <c r="N142" s="3"/>
      <c r="O142" s="3"/>
      <c r="P142" s="3"/>
      <c r="Q142" s="3"/>
      <c r="R142" s="3"/>
    </row>
    <row r="143" spans="1:18" x14ac:dyDescent="0.25">
      <c r="A143" s="2">
        <v>46190</v>
      </c>
      <c r="B143" s="2" t="s">
        <v>48</v>
      </c>
      <c r="C143" s="3" t="s">
        <v>73</v>
      </c>
      <c r="D143" s="11" t="s">
        <v>444</v>
      </c>
      <c r="E143" s="3">
        <v>60</v>
      </c>
      <c r="F143" s="3" t="s">
        <v>172</v>
      </c>
      <c r="G143" s="4">
        <f t="shared" si="8"/>
        <v>60</v>
      </c>
      <c r="H143" s="3"/>
      <c r="I143" s="3"/>
      <c r="J143" s="3"/>
      <c r="K143" s="3"/>
      <c r="L143" s="3">
        <f t="shared" si="9"/>
        <v>0</v>
      </c>
      <c r="M143" s="3">
        <f t="shared" si="10"/>
        <v>0</v>
      </c>
      <c r="N143" s="3"/>
      <c r="O143" s="3"/>
      <c r="P143" s="3"/>
      <c r="Q143" s="3"/>
      <c r="R143" s="3"/>
    </row>
    <row r="144" spans="1:18" x14ac:dyDescent="0.25">
      <c r="A144" s="2">
        <v>46190</v>
      </c>
      <c r="B144" s="2" t="s">
        <v>48</v>
      </c>
      <c r="C144" s="3" t="s">
        <v>49</v>
      </c>
      <c r="D144" s="11" t="s">
        <v>445</v>
      </c>
      <c r="E144" s="3"/>
      <c r="F144" s="3">
        <f t="shared" si="11"/>
        <v>0</v>
      </c>
      <c r="G144" s="4">
        <f t="shared" si="8"/>
        <v>0</v>
      </c>
      <c r="H144" s="3"/>
      <c r="I144" s="3"/>
      <c r="J144" s="3"/>
      <c r="K144" s="3"/>
      <c r="L144" s="3">
        <f t="shared" si="9"/>
        <v>0</v>
      </c>
      <c r="M144" s="3">
        <f t="shared" si="10"/>
        <v>0</v>
      </c>
      <c r="N144" s="3">
        <v>240</v>
      </c>
      <c r="O144" s="3"/>
      <c r="P144" s="3"/>
      <c r="Q144" s="3"/>
      <c r="R144" s="3"/>
    </row>
    <row r="145" spans="1:18" x14ac:dyDescent="0.25">
      <c r="A145" s="2">
        <v>46190</v>
      </c>
      <c r="B145" s="2" t="s">
        <v>48</v>
      </c>
      <c r="C145" s="3" t="s">
        <v>92</v>
      </c>
      <c r="D145" s="11" t="s">
        <v>446</v>
      </c>
      <c r="E145" s="3"/>
      <c r="F145" s="3">
        <f t="shared" si="11"/>
        <v>0</v>
      </c>
      <c r="G145" s="4">
        <f t="shared" si="8"/>
        <v>0</v>
      </c>
      <c r="H145" s="3">
        <v>5000</v>
      </c>
      <c r="I145" s="3"/>
      <c r="J145" s="3"/>
      <c r="K145" s="3"/>
      <c r="L145" s="3">
        <f t="shared" si="9"/>
        <v>0</v>
      </c>
      <c r="M145" s="3">
        <f t="shared" si="10"/>
        <v>0</v>
      </c>
      <c r="N145" s="3"/>
      <c r="O145" s="3"/>
      <c r="P145" s="3"/>
      <c r="Q145" s="3"/>
      <c r="R145" s="3"/>
    </row>
    <row r="146" spans="1:18" x14ac:dyDescent="0.25">
      <c r="A146" s="2">
        <v>46190</v>
      </c>
      <c r="B146" s="2" t="s">
        <v>292</v>
      </c>
      <c r="C146" s="3" t="s">
        <v>68</v>
      </c>
      <c r="D146" s="11" t="s">
        <v>447</v>
      </c>
      <c r="E146" s="3">
        <v>541</v>
      </c>
      <c r="F146" s="3" t="s">
        <v>172</v>
      </c>
      <c r="G146" s="4">
        <f t="shared" si="8"/>
        <v>541</v>
      </c>
      <c r="H146" s="3"/>
      <c r="I146" s="3"/>
      <c r="J146" s="3"/>
      <c r="K146" s="3"/>
      <c r="L146" s="3">
        <f t="shared" si="9"/>
        <v>0</v>
      </c>
      <c r="M146" s="3">
        <f t="shared" si="10"/>
        <v>0</v>
      </c>
      <c r="N146" s="3"/>
      <c r="O146" s="3"/>
      <c r="P146" s="3"/>
      <c r="Q146" s="3"/>
      <c r="R146" s="3"/>
    </row>
    <row r="147" spans="1:18" x14ac:dyDescent="0.25">
      <c r="A147" s="2">
        <v>46191</v>
      </c>
      <c r="B147" s="2" t="s">
        <v>48</v>
      </c>
      <c r="C147" s="3" t="s">
        <v>93</v>
      </c>
      <c r="D147" s="11" t="s">
        <v>448</v>
      </c>
      <c r="E147" s="3">
        <v>1500</v>
      </c>
      <c r="F147" s="3" t="s">
        <v>172</v>
      </c>
      <c r="G147" s="4">
        <f t="shared" si="8"/>
        <v>1500</v>
      </c>
      <c r="H147" s="3"/>
      <c r="I147" s="3"/>
      <c r="J147" s="3"/>
      <c r="K147" s="3"/>
      <c r="L147" s="3">
        <f t="shared" si="9"/>
        <v>0</v>
      </c>
      <c r="M147" s="3">
        <f t="shared" si="10"/>
        <v>0</v>
      </c>
      <c r="N147" s="3"/>
      <c r="O147" s="3"/>
      <c r="P147" s="3"/>
      <c r="Q147" s="3"/>
      <c r="R147" s="3"/>
    </row>
    <row r="148" spans="1:18" x14ac:dyDescent="0.25">
      <c r="A148" s="2">
        <v>46191</v>
      </c>
      <c r="B148" s="2" t="s">
        <v>48</v>
      </c>
      <c r="C148" s="3" t="s">
        <v>49</v>
      </c>
      <c r="D148" s="11" t="s">
        <v>449</v>
      </c>
      <c r="E148" s="3">
        <v>200</v>
      </c>
      <c r="F148" s="3">
        <f t="shared" si="11"/>
        <v>10</v>
      </c>
      <c r="G148" s="4">
        <f t="shared" si="8"/>
        <v>210</v>
      </c>
      <c r="H148" s="3"/>
      <c r="I148" s="3"/>
      <c r="J148" s="3"/>
      <c r="K148" s="3"/>
      <c r="L148" s="3">
        <f t="shared" si="9"/>
        <v>0</v>
      </c>
      <c r="M148" s="3">
        <f t="shared" si="10"/>
        <v>0</v>
      </c>
      <c r="N148" s="3"/>
      <c r="O148" s="3"/>
      <c r="P148" s="3"/>
      <c r="Q148" s="3"/>
      <c r="R148" s="3"/>
    </row>
    <row r="149" spans="1:18" x14ac:dyDescent="0.25">
      <c r="A149" s="2">
        <v>46191</v>
      </c>
      <c r="B149" s="2" t="s">
        <v>48</v>
      </c>
      <c r="C149" s="3" t="s">
        <v>49</v>
      </c>
      <c r="D149" s="11" t="s">
        <v>450</v>
      </c>
      <c r="E149" s="3">
        <v>570</v>
      </c>
      <c r="F149" s="3">
        <f t="shared" si="11"/>
        <v>28.5</v>
      </c>
      <c r="G149" s="4">
        <f t="shared" si="8"/>
        <v>598.5</v>
      </c>
      <c r="H149" s="3"/>
      <c r="I149" s="3"/>
      <c r="J149" s="3"/>
      <c r="K149" s="3"/>
      <c r="L149" s="3">
        <f t="shared" si="9"/>
        <v>0</v>
      </c>
      <c r="M149" s="3">
        <f t="shared" si="10"/>
        <v>0</v>
      </c>
      <c r="N149" s="3"/>
      <c r="O149" s="3"/>
      <c r="P149" s="3"/>
      <c r="Q149" s="3"/>
      <c r="R149" s="3"/>
    </row>
    <row r="150" spans="1:18" x14ac:dyDescent="0.25">
      <c r="A150" s="2">
        <v>46191</v>
      </c>
      <c r="B150" s="2" t="s">
        <v>48</v>
      </c>
      <c r="C150" s="3" t="s">
        <v>49</v>
      </c>
      <c r="D150" s="11" t="s">
        <v>451</v>
      </c>
      <c r="E150" s="3">
        <v>40</v>
      </c>
      <c r="F150" s="3" t="s">
        <v>172</v>
      </c>
      <c r="G150" s="4">
        <f t="shared" si="8"/>
        <v>40</v>
      </c>
      <c r="H150" s="3"/>
      <c r="I150" s="3"/>
      <c r="J150" s="3"/>
      <c r="K150" s="3"/>
      <c r="L150" s="3">
        <f t="shared" si="9"/>
        <v>0</v>
      </c>
      <c r="M150" s="3">
        <f t="shared" si="10"/>
        <v>0</v>
      </c>
      <c r="N150" s="3"/>
      <c r="O150" s="3"/>
      <c r="P150" s="3"/>
      <c r="Q150" s="3"/>
      <c r="R150" s="3"/>
    </row>
    <row r="151" spans="1:18" x14ac:dyDescent="0.25">
      <c r="A151" s="2">
        <v>46191</v>
      </c>
      <c r="B151" s="2" t="s">
        <v>48</v>
      </c>
      <c r="C151" s="3" t="s">
        <v>92</v>
      </c>
      <c r="D151" s="11" t="s">
        <v>452</v>
      </c>
      <c r="E151" s="3"/>
      <c r="F151" s="3">
        <f t="shared" si="11"/>
        <v>0</v>
      </c>
      <c r="G151" s="4">
        <f t="shared" si="8"/>
        <v>0</v>
      </c>
      <c r="H151" s="3">
        <v>200</v>
      </c>
      <c r="I151" s="3"/>
      <c r="J151" s="3"/>
      <c r="K151" s="3"/>
      <c r="L151" s="3">
        <f t="shared" si="9"/>
        <v>0</v>
      </c>
      <c r="M151" s="3">
        <f t="shared" si="10"/>
        <v>0</v>
      </c>
      <c r="N151" s="3"/>
      <c r="O151" s="3"/>
      <c r="P151" s="3"/>
      <c r="Q151" s="3"/>
      <c r="R151" s="3"/>
    </row>
    <row r="152" spans="1:18" x14ac:dyDescent="0.25">
      <c r="A152" s="2">
        <v>46191</v>
      </c>
      <c r="B152" s="2" t="s">
        <v>48</v>
      </c>
      <c r="C152" s="3" t="s">
        <v>92</v>
      </c>
      <c r="D152" s="11" t="s">
        <v>453</v>
      </c>
      <c r="E152" s="3"/>
      <c r="F152" s="3">
        <f t="shared" si="11"/>
        <v>0</v>
      </c>
      <c r="G152" s="4">
        <f t="shared" si="8"/>
        <v>0</v>
      </c>
      <c r="H152" s="3">
        <v>100</v>
      </c>
      <c r="I152" s="3"/>
      <c r="J152" s="3"/>
      <c r="K152" s="3"/>
      <c r="L152" s="3">
        <f t="shared" si="9"/>
        <v>0</v>
      </c>
      <c r="M152" s="3">
        <f t="shared" si="10"/>
        <v>0</v>
      </c>
      <c r="N152" s="3"/>
      <c r="O152" s="3"/>
      <c r="P152" s="3"/>
      <c r="Q152" s="3"/>
      <c r="R152" s="3"/>
    </row>
    <row r="153" spans="1:18" x14ac:dyDescent="0.25">
      <c r="A153" s="2">
        <v>46191</v>
      </c>
      <c r="B153" s="2" t="s">
        <v>48</v>
      </c>
      <c r="C153" s="3" t="s">
        <v>76</v>
      </c>
      <c r="D153" s="11" t="s">
        <v>454</v>
      </c>
      <c r="E153" s="3">
        <v>15</v>
      </c>
      <c r="F153" s="3" t="s">
        <v>172</v>
      </c>
      <c r="G153" s="4">
        <f t="shared" si="8"/>
        <v>15</v>
      </c>
      <c r="H153" s="3"/>
      <c r="I153" s="3"/>
      <c r="J153" s="3"/>
      <c r="K153" s="3"/>
      <c r="L153" s="3">
        <f t="shared" si="9"/>
        <v>0</v>
      </c>
      <c r="M153" s="3">
        <f t="shared" si="10"/>
        <v>0</v>
      </c>
      <c r="N153" s="3"/>
      <c r="O153" s="3"/>
      <c r="P153" s="3"/>
      <c r="Q153" s="3"/>
      <c r="R153" s="3"/>
    </row>
    <row r="154" spans="1:18" x14ac:dyDescent="0.25">
      <c r="A154" s="2">
        <v>46191</v>
      </c>
      <c r="B154" s="2" t="s">
        <v>48</v>
      </c>
      <c r="C154" s="3" t="s">
        <v>76</v>
      </c>
      <c r="D154" s="11" t="s">
        <v>455</v>
      </c>
      <c r="E154" s="3">
        <v>96</v>
      </c>
      <c r="F154" s="3" t="s">
        <v>172</v>
      </c>
      <c r="G154" s="4">
        <f t="shared" si="8"/>
        <v>96</v>
      </c>
      <c r="H154" s="3"/>
      <c r="I154" s="3"/>
      <c r="J154" s="3"/>
      <c r="K154" s="3"/>
      <c r="L154" s="3">
        <f t="shared" si="9"/>
        <v>0</v>
      </c>
      <c r="M154" s="3">
        <f t="shared" si="10"/>
        <v>0</v>
      </c>
      <c r="N154" s="3"/>
      <c r="O154" s="3"/>
      <c r="P154" s="3"/>
      <c r="Q154" s="3"/>
      <c r="R154" s="3"/>
    </row>
    <row r="155" spans="1:18" x14ac:dyDescent="0.25">
      <c r="A155" s="2">
        <v>46191</v>
      </c>
      <c r="B155" s="2" t="s">
        <v>48</v>
      </c>
      <c r="C155" s="3" t="s">
        <v>92</v>
      </c>
      <c r="D155" s="11" t="s">
        <v>456</v>
      </c>
      <c r="E155" s="3"/>
      <c r="F155" s="3">
        <f t="shared" si="11"/>
        <v>0</v>
      </c>
      <c r="G155" s="4">
        <f t="shared" si="8"/>
        <v>0</v>
      </c>
      <c r="H155" s="3">
        <v>200</v>
      </c>
      <c r="I155" s="3"/>
      <c r="J155" s="3"/>
      <c r="K155" s="3"/>
      <c r="L155" s="3">
        <f t="shared" si="9"/>
        <v>0</v>
      </c>
      <c r="M155" s="3">
        <f t="shared" si="10"/>
        <v>0</v>
      </c>
      <c r="N155" s="3"/>
      <c r="O155" s="3"/>
      <c r="P155" s="3"/>
      <c r="Q155" s="3"/>
      <c r="R155" s="3"/>
    </row>
    <row r="156" spans="1:18" x14ac:dyDescent="0.25">
      <c r="A156" s="2">
        <v>46191</v>
      </c>
      <c r="B156" s="2" t="s">
        <v>285</v>
      </c>
      <c r="C156" s="3" t="s">
        <v>88</v>
      </c>
      <c r="D156" s="11" t="s">
        <v>457</v>
      </c>
      <c r="E156" s="3">
        <v>196</v>
      </c>
      <c r="F156" s="3" t="s">
        <v>172</v>
      </c>
      <c r="G156" s="4">
        <f t="shared" si="8"/>
        <v>196</v>
      </c>
      <c r="H156" s="3"/>
      <c r="I156" s="3"/>
      <c r="J156" s="3"/>
      <c r="K156" s="3"/>
      <c r="L156" s="3">
        <f t="shared" si="9"/>
        <v>0</v>
      </c>
      <c r="M156" s="3">
        <f t="shared" si="10"/>
        <v>0</v>
      </c>
      <c r="N156" s="3"/>
      <c r="O156" s="3"/>
      <c r="P156" s="3"/>
      <c r="Q156" s="3"/>
      <c r="R156" s="3"/>
    </row>
    <row r="157" spans="1:18" x14ac:dyDescent="0.25">
      <c r="A157" s="2">
        <v>46192</v>
      </c>
      <c r="B157" s="2" t="s">
        <v>48</v>
      </c>
      <c r="C157" s="3" t="s">
        <v>73</v>
      </c>
      <c r="D157" s="11" t="s">
        <v>458</v>
      </c>
      <c r="E157" s="3">
        <v>61</v>
      </c>
      <c r="F157" s="3" t="s">
        <v>172</v>
      </c>
      <c r="G157" s="4">
        <f t="shared" si="8"/>
        <v>61</v>
      </c>
      <c r="H157" s="3"/>
      <c r="I157" s="3"/>
      <c r="J157" s="3"/>
      <c r="K157" s="3"/>
      <c r="L157" s="3">
        <f t="shared" si="9"/>
        <v>0</v>
      </c>
      <c r="M157" s="3">
        <f t="shared" si="10"/>
        <v>0</v>
      </c>
      <c r="N157" s="3"/>
      <c r="O157" s="3"/>
      <c r="P157" s="3"/>
      <c r="Q157" s="3"/>
      <c r="R157" s="3"/>
    </row>
    <row r="158" spans="1:18" x14ac:dyDescent="0.25">
      <c r="A158" s="2">
        <v>46192</v>
      </c>
      <c r="B158" s="2" t="s">
        <v>48</v>
      </c>
      <c r="C158" s="3" t="s">
        <v>49</v>
      </c>
      <c r="D158" s="11" t="s">
        <v>459</v>
      </c>
      <c r="E158" s="3">
        <v>220</v>
      </c>
      <c r="F158" s="3">
        <f t="shared" si="11"/>
        <v>11</v>
      </c>
      <c r="G158" s="4">
        <f t="shared" si="8"/>
        <v>231</v>
      </c>
      <c r="H158" s="3"/>
      <c r="I158" s="3"/>
      <c r="J158" s="3"/>
      <c r="K158" s="3"/>
      <c r="L158" s="3">
        <f t="shared" si="9"/>
        <v>0</v>
      </c>
      <c r="M158" s="3">
        <f t="shared" si="10"/>
        <v>0</v>
      </c>
      <c r="N158" s="3"/>
      <c r="O158" s="3"/>
      <c r="P158" s="3"/>
      <c r="Q158" s="3"/>
      <c r="R158" s="3"/>
    </row>
    <row r="159" spans="1:18" x14ac:dyDescent="0.25">
      <c r="A159" s="2">
        <v>46192</v>
      </c>
      <c r="B159" s="2" t="s">
        <v>48</v>
      </c>
      <c r="C159" s="3" t="s">
        <v>64</v>
      </c>
      <c r="D159" s="11" t="s">
        <v>460</v>
      </c>
      <c r="E159" s="3">
        <v>160</v>
      </c>
      <c r="F159" s="3" t="s">
        <v>172</v>
      </c>
      <c r="G159" s="4">
        <f t="shared" si="8"/>
        <v>160</v>
      </c>
      <c r="H159" s="3"/>
      <c r="I159" s="3"/>
      <c r="J159" s="3"/>
      <c r="K159" s="3"/>
      <c r="L159" s="3">
        <f t="shared" si="9"/>
        <v>0</v>
      </c>
      <c r="M159" s="3">
        <f t="shared" si="10"/>
        <v>0</v>
      </c>
      <c r="N159" s="3"/>
      <c r="O159" s="3"/>
      <c r="P159" s="3"/>
      <c r="Q159" s="3"/>
      <c r="R159" s="3"/>
    </row>
    <row r="160" spans="1:18" x14ac:dyDescent="0.25">
      <c r="A160" s="2">
        <v>46192</v>
      </c>
      <c r="B160" s="2" t="s">
        <v>48</v>
      </c>
      <c r="C160" s="3" t="s">
        <v>49</v>
      </c>
      <c r="D160" s="11" t="s">
        <v>461</v>
      </c>
      <c r="E160" s="3">
        <v>30</v>
      </c>
      <c r="F160" s="3">
        <f t="shared" si="11"/>
        <v>1.5</v>
      </c>
      <c r="G160" s="4">
        <f t="shared" si="8"/>
        <v>31.5</v>
      </c>
      <c r="H160" s="3"/>
      <c r="I160" s="3"/>
      <c r="J160" s="3"/>
      <c r="K160" s="3"/>
      <c r="L160" s="3">
        <f t="shared" si="9"/>
        <v>0</v>
      </c>
      <c r="M160" s="3">
        <f t="shared" si="10"/>
        <v>0</v>
      </c>
      <c r="N160" s="3"/>
      <c r="O160" s="3"/>
      <c r="P160" s="3"/>
      <c r="Q160" s="3"/>
      <c r="R160" s="3"/>
    </row>
    <row r="161" spans="1:18" x14ac:dyDescent="0.25">
      <c r="A161" s="2">
        <v>46192</v>
      </c>
      <c r="B161" s="2" t="s">
        <v>48</v>
      </c>
      <c r="C161" s="3" t="s">
        <v>49</v>
      </c>
      <c r="D161" s="11" t="s">
        <v>462</v>
      </c>
      <c r="E161" s="3">
        <v>156</v>
      </c>
      <c r="F161" s="3" t="s">
        <v>172</v>
      </c>
      <c r="G161" s="4">
        <f t="shared" si="8"/>
        <v>156</v>
      </c>
      <c r="H161" s="3"/>
      <c r="I161" s="3"/>
      <c r="J161" s="3"/>
      <c r="K161" s="3"/>
      <c r="L161" s="3">
        <f t="shared" si="9"/>
        <v>0</v>
      </c>
      <c r="M161" s="3">
        <f t="shared" si="10"/>
        <v>0</v>
      </c>
      <c r="N161" s="3"/>
      <c r="O161" s="3"/>
      <c r="P161" s="3"/>
      <c r="Q161" s="3"/>
      <c r="R161" s="3"/>
    </row>
    <row r="162" spans="1:18" x14ac:dyDescent="0.25">
      <c r="A162" s="2">
        <v>46192</v>
      </c>
      <c r="B162" s="2" t="s">
        <v>48</v>
      </c>
      <c r="C162" s="3" t="s">
        <v>73</v>
      </c>
      <c r="D162" s="11" t="s">
        <v>463</v>
      </c>
      <c r="E162" s="3">
        <v>60</v>
      </c>
      <c r="F162" s="3" t="s">
        <v>172</v>
      </c>
      <c r="G162" s="4">
        <f t="shared" si="8"/>
        <v>60</v>
      </c>
      <c r="H162" s="3"/>
      <c r="I162" s="3"/>
      <c r="J162" s="3"/>
      <c r="K162" s="3"/>
      <c r="L162" s="3">
        <f t="shared" si="9"/>
        <v>0</v>
      </c>
      <c r="M162" s="3">
        <f t="shared" si="10"/>
        <v>0</v>
      </c>
      <c r="N162" s="3"/>
      <c r="O162" s="3"/>
      <c r="P162" s="3"/>
      <c r="Q162" s="3"/>
      <c r="R162" s="3"/>
    </row>
    <row r="163" spans="1:18" x14ac:dyDescent="0.25">
      <c r="A163" s="2">
        <v>46192</v>
      </c>
      <c r="B163" s="2" t="s">
        <v>48</v>
      </c>
      <c r="C163" s="3" t="s">
        <v>92</v>
      </c>
      <c r="D163" s="11" t="s">
        <v>464</v>
      </c>
      <c r="E163" s="3"/>
      <c r="F163" s="3">
        <f t="shared" si="11"/>
        <v>0</v>
      </c>
      <c r="G163" s="4">
        <f t="shared" si="8"/>
        <v>0</v>
      </c>
      <c r="H163" s="3">
        <v>1000</v>
      </c>
      <c r="I163" s="3"/>
      <c r="J163" s="3"/>
      <c r="K163" s="3"/>
      <c r="L163" s="3">
        <f t="shared" si="9"/>
        <v>0</v>
      </c>
      <c r="M163" s="3">
        <f t="shared" si="10"/>
        <v>0</v>
      </c>
      <c r="N163" s="3"/>
      <c r="O163" s="3"/>
      <c r="P163" s="3"/>
      <c r="Q163" s="3"/>
      <c r="R163" s="3"/>
    </row>
    <row r="164" spans="1:18" x14ac:dyDescent="0.25">
      <c r="A164" s="2">
        <v>46192</v>
      </c>
      <c r="B164" s="2" t="s">
        <v>285</v>
      </c>
      <c r="C164" s="3" t="s">
        <v>81</v>
      </c>
      <c r="D164" s="11" t="s">
        <v>465</v>
      </c>
      <c r="E164" s="3">
        <v>500</v>
      </c>
      <c r="F164" s="3" t="s">
        <v>172</v>
      </c>
      <c r="G164" s="4">
        <f t="shared" si="8"/>
        <v>500</v>
      </c>
      <c r="H164" s="3"/>
      <c r="I164" s="3"/>
      <c r="J164" s="3"/>
      <c r="K164" s="3"/>
      <c r="L164" s="3">
        <f t="shared" si="9"/>
        <v>0</v>
      </c>
      <c r="M164" s="3">
        <f t="shared" si="10"/>
        <v>0</v>
      </c>
      <c r="N164" s="3"/>
      <c r="O164" s="3"/>
      <c r="P164" s="3"/>
      <c r="Q164" s="3"/>
      <c r="R164" s="3"/>
    </row>
    <row r="165" spans="1:18" x14ac:dyDescent="0.25">
      <c r="A165" s="2">
        <v>46192</v>
      </c>
      <c r="B165" s="2" t="s">
        <v>288</v>
      </c>
      <c r="C165" s="3" t="s">
        <v>88</v>
      </c>
      <c r="D165" s="11" t="s">
        <v>466</v>
      </c>
      <c r="E165" s="3">
        <v>15388</v>
      </c>
      <c r="F165" s="3" t="s">
        <v>172</v>
      </c>
      <c r="G165" s="4">
        <f t="shared" si="8"/>
        <v>15388</v>
      </c>
      <c r="H165" s="3"/>
      <c r="I165" s="3"/>
      <c r="J165" s="3"/>
      <c r="K165" s="3"/>
      <c r="L165" s="3">
        <f t="shared" si="9"/>
        <v>0</v>
      </c>
      <c r="M165" s="3">
        <f t="shared" si="10"/>
        <v>0</v>
      </c>
      <c r="N165" s="3"/>
      <c r="O165" s="3"/>
      <c r="P165" s="3"/>
      <c r="Q165" s="3"/>
      <c r="R165" s="3"/>
    </row>
    <row r="166" spans="1:18" x14ac:dyDescent="0.25">
      <c r="A166" s="2">
        <v>46193</v>
      </c>
      <c r="B166" s="2" t="s">
        <v>48</v>
      </c>
      <c r="C166" s="3" t="s">
        <v>49</v>
      </c>
      <c r="D166" s="11" t="s">
        <v>467</v>
      </c>
      <c r="E166" s="3">
        <v>5520.1</v>
      </c>
      <c r="F166" s="3">
        <f t="shared" si="11"/>
        <v>276.00500000000005</v>
      </c>
      <c r="G166" s="177">
        <f t="shared" si="8"/>
        <v>5796.1050000000005</v>
      </c>
      <c r="H166" s="3"/>
      <c r="I166" s="3"/>
      <c r="J166" s="3"/>
      <c r="K166" s="3"/>
      <c r="L166" s="3">
        <f t="shared" si="9"/>
        <v>0</v>
      </c>
      <c r="M166" s="3">
        <f t="shared" si="10"/>
        <v>0</v>
      </c>
      <c r="N166" s="3"/>
      <c r="O166" s="3"/>
      <c r="P166" s="3"/>
      <c r="Q166" s="3"/>
      <c r="R166" s="3"/>
    </row>
    <row r="167" spans="1:18" x14ac:dyDescent="0.25">
      <c r="A167" s="2">
        <v>46193</v>
      </c>
      <c r="B167" s="2" t="s">
        <v>48</v>
      </c>
      <c r="C167" s="3" t="s">
        <v>92</v>
      </c>
      <c r="D167" s="11" t="s">
        <v>468</v>
      </c>
      <c r="E167" s="3"/>
      <c r="F167" s="3">
        <f t="shared" si="11"/>
        <v>0</v>
      </c>
      <c r="G167" s="4">
        <f t="shared" si="8"/>
        <v>0</v>
      </c>
      <c r="H167" s="3">
        <v>0</v>
      </c>
      <c r="I167" s="3"/>
      <c r="J167" s="3"/>
      <c r="K167" s="3"/>
      <c r="L167" s="3">
        <f t="shared" si="9"/>
        <v>0</v>
      </c>
      <c r="M167" s="3">
        <f t="shared" si="10"/>
        <v>0</v>
      </c>
      <c r="N167" s="3"/>
      <c r="O167" s="3"/>
      <c r="P167" s="3"/>
      <c r="Q167" s="3"/>
      <c r="R167" s="3"/>
    </row>
    <row r="168" spans="1:18" x14ac:dyDescent="0.25">
      <c r="A168" s="2">
        <v>46193</v>
      </c>
      <c r="B168" s="2" t="s">
        <v>48</v>
      </c>
      <c r="C168" s="3" t="s">
        <v>92</v>
      </c>
      <c r="D168" s="11" t="s">
        <v>469</v>
      </c>
      <c r="E168" s="3"/>
      <c r="F168" s="3">
        <f t="shared" si="11"/>
        <v>0</v>
      </c>
      <c r="G168" s="4">
        <f t="shared" si="8"/>
        <v>0</v>
      </c>
      <c r="H168" s="3">
        <v>200</v>
      </c>
      <c r="I168" s="3"/>
      <c r="J168" s="3"/>
      <c r="K168" s="3"/>
      <c r="L168" s="3">
        <f t="shared" si="9"/>
        <v>0</v>
      </c>
      <c r="M168" s="3">
        <f t="shared" si="10"/>
        <v>0</v>
      </c>
      <c r="N168" s="3"/>
      <c r="O168" s="3"/>
      <c r="P168" s="3"/>
      <c r="Q168" s="3"/>
      <c r="R168" s="3"/>
    </row>
    <row r="169" spans="1:18" x14ac:dyDescent="0.25">
      <c r="A169" s="2">
        <v>46193</v>
      </c>
      <c r="B169" s="2" t="s">
        <v>48</v>
      </c>
      <c r="C169" s="3" t="s">
        <v>92</v>
      </c>
      <c r="D169" s="11" t="s">
        <v>470</v>
      </c>
      <c r="E169" s="3"/>
      <c r="F169" s="3">
        <f t="shared" si="11"/>
        <v>0</v>
      </c>
      <c r="G169" s="4">
        <f t="shared" si="8"/>
        <v>0</v>
      </c>
      <c r="H169" s="3">
        <v>500</v>
      </c>
      <c r="I169" s="3"/>
      <c r="J169" s="3"/>
      <c r="K169" s="3"/>
      <c r="L169" s="3">
        <f t="shared" si="9"/>
        <v>0</v>
      </c>
      <c r="M169" s="3">
        <f t="shared" si="10"/>
        <v>0</v>
      </c>
      <c r="N169" s="3"/>
      <c r="O169" s="3"/>
      <c r="P169" s="3"/>
      <c r="Q169" s="3"/>
      <c r="R169" s="3"/>
    </row>
    <row r="170" spans="1:18" x14ac:dyDescent="0.25">
      <c r="A170" s="2">
        <v>46193</v>
      </c>
      <c r="B170" s="2" t="s">
        <v>48</v>
      </c>
      <c r="C170" s="3" t="s">
        <v>90</v>
      </c>
      <c r="D170" s="11" t="s">
        <v>471</v>
      </c>
      <c r="E170" s="3"/>
      <c r="F170" s="3">
        <f t="shared" si="11"/>
        <v>0</v>
      </c>
      <c r="G170" s="4">
        <f t="shared" si="8"/>
        <v>0</v>
      </c>
      <c r="H170" s="3"/>
      <c r="I170" s="3"/>
      <c r="J170" s="3">
        <v>2000</v>
      </c>
      <c r="K170" s="3"/>
      <c r="L170" s="3">
        <f t="shared" si="9"/>
        <v>0</v>
      </c>
      <c r="M170" s="3">
        <f t="shared" si="10"/>
        <v>0</v>
      </c>
      <c r="N170" s="3"/>
      <c r="O170" s="3"/>
      <c r="P170" s="3"/>
      <c r="Q170" s="3"/>
      <c r="R170" s="3"/>
    </row>
    <row r="171" spans="1:18" x14ac:dyDescent="0.25">
      <c r="A171" s="2">
        <v>46193</v>
      </c>
      <c r="B171" s="2" t="s">
        <v>48</v>
      </c>
      <c r="C171" s="3" t="s">
        <v>73</v>
      </c>
      <c r="D171" s="11" t="s">
        <v>472</v>
      </c>
      <c r="E171" s="3">
        <v>60</v>
      </c>
      <c r="F171" s="3" t="s">
        <v>172</v>
      </c>
      <c r="G171" s="4">
        <f t="shared" si="8"/>
        <v>60</v>
      </c>
      <c r="H171" s="3"/>
      <c r="I171" s="3"/>
      <c r="J171" s="3"/>
      <c r="K171" s="3"/>
      <c r="L171" s="3">
        <f t="shared" si="9"/>
        <v>0</v>
      </c>
      <c r="M171" s="3">
        <f t="shared" si="10"/>
        <v>0</v>
      </c>
      <c r="N171" s="3"/>
      <c r="O171" s="3"/>
      <c r="P171" s="3"/>
      <c r="Q171" s="3"/>
      <c r="R171" s="3"/>
    </row>
    <row r="172" spans="1:18" x14ac:dyDescent="0.25">
      <c r="A172" s="2">
        <v>46193</v>
      </c>
      <c r="B172" s="2" t="s">
        <v>48</v>
      </c>
      <c r="C172" s="3" t="s">
        <v>92</v>
      </c>
      <c r="D172" s="11" t="s">
        <v>473</v>
      </c>
      <c r="E172" s="3"/>
      <c r="F172" s="3">
        <f t="shared" si="11"/>
        <v>0</v>
      </c>
      <c r="G172" s="4">
        <f t="shared" si="8"/>
        <v>0</v>
      </c>
      <c r="H172" s="3">
        <v>1100</v>
      </c>
      <c r="I172" s="3"/>
      <c r="J172" s="3"/>
      <c r="K172" s="3"/>
      <c r="L172" s="3">
        <f t="shared" si="9"/>
        <v>0</v>
      </c>
      <c r="M172" s="3">
        <f t="shared" si="10"/>
        <v>0</v>
      </c>
      <c r="N172" s="3"/>
      <c r="O172" s="3"/>
      <c r="P172" s="3"/>
      <c r="Q172" s="3"/>
      <c r="R172" s="3"/>
    </row>
    <row r="173" spans="1:18" x14ac:dyDescent="0.25">
      <c r="A173" s="2">
        <v>46193</v>
      </c>
      <c r="B173" s="2" t="s">
        <v>48</v>
      </c>
      <c r="C173" s="3" t="s">
        <v>92</v>
      </c>
      <c r="D173" s="11" t="s">
        <v>474</v>
      </c>
      <c r="E173" s="3"/>
      <c r="F173" s="3">
        <f t="shared" si="11"/>
        <v>0</v>
      </c>
      <c r="G173" s="4">
        <f t="shared" si="8"/>
        <v>0</v>
      </c>
      <c r="H173" s="3">
        <v>50</v>
      </c>
      <c r="I173" s="3"/>
      <c r="J173" s="3"/>
      <c r="K173" s="3"/>
      <c r="L173" s="3">
        <f t="shared" si="9"/>
        <v>0</v>
      </c>
      <c r="M173" s="3">
        <f t="shared" si="10"/>
        <v>0</v>
      </c>
      <c r="N173" s="3"/>
      <c r="O173" s="3"/>
      <c r="P173" s="3"/>
      <c r="Q173" s="3"/>
      <c r="R173" s="3"/>
    </row>
    <row r="174" spans="1:18" x14ac:dyDescent="0.25">
      <c r="A174" s="2">
        <v>46193</v>
      </c>
      <c r="B174" s="2" t="s">
        <v>48</v>
      </c>
      <c r="C174" s="3" t="s">
        <v>75</v>
      </c>
      <c r="D174" s="11" t="s">
        <v>475</v>
      </c>
      <c r="E174" s="3">
        <v>750</v>
      </c>
      <c r="F174" s="3" t="s">
        <v>172</v>
      </c>
      <c r="G174" s="4">
        <f t="shared" si="8"/>
        <v>750</v>
      </c>
      <c r="H174" s="3"/>
      <c r="I174" s="3"/>
      <c r="J174" s="3"/>
      <c r="K174" s="3"/>
      <c r="L174" s="3">
        <f t="shared" si="9"/>
        <v>0</v>
      </c>
      <c r="M174" s="3">
        <f t="shared" si="10"/>
        <v>0</v>
      </c>
      <c r="N174" s="3"/>
      <c r="O174" s="3"/>
      <c r="P174" s="3"/>
      <c r="Q174" s="3"/>
      <c r="R174" s="3"/>
    </row>
    <row r="175" spans="1:18" x14ac:dyDescent="0.25">
      <c r="A175" s="2">
        <v>46193</v>
      </c>
      <c r="B175" s="2" t="s">
        <v>285</v>
      </c>
      <c r="C175" s="3" t="s">
        <v>92</v>
      </c>
      <c r="D175" s="11" t="s">
        <v>476</v>
      </c>
      <c r="E175" s="3"/>
      <c r="F175" s="3">
        <f t="shared" si="11"/>
        <v>0</v>
      </c>
      <c r="G175" s="4">
        <f t="shared" si="8"/>
        <v>0</v>
      </c>
      <c r="H175" s="3">
        <v>888.5</v>
      </c>
      <c r="I175" s="3"/>
      <c r="J175" s="3"/>
      <c r="K175" s="3"/>
      <c r="L175" s="3">
        <f t="shared" si="9"/>
        <v>0</v>
      </c>
      <c r="M175" s="3">
        <f t="shared" si="10"/>
        <v>0</v>
      </c>
      <c r="N175" s="3"/>
      <c r="O175" s="3"/>
      <c r="P175" s="3"/>
      <c r="Q175" s="3"/>
      <c r="R175" s="3"/>
    </row>
    <row r="176" spans="1:18" x14ac:dyDescent="0.25">
      <c r="A176" s="2">
        <v>46195</v>
      </c>
      <c r="B176" s="2" t="s">
        <v>48</v>
      </c>
      <c r="C176" s="3" t="s">
        <v>80</v>
      </c>
      <c r="D176" s="11" t="s">
        <v>477</v>
      </c>
      <c r="E176" s="3">
        <v>500</v>
      </c>
      <c r="F176" s="3" t="s">
        <v>172</v>
      </c>
      <c r="G176" s="4">
        <f t="shared" si="8"/>
        <v>500</v>
      </c>
      <c r="H176" s="3"/>
      <c r="I176" s="3"/>
      <c r="J176" s="3"/>
      <c r="K176" s="3"/>
      <c r="L176" s="3">
        <f t="shared" si="9"/>
        <v>0</v>
      </c>
      <c r="M176" s="3">
        <f t="shared" si="10"/>
        <v>0</v>
      </c>
      <c r="N176" s="3"/>
      <c r="O176" s="3"/>
      <c r="P176" s="3"/>
      <c r="Q176" s="3"/>
      <c r="R176" s="3"/>
    </row>
    <row r="177" spans="1:18" x14ac:dyDescent="0.25">
      <c r="A177" s="2">
        <v>46195</v>
      </c>
      <c r="B177" s="2" t="s">
        <v>48</v>
      </c>
      <c r="C177" s="3" t="s">
        <v>80</v>
      </c>
      <c r="D177" s="11" t="s">
        <v>478</v>
      </c>
      <c r="E177" s="3">
        <v>150</v>
      </c>
      <c r="F177" s="3" t="s">
        <v>172</v>
      </c>
      <c r="G177" s="4">
        <f t="shared" si="8"/>
        <v>150</v>
      </c>
      <c r="H177" s="3"/>
      <c r="I177" s="3"/>
      <c r="J177" s="3"/>
      <c r="K177" s="3"/>
      <c r="L177" s="3">
        <f t="shared" si="9"/>
        <v>0</v>
      </c>
      <c r="M177" s="3">
        <f t="shared" si="10"/>
        <v>0</v>
      </c>
      <c r="N177" s="3"/>
      <c r="O177" s="3"/>
      <c r="P177" s="3"/>
      <c r="Q177" s="3"/>
      <c r="R177" s="3"/>
    </row>
    <row r="178" spans="1:18" x14ac:dyDescent="0.25">
      <c r="A178" s="2">
        <v>46195</v>
      </c>
      <c r="B178" s="2" t="s">
        <v>48</v>
      </c>
      <c r="C178" s="3" t="s">
        <v>49</v>
      </c>
      <c r="D178" s="11" t="s">
        <v>479</v>
      </c>
      <c r="E178" s="3">
        <f>150/1.05</f>
        <v>142.85714285714286</v>
      </c>
      <c r="F178" s="3">
        <f t="shared" si="11"/>
        <v>7.1428571428571432</v>
      </c>
      <c r="G178" s="4">
        <f t="shared" si="8"/>
        <v>150</v>
      </c>
      <c r="H178" s="3"/>
      <c r="I178" s="3"/>
      <c r="J178" s="3"/>
      <c r="K178" s="3"/>
      <c r="L178" s="3">
        <f t="shared" si="9"/>
        <v>0</v>
      </c>
      <c r="M178" s="3">
        <f t="shared" si="10"/>
        <v>0</v>
      </c>
      <c r="N178" s="3"/>
      <c r="O178" s="3"/>
      <c r="P178" s="3"/>
      <c r="Q178" s="3"/>
      <c r="R178" s="3"/>
    </row>
    <row r="179" spans="1:18" x14ac:dyDescent="0.25">
      <c r="A179" s="2">
        <v>46195</v>
      </c>
      <c r="B179" s="2" t="s">
        <v>48</v>
      </c>
      <c r="C179" s="3" t="s">
        <v>92</v>
      </c>
      <c r="D179" s="11" t="s">
        <v>480</v>
      </c>
      <c r="E179" s="3"/>
      <c r="F179" s="3">
        <f t="shared" si="11"/>
        <v>0</v>
      </c>
      <c r="G179" s="4">
        <f t="shared" si="8"/>
        <v>0</v>
      </c>
      <c r="H179" s="3">
        <v>100</v>
      </c>
      <c r="I179" s="3"/>
      <c r="J179" s="3"/>
      <c r="K179" s="3"/>
      <c r="L179" s="3">
        <f t="shared" si="9"/>
        <v>0</v>
      </c>
      <c r="M179" s="3">
        <f t="shared" si="10"/>
        <v>0</v>
      </c>
      <c r="N179" s="3"/>
      <c r="O179" s="3"/>
      <c r="P179" s="3"/>
      <c r="Q179" s="3"/>
      <c r="R179" s="3"/>
    </row>
    <row r="180" spans="1:18" x14ac:dyDescent="0.25">
      <c r="A180" s="2">
        <v>46195</v>
      </c>
      <c r="B180" s="2" t="s">
        <v>48</v>
      </c>
      <c r="C180" s="3" t="s">
        <v>64</v>
      </c>
      <c r="D180" s="11" t="s">
        <v>481</v>
      </c>
      <c r="E180" s="3">
        <v>160</v>
      </c>
      <c r="F180" s="3" t="s">
        <v>172</v>
      </c>
      <c r="G180" s="4">
        <f t="shared" si="8"/>
        <v>160</v>
      </c>
      <c r="H180" s="3"/>
      <c r="I180" s="3"/>
      <c r="J180" s="3"/>
      <c r="K180" s="3"/>
      <c r="L180" s="3">
        <f t="shared" si="9"/>
        <v>0</v>
      </c>
      <c r="M180" s="3">
        <f t="shared" si="10"/>
        <v>0</v>
      </c>
      <c r="N180" s="3"/>
      <c r="O180" s="3"/>
      <c r="P180" s="3"/>
      <c r="Q180" s="3"/>
      <c r="R180" s="3"/>
    </row>
    <row r="181" spans="1:18" x14ac:dyDescent="0.25">
      <c r="A181" s="2">
        <v>46195</v>
      </c>
      <c r="B181" s="2" t="s">
        <v>48</v>
      </c>
      <c r="C181" s="3" t="s">
        <v>70</v>
      </c>
      <c r="D181" s="11" t="s">
        <v>482</v>
      </c>
      <c r="E181" s="3">
        <v>44</v>
      </c>
      <c r="F181" s="3" t="s">
        <v>172</v>
      </c>
      <c r="G181" s="4">
        <f t="shared" si="8"/>
        <v>44</v>
      </c>
      <c r="H181" s="3"/>
      <c r="I181" s="3"/>
      <c r="J181" s="3"/>
      <c r="K181" s="3"/>
      <c r="L181" s="3">
        <f t="shared" si="9"/>
        <v>0</v>
      </c>
      <c r="M181" s="3">
        <f t="shared" si="10"/>
        <v>0</v>
      </c>
      <c r="N181" s="3"/>
      <c r="O181" s="3"/>
      <c r="P181" s="3"/>
      <c r="Q181" s="3"/>
      <c r="R181" s="3"/>
    </row>
    <row r="182" spans="1:18" x14ac:dyDescent="0.25">
      <c r="A182" s="2">
        <v>46195</v>
      </c>
      <c r="B182" s="2" t="s">
        <v>48</v>
      </c>
      <c r="C182" s="3" t="s">
        <v>78</v>
      </c>
      <c r="D182" s="11" t="s">
        <v>483</v>
      </c>
      <c r="E182" s="3">
        <f>10.5/1.05</f>
        <v>10</v>
      </c>
      <c r="F182" s="3">
        <f t="shared" si="11"/>
        <v>0.5</v>
      </c>
      <c r="G182" s="4">
        <f t="shared" si="8"/>
        <v>10.5</v>
      </c>
      <c r="H182" s="3"/>
      <c r="I182" s="3"/>
      <c r="J182" s="3"/>
      <c r="K182" s="3"/>
      <c r="L182" s="3">
        <f t="shared" si="9"/>
        <v>0</v>
      </c>
      <c r="M182" s="3">
        <f t="shared" si="10"/>
        <v>0</v>
      </c>
      <c r="N182" s="3"/>
      <c r="O182" s="3"/>
      <c r="P182" s="3"/>
      <c r="Q182" s="3"/>
      <c r="R182" s="3"/>
    </row>
    <row r="183" spans="1:18" x14ac:dyDescent="0.25">
      <c r="A183" s="2">
        <v>46195</v>
      </c>
      <c r="B183" s="2" t="s">
        <v>48</v>
      </c>
      <c r="C183" s="3" t="s">
        <v>49</v>
      </c>
      <c r="D183" s="11" t="s">
        <v>484</v>
      </c>
      <c r="E183" s="3">
        <v>40</v>
      </c>
      <c r="F183" s="3">
        <f t="shared" si="11"/>
        <v>2</v>
      </c>
      <c r="G183" s="4">
        <f t="shared" si="8"/>
        <v>42</v>
      </c>
      <c r="H183" s="3"/>
      <c r="I183" s="3"/>
      <c r="J183" s="3"/>
      <c r="K183" s="3"/>
      <c r="L183" s="3">
        <f t="shared" si="9"/>
        <v>0</v>
      </c>
      <c r="M183" s="3">
        <f t="shared" si="10"/>
        <v>0</v>
      </c>
      <c r="N183" s="3"/>
      <c r="O183" s="3"/>
      <c r="P183" s="3"/>
      <c r="Q183" s="3"/>
      <c r="R183" s="3"/>
    </row>
    <row r="184" spans="1:18" x14ac:dyDescent="0.25">
      <c r="A184" s="2">
        <v>46195</v>
      </c>
      <c r="B184" s="2" t="s">
        <v>48</v>
      </c>
      <c r="C184" s="3" t="s">
        <v>49</v>
      </c>
      <c r="D184" s="11" t="s">
        <v>485</v>
      </c>
      <c r="E184" s="3">
        <v>13</v>
      </c>
      <c r="F184" s="3" t="s">
        <v>172</v>
      </c>
      <c r="G184" s="4">
        <f t="shared" si="8"/>
        <v>13</v>
      </c>
      <c r="H184" s="3"/>
      <c r="I184" s="3"/>
      <c r="J184" s="3"/>
      <c r="K184" s="3"/>
      <c r="L184" s="3">
        <f t="shared" si="9"/>
        <v>0</v>
      </c>
      <c r="M184" s="3">
        <f t="shared" si="10"/>
        <v>0</v>
      </c>
      <c r="N184" s="3"/>
      <c r="O184" s="3"/>
      <c r="P184" s="3"/>
      <c r="Q184" s="3"/>
      <c r="R184" s="3"/>
    </row>
    <row r="185" spans="1:18" x14ac:dyDescent="0.25">
      <c r="A185" s="2">
        <v>46195</v>
      </c>
      <c r="B185" s="2" t="s">
        <v>48</v>
      </c>
      <c r="C185" s="3" t="s">
        <v>78</v>
      </c>
      <c r="D185" s="11" t="s">
        <v>486</v>
      </c>
      <c r="E185" s="3">
        <v>13.75</v>
      </c>
      <c r="F185" s="3" t="s">
        <v>172</v>
      </c>
      <c r="G185" s="4">
        <f t="shared" si="8"/>
        <v>13.75</v>
      </c>
      <c r="H185" s="3"/>
      <c r="I185" s="3"/>
      <c r="J185" s="3"/>
      <c r="K185" s="3"/>
      <c r="L185" s="3">
        <f t="shared" si="9"/>
        <v>0</v>
      </c>
      <c r="M185" s="3">
        <f t="shared" si="10"/>
        <v>0</v>
      </c>
      <c r="N185" s="3"/>
      <c r="O185" s="3"/>
      <c r="P185" s="3"/>
      <c r="Q185" s="3"/>
      <c r="R185" s="3"/>
    </row>
    <row r="186" spans="1:18" x14ac:dyDescent="0.25">
      <c r="A186" s="2">
        <v>46195</v>
      </c>
      <c r="B186" s="2" t="s">
        <v>48</v>
      </c>
      <c r="C186" s="3" t="s">
        <v>95</v>
      </c>
      <c r="D186" s="11" t="s">
        <v>487</v>
      </c>
      <c r="E186" s="3"/>
      <c r="F186" s="3">
        <f t="shared" si="11"/>
        <v>0</v>
      </c>
      <c r="G186" s="4">
        <f t="shared" si="8"/>
        <v>0</v>
      </c>
      <c r="H186" s="3"/>
      <c r="I186" s="3"/>
      <c r="J186" s="3">
        <v>2000</v>
      </c>
      <c r="K186" s="3"/>
      <c r="L186" s="3">
        <f t="shared" si="9"/>
        <v>0</v>
      </c>
      <c r="M186" s="3">
        <f t="shared" si="10"/>
        <v>0</v>
      </c>
      <c r="N186" s="3"/>
      <c r="O186" s="3"/>
      <c r="P186" s="3"/>
      <c r="Q186" s="3"/>
      <c r="R186" s="3"/>
    </row>
    <row r="187" spans="1:18" x14ac:dyDescent="0.25">
      <c r="A187" s="2">
        <v>46195</v>
      </c>
      <c r="B187" s="2" t="s">
        <v>48</v>
      </c>
      <c r="C187" s="3" t="s">
        <v>73</v>
      </c>
      <c r="D187" s="11" t="s">
        <v>488</v>
      </c>
      <c r="E187" s="3">
        <v>630</v>
      </c>
      <c r="F187" s="3" t="s">
        <v>172</v>
      </c>
      <c r="G187" s="4">
        <f t="shared" si="8"/>
        <v>630</v>
      </c>
      <c r="H187" s="3"/>
      <c r="I187" s="3"/>
      <c r="J187" s="3"/>
      <c r="K187" s="3"/>
      <c r="L187" s="3">
        <f t="shared" si="9"/>
        <v>0</v>
      </c>
      <c r="M187" s="3">
        <f t="shared" si="10"/>
        <v>0</v>
      </c>
      <c r="N187" s="3"/>
      <c r="O187" s="3"/>
      <c r="P187" s="3"/>
      <c r="Q187" s="3"/>
      <c r="R187" s="3"/>
    </row>
    <row r="188" spans="1:18" x14ac:dyDescent="0.25">
      <c r="A188" s="2">
        <v>46195</v>
      </c>
      <c r="B188" s="2" t="s">
        <v>48</v>
      </c>
      <c r="C188" s="3" t="s">
        <v>73</v>
      </c>
      <c r="D188" s="11" t="s">
        <v>489</v>
      </c>
      <c r="E188" s="3">
        <v>100</v>
      </c>
      <c r="F188" s="3" t="s">
        <v>172</v>
      </c>
      <c r="G188" s="4">
        <f t="shared" si="8"/>
        <v>100</v>
      </c>
      <c r="H188" s="3"/>
      <c r="I188" s="3"/>
      <c r="J188" s="3"/>
      <c r="K188" s="3"/>
      <c r="L188" s="3">
        <f t="shared" si="9"/>
        <v>0</v>
      </c>
      <c r="M188" s="3">
        <f t="shared" si="10"/>
        <v>0</v>
      </c>
      <c r="N188" s="3"/>
      <c r="O188" s="3"/>
      <c r="P188" s="3"/>
      <c r="Q188" s="3"/>
      <c r="R188" s="3"/>
    </row>
    <row r="189" spans="1:18" x14ac:dyDescent="0.25">
      <c r="A189" s="2">
        <v>46195</v>
      </c>
      <c r="B189" s="2" t="s">
        <v>287</v>
      </c>
      <c r="C189" s="3" t="s">
        <v>92</v>
      </c>
      <c r="D189" s="11" t="s">
        <v>490</v>
      </c>
      <c r="E189" s="3"/>
      <c r="F189" s="3">
        <f t="shared" si="11"/>
        <v>0</v>
      </c>
      <c r="G189" s="4">
        <f t="shared" si="8"/>
        <v>0</v>
      </c>
      <c r="H189" s="3">
        <v>881.55</v>
      </c>
      <c r="I189" s="3"/>
      <c r="J189" s="3"/>
      <c r="K189" s="3"/>
      <c r="L189" s="3">
        <f t="shared" si="9"/>
        <v>0</v>
      </c>
      <c r="M189" s="3">
        <f t="shared" si="10"/>
        <v>0</v>
      </c>
      <c r="N189" s="3"/>
      <c r="O189" s="3"/>
      <c r="P189" s="3"/>
      <c r="Q189" s="3"/>
      <c r="R189" s="3"/>
    </row>
    <row r="190" spans="1:18" x14ac:dyDescent="0.25">
      <c r="A190" s="2">
        <v>46195</v>
      </c>
      <c r="B190" s="2" t="s">
        <v>285</v>
      </c>
      <c r="C190" s="3" t="s">
        <v>92</v>
      </c>
      <c r="D190" s="11" t="s">
        <v>491</v>
      </c>
      <c r="E190" s="3"/>
      <c r="F190" s="3">
        <f t="shared" si="11"/>
        <v>0</v>
      </c>
      <c r="G190" s="4">
        <f t="shared" si="8"/>
        <v>0</v>
      </c>
      <c r="H190" s="3">
        <v>1763.11</v>
      </c>
      <c r="I190" s="3"/>
      <c r="J190" s="3"/>
      <c r="K190" s="3"/>
      <c r="L190" s="3">
        <f t="shared" si="9"/>
        <v>0</v>
      </c>
      <c r="M190" s="3">
        <f t="shared" si="10"/>
        <v>0</v>
      </c>
      <c r="N190" s="3"/>
      <c r="O190" s="3"/>
      <c r="P190" s="3"/>
      <c r="Q190" s="3"/>
      <c r="R190" s="3"/>
    </row>
    <row r="191" spans="1:18" x14ac:dyDescent="0.25">
      <c r="A191" s="2">
        <v>46195</v>
      </c>
      <c r="B191" s="2" t="s">
        <v>56</v>
      </c>
      <c r="C191" s="3" t="s">
        <v>92</v>
      </c>
      <c r="D191" s="11" t="s">
        <v>492</v>
      </c>
      <c r="E191" s="3"/>
      <c r="F191" s="3">
        <f t="shared" si="11"/>
        <v>0</v>
      </c>
      <c r="G191" s="4">
        <f t="shared" si="8"/>
        <v>0</v>
      </c>
      <c r="H191" s="3">
        <v>600</v>
      </c>
      <c r="I191" s="3"/>
      <c r="J191" s="3"/>
      <c r="K191" s="3"/>
      <c r="L191" s="3">
        <f t="shared" si="9"/>
        <v>0</v>
      </c>
      <c r="M191" s="3">
        <f t="shared" si="10"/>
        <v>0</v>
      </c>
      <c r="N191" s="3"/>
      <c r="O191" s="3"/>
      <c r="P191" s="3"/>
      <c r="Q191" s="3"/>
      <c r="R191" s="3"/>
    </row>
    <row r="192" spans="1:18" x14ac:dyDescent="0.25">
      <c r="A192" s="2">
        <v>46195</v>
      </c>
      <c r="B192" s="2" t="s">
        <v>48</v>
      </c>
      <c r="C192" s="3" t="s">
        <v>78</v>
      </c>
      <c r="D192" s="11" t="s">
        <v>493</v>
      </c>
      <c r="E192" s="3"/>
      <c r="F192" s="3">
        <f t="shared" si="11"/>
        <v>0</v>
      </c>
      <c r="G192" s="4">
        <f t="shared" si="8"/>
        <v>0</v>
      </c>
      <c r="H192" s="3"/>
      <c r="I192" s="3"/>
      <c r="J192" s="3"/>
      <c r="K192" s="3"/>
      <c r="L192" s="3">
        <f t="shared" si="9"/>
        <v>0</v>
      </c>
      <c r="M192" s="3">
        <f t="shared" si="10"/>
        <v>0</v>
      </c>
      <c r="N192" s="3">
        <v>430</v>
      </c>
      <c r="O192" s="3"/>
      <c r="P192" s="3"/>
      <c r="Q192" s="3"/>
      <c r="R192" s="3"/>
    </row>
    <row r="193" spans="1:18" x14ac:dyDescent="0.25">
      <c r="A193" s="2">
        <v>46195</v>
      </c>
      <c r="B193" s="2" t="s">
        <v>48</v>
      </c>
      <c r="C193" s="3" t="s">
        <v>49</v>
      </c>
      <c r="D193" s="11" t="s">
        <v>494</v>
      </c>
      <c r="E193" s="3"/>
      <c r="F193" s="3">
        <f t="shared" si="11"/>
        <v>0</v>
      </c>
      <c r="G193" s="4">
        <f t="shared" si="8"/>
        <v>0</v>
      </c>
      <c r="H193" s="3"/>
      <c r="I193" s="3"/>
      <c r="J193" s="3"/>
      <c r="K193" s="3"/>
      <c r="L193" s="3">
        <f t="shared" si="9"/>
        <v>0</v>
      </c>
      <c r="M193" s="3">
        <f t="shared" si="10"/>
        <v>0</v>
      </c>
      <c r="N193" s="3">
        <v>900</v>
      </c>
      <c r="O193" s="3"/>
      <c r="P193" s="3"/>
      <c r="Q193" s="3"/>
      <c r="R193" s="3"/>
    </row>
    <row r="194" spans="1:18" x14ac:dyDescent="0.25">
      <c r="A194" s="2">
        <v>46196</v>
      </c>
      <c r="B194" s="2" t="s">
        <v>48</v>
      </c>
      <c r="C194" s="3" t="s">
        <v>93</v>
      </c>
      <c r="D194" s="11" t="s">
        <v>495</v>
      </c>
      <c r="E194" s="3">
        <v>1500</v>
      </c>
      <c r="F194" s="3" t="s">
        <v>172</v>
      </c>
      <c r="G194" s="4">
        <f t="shared" si="8"/>
        <v>1500</v>
      </c>
      <c r="H194" s="3"/>
      <c r="I194" s="3"/>
      <c r="J194" s="3"/>
      <c r="K194" s="3"/>
      <c r="L194" s="3">
        <f t="shared" si="9"/>
        <v>0</v>
      </c>
      <c r="M194" s="3">
        <f t="shared" si="10"/>
        <v>0</v>
      </c>
      <c r="N194" s="3"/>
      <c r="O194" s="3"/>
      <c r="P194" s="3"/>
      <c r="Q194" s="3"/>
      <c r="R194" s="3"/>
    </row>
    <row r="195" spans="1:18" x14ac:dyDescent="0.25">
      <c r="A195" s="2">
        <v>46196</v>
      </c>
      <c r="B195" s="2" t="s">
        <v>48</v>
      </c>
      <c r="C195" s="3" t="s">
        <v>49</v>
      </c>
      <c r="D195" s="11" t="s">
        <v>496</v>
      </c>
      <c r="E195" s="3">
        <v>904.77</v>
      </c>
      <c r="F195" s="3">
        <f t="shared" ref="F195:F245" si="12">E195*5%</f>
        <v>45.238500000000002</v>
      </c>
      <c r="G195" s="187">
        <f t="shared" ref="G195:G245" si="13">IF(F195="NO TAX",E195,E195+F195)</f>
        <v>950.00850000000003</v>
      </c>
      <c r="H195" s="3"/>
      <c r="I195" s="3"/>
      <c r="J195" s="3"/>
      <c r="K195" s="3"/>
      <c r="L195" s="3">
        <f t="shared" ref="L195:L245" si="14">K195*5%</f>
        <v>0</v>
      </c>
      <c r="M195" s="3">
        <f t="shared" ref="M195:M245" si="15">IF(L195="NO TAX",K195,K195+L195)</f>
        <v>0</v>
      </c>
      <c r="N195" s="3"/>
      <c r="O195" s="3"/>
      <c r="P195" s="3"/>
      <c r="Q195" s="3"/>
      <c r="R195" s="3"/>
    </row>
    <row r="196" spans="1:18" x14ac:dyDescent="0.25">
      <c r="A196" s="2">
        <v>46196</v>
      </c>
      <c r="B196" s="2" t="s">
        <v>48</v>
      </c>
      <c r="C196" s="3" t="s">
        <v>49</v>
      </c>
      <c r="D196" s="11" t="s">
        <v>497</v>
      </c>
      <c r="E196" s="3">
        <v>1161</v>
      </c>
      <c r="F196" s="3">
        <f t="shared" si="12"/>
        <v>58.050000000000004</v>
      </c>
      <c r="G196" s="187">
        <f t="shared" si="13"/>
        <v>1219.05</v>
      </c>
      <c r="H196" s="3"/>
      <c r="I196" s="3"/>
      <c r="J196" s="3"/>
      <c r="K196" s="3"/>
      <c r="L196" s="3">
        <f t="shared" si="14"/>
        <v>0</v>
      </c>
      <c r="M196" s="3">
        <f t="shared" si="15"/>
        <v>0</v>
      </c>
      <c r="N196" s="3"/>
      <c r="O196" s="3"/>
      <c r="P196" s="3"/>
      <c r="Q196" s="3"/>
      <c r="R196" s="3"/>
    </row>
    <row r="197" spans="1:18" x14ac:dyDescent="0.25">
      <c r="A197" s="2">
        <v>46196</v>
      </c>
      <c r="B197" s="2" t="s">
        <v>48</v>
      </c>
      <c r="C197" s="3" t="s">
        <v>81</v>
      </c>
      <c r="D197" s="11" t="s">
        <v>498</v>
      </c>
      <c r="E197" s="3">
        <v>500</v>
      </c>
      <c r="F197" s="3" t="s">
        <v>172</v>
      </c>
      <c r="G197" s="4">
        <f t="shared" si="13"/>
        <v>500</v>
      </c>
      <c r="H197" s="3"/>
      <c r="I197" s="3"/>
      <c r="J197" s="3"/>
      <c r="K197" s="3"/>
      <c r="L197" s="3">
        <f t="shared" si="14"/>
        <v>0</v>
      </c>
      <c r="M197" s="3">
        <f t="shared" si="15"/>
        <v>0</v>
      </c>
      <c r="N197" s="3"/>
      <c r="O197" s="3"/>
      <c r="P197" s="3"/>
      <c r="Q197" s="3"/>
      <c r="R197" s="3"/>
    </row>
    <row r="198" spans="1:18" x14ac:dyDescent="0.25">
      <c r="A198" s="2">
        <v>46197</v>
      </c>
      <c r="B198" s="2" t="s">
        <v>48</v>
      </c>
      <c r="C198" s="3" t="s">
        <v>49</v>
      </c>
      <c r="D198" s="11" t="s">
        <v>499</v>
      </c>
      <c r="E198" s="3">
        <v>560</v>
      </c>
      <c r="F198" s="3">
        <f t="shared" si="12"/>
        <v>28</v>
      </c>
      <c r="G198" s="4">
        <f t="shared" si="13"/>
        <v>588</v>
      </c>
      <c r="H198" s="3"/>
      <c r="I198" s="3"/>
      <c r="J198" s="3"/>
      <c r="K198" s="3"/>
      <c r="L198" s="3">
        <f t="shared" si="14"/>
        <v>0</v>
      </c>
      <c r="M198" s="3">
        <f t="shared" si="15"/>
        <v>0</v>
      </c>
      <c r="N198" s="3"/>
      <c r="O198" s="3"/>
      <c r="P198" s="3"/>
      <c r="Q198" s="3"/>
      <c r="R198" s="3"/>
    </row>
    <row r="199" spans="1:18" x14ac:dyDescent="0.25">
      <c r="A199" s="2">
        <v>46197</v>
      </c>
      <c r="B199" s="2" t="s">
        <v>48</v>
      </c>
      <c r="C199" s="3" t="s">
        <v>73</v>
      </c>
      <c r="D199" s="11" t="s">
        <v>500</v>
      </c>
      <c r="E199" s="3">
        <v>14</v>
      </c>
      <c r="F199" s="3" t="s">
        <v>172</v>
      </c>
      <c r="G199" s="4">
        <f t="shared" si="13"/>
        <v>14</v>
      </c>
      <c r="H199" s="3"/>
      <c r="I199" s="3"/>
      <c r="J199" s="3"/>
      <c r="K199" s="3"/>
      <c r="L199" s="3">
        <f t="shared" si="14"/>
        <v>0</v>
      </c>
      <c r="M199" s="3">
        <f t="shared" si="15"/>
        <v>0</v>
      </c>
      <c r="N199" s="3"/>
      <c r="O199" s="3"/>
      <c r="P199" s="3"/>
      <c r="Q199" s="3"/>
      <c r="R199" s="3"/>
    </row>
    <row r="200" spans="1:18" x14ac:dyDescent="0.25">
      <c r="A200" s="2">
        <v>46197</v>
      </c>
      <c r="B200" s="2" t="s">
        <v>48</v>
      </c>
      <c r="C200" s="3" t="s">
        <v>80</v>
      </c>
      <c r="D200" s="11" t="s">
        <v>501</v>
      </c>
      <c r="E200" s="3">
        <v>1650</v>
      </c>
      <c r="F200" s="3" t="s">
        <v>172</v>
      </c>
      <c r="G200" s="4">
        <f t="shared" si="13"/>
        <v>1650</v>
      </c>
      <c r="H200" s="3"/>
      <c r="I200" s="3"/>
      <c r="J200" s="3"/>
      <c r="K200" s="3"/>
      <c r="L200" s="3">
        <f t="shared" si="14"/>
        <v>0</v>
      </c>
      <c r="M200" s="3">
        <f t="shared" si="15"/>
        <v>0</v>
      </c>
      <c r="N200" s="3"/>
      <c r="O200" s="3"/>
      <c r="P200" s="3"/>
      <c r="Q200" s="3"/>
      <c r="R200" s="3"/>
    </row>
    <row r="201" spans="1:18" x14ac:dyDescent="0.25">
      <c r="A201" s="2">
        <v>46197</v>
      </c>
      <c r="B201" s="2" t="s">
        <v>48</v>
      </c>
      <c r="C201" s="3" t="s">
        <v>92</v>
      </c>
      <c r="D201" s="11" t="s">
        <v>502</v>
      </c>
      <c r="E201" s="3"/>
      <c r="F201" s="3">
        <f t="shared" si="12"/>
        <v>0</v>
      </c>
      <c r="G201" s="4">
        <f t="shared" si="13"/>
        <v>0</v>
      </c>
      <c r="H201" s="3">
        <v>14200</v>
      </c>
      <c r="I201" s="3"/>
      <c r="J201" s="3"/>
      <c r="K201" s="3"/>
      <c r="L201" s="3">
        <f t="shared" si="14"/>
        <v>0</v>
      </c>
      <c r="M201" s="3">
        <f t="shared" si="15"/>
        <v>0</v>
      </c>
      <c r="N201" s="3"/>
      <c r="O201" s="3"/>
      <c r="P201" s="3"/>
      <c r="Q201" s="3"/>
      <c r="R201" s="3"/>
    </row>
    <row r="202" spans="1:18" x14ac:dyDescent="0.25">
      <c r="A202" s="2">
        <v>46197</v>
      </c>
      <c r="B202" s="2" t="s">
        <v>48</v>
      </c>
      <c r="C202" s="3" t="s">
        <v>78</v>
      </c>
      <c r="D202" s="11" t="s">
        <v>503</v>
      </c>
      <c r="E202" s="3">
        <v>80</v>
      </c>
      <c r="F202" s="3" t="s">
        <v>172</v>
      </c>
      <c r="G202" s="4">
        <f t="shared" si="13"/>
        <v>80</v>
      </c>
      <c r="H202" s="3"/>
      <c r="I202" s="3"/>
      <c r="J202" s="3"/>
      <c r="K202" s="3"/>
      <c r="L202" s="3">
        <f t="shared" si="14"/>
        <v>0</v>
      </c>
      <c r="M202" s="3">
        <f t="shared" si="15"/>
        <v>0</v>
      </c>
      <c r="N202" s="3"/>
      <c r="O202" s="3"/>
      <c r="P202" s="3"/>
      <c r="Q202" s="3"/>
      <c r="R202" s="3"/>
    </row>
    <row r="203" spans="1:18" x14ac:dyDescent="0.25">
      <c r="A203" s="2">
        <v>46197</v>
      </c>
      <c r="B203" s="2" t="s">
        <v>48</v>
      </c>
      <c r="C203" s="3" t="s">
        <v>64</v>
      </c>
      <c r="D203" s="11" t="s">
        <v>504</v>
      </c>
      <c r="E203" s="3">
        <v>150</v>
      </c>
      <c r="F203" s="3" t="s">
        <v>172</v>
      </c>
      <c r="G203" s="4">
        <f t="shared" si="13"/>
        <v>150</v>
      </c>
      <c r="H203" s="3"/>
      <c r="I203" s="3"/>
      <c r="J203" s="3"/>
      <c r="K203" s="3"/>
      <c r="L203" s="3">
        <f t="shared" si="14"/>
        <v>0</v>
      </c>
      <c r="M203" s="3">
        <f t="shared" si="15"/>
        <v>0</v>
      </c>
      <c r="N203" s="3"/>
      <c r="O203" s="3"/>
      <c r="P203" s="3"/>
      <c r="Q203" s="3"/>
      <c r="R203" s="3"/>
    </row>
    <row r="204" spans="1:18" x14ac:dyDescent="0.25">
      <c r="A204" s="2">
        <v>46197</v>
      </c>
      <c r="B204" s="2" t="s">
        <v>48</v>
      </c>
      <c r="C204" s="3" t="s">
        <v>49</v>
      </c>
      <c r="D204" s="11" t="s">
        <v>505</v>
      </c>
      <c r="E204" s="3">
        <v>42</v>
      </c>
      <c r="F204" s="3" t="s">
        <v>172</v>
      </c>
      <c r="G204" s="4">
        <f t="shared" si="13"/>
        <v>42</v>
      </c>
      <c r="H204" s="3"/>
      <c r="I204" s="3"/>
      <c r="J204" s="3"/>
      <c r="K204" s="3"/>
      <c r="L204" s="3">
        <f t="shared" si="14"/>
        <v>0</v>
      </c>
      <c r="M204" s="3">
        <f t="shared" si="15"/>
        <v>0</v>
      </c>
      <c r="N204" s="3"/>
      <c r="O204" s="3"/>
      <c r="P204" s="3"/>
      <c r="Q204" s="3"/>
      <c r="R204" s="3"/>
    </row>
    <row r="205" spans="1:18" x14ac:dyDescent="0.25">
      <c r="A205" s="2">
        <v>46197</v>
      </c>
      <c r="B205" s="2" t="s">
        <v>48</v>
      </c>
      <c r="C205" s="3" t="s">
        <v>49</v>
      </c>
      <c r="D205" s="11" t="s">
        <v>506</v>
      </c>
      <c r="E205" s="3">
        <v>120</v>
      </c>
      <c r="F205" s="3">
        <f t="shared" si="12"/>
        <v>6</v>
      </c>
      <c r="G205" s="4">
        <f t="shared" si="13"/>
        <v>126</v>
      </c>
      <c r="H205" s="3"/>
      <c r="I205" s="3"/>
      <c r="J205" s="3"/>
      <c r="K205" s="3"/>
      <c r="L205" s="3">
        <f t="shared" si="14"/>
        <v>0</v>
      </c>
      <c r="M205" s="3">
        <f t="shared" si="15"/>
        <v>0</v>
      </c>
      <c r="N205" s="3"/>
      <c r="O205" s="3"/>
      <c r="P205" s="3"/>
      <c r="Q205" s="3"/>
      <c r="R205" s="3"/>
    </row>
    <row r="206" spans="1:18" x14ac:dyDescent="0.25">
      <c r="A206" s="2">
        <v>46197</v>
      </c>
      <c r="B206" s="2" t="s">
        <v>48</v>
      </c>
      <c r="C206" s="3" t="s">
        <v>66</v>
      </c>
      <c r="D206" s="11" t="s">
        <v>507</v>
      </c>
      <c r="E206" s="3">
        <v>44</v>
      </c>
      <c r="F206" s="3" t="s">
        <v>172</v>
      </c>
      <c r="G206" s="4">
        <f t="shared" si="13"/>
        <v>44</v>
      </c>
      <c r="H206" s="3"/>
      <c r="I206" s="3"/>
      <c r="J206" s="3"/>
      <c r="K206" s="3"/>
      <c r="L206" s="3">
        <f t="shared" si="14"/>
        <v>0</v>
      </c>
      <c r="M206" s="3">
        <f t="shared" si="15"/>
        <v>0</v>
      </c>
      <c r="N206" s="3"/>
      <c r="O206" s="3"/>
      <c r="P206" s="3"/>
      <c r="Q206" s="3"/>
      <c r="R206" s="3"/>
    </row>
    <row r="207" spans="1:18" x14ac:dyDescent="0.25">
      <c r="A207" s="2">
        <v>46197</v>
      </c>
      <c r="B207" s="2" t="s">
        <v>285</v>
      </c>
      <c r="C207" s="3" t="s">
        <v>216</v>
      </c>
      <c r="D207" s="11" t="s">
        <v>508</v>
      </c>
      <c r="E207" s="3"/>
      <c r="F207" s="3">
        <f t="shared" si="12"/>
        <v>0</v>
      </c>
      <c r="G207" s="4">
        <f t="shared" si="13"/>
        <v>0</v>
      </c>
      <c r="H207" s="3"/>
      <c r="I207" s="3"/>
      <c r="J207" s="3"/>
      <c r="K207" s="3">
        <v>900</v>
      </c>
      <c r="L207" s="3">
        <f t="shared" si="14"/>
        <v>45</v>
      </c>
      <c r="M207" s="3">
        <f t="shared" si="15"/>
        <v>945</v>
      </c>
      <c r="N207" s="3"/>
      <c r="O207" s="3"/>
      <c r="P207" s="3"/>
      <c r="Q207" s="3"/>
      <c r="R207" s="3"/>
    </row>
    <row r="208" spans="1:18" x14ac:dyDescent="0.25">
      <c r="A208" s="2">
        <v>46198</v>
      </c>
      <c r="B208" s="2" t="s">
        <v>48</v>
      </c>
      <c r="C208" s="3" t="s">
        <v>49</v>
      </c>
      <c r="D208" s="11" t="s">
        <v>509</v>
      </c>
      <c r="E208" s="3">
        <v>200</v>
      </c>
      <c r="F208" s="3">
        <f t="shared" si="12"/>
        <v>10</v>
      </c>
      <c r="G208" s="4">
        <f t="shared" si="13"/>
        <v>210</v>
      </c>
      <c r="H208" s="3"/>
      <c r="I208" s="3"/>
      <c r="J208" s="3"/>
      <c r="K208" s="3"/>
      <c r="L208" s="3">
        <f t="shared" si="14"/>
        <v>0</v>
      </c>
      <c r="M208" s="3">
        <f t="shared" si="15"/>
        <v>0</v>
      </c>
      <c r="N208" s="3"/>
      <c r="O208" s="3"/>
      <c r="P208" s="3"/>
      <c r="Q208" s="3"/>
      <c r="R208" s="3"/>
    </row>
    <row r="209" spans="1:18" x14ac:dyDescent="0.25">
      <c r="A209" s="2">
        <v>46198</v>
      </c>
      <c r="B209" s="2" t="s">
        <v>48</v>
      </c>
      <c r="C209" s="3" t="s">
        <v>49</v>
      </c>
      <c r="D209" s="11" t="s">
        <v>510</v>
      </c>
      <c r="E209" s="3">
        <v>730</v>
      </c>
      <c r="F209" s="3" t="s">
        <v>172</v>
      </c>
      <c r="G209" s="4">
        <f t="shared" si="13"/>
        <v>730</v>
      </c>
      <c r="H209" s="3"/>
      <c r="I209" s="3"/>
      <c r="J209" s="3"/>
      <c r="K209" s="3"/>
      <c r="L209" s="3">
        <f t="shared" si="14"/>
        <v>0</v>
      </c>
      <c r="M209" s="3">
        <f t="shared" si="15"/>
        <v>0</v>
      </c>
      <c r="N209" s="3"/>
      <c r="O209" s="3"/>
      <c r="P209" s="3"/>
      <c r="Q209" s="3"/>
      <c r="R209" s="3"/>
    </row>
    <row r="210" spans="1:18" x14ac:dyDescent="0.25">
      <c r="A210" s="2">
        <v>46198</v>
      </c>
      <c r="B210" s="2" t="s">
        <v>48</v>
      </c>
      <c r="C210" s="3" t="s">
        <v>49</v>
      </c>
      <c r="D210" s="11" t="s">
        <v>511</v>
      </c>
      <c r="E210" s="3">
        <v>506</v>
      </c>
      <c r="F210" s="3" t="s">
        <v>172</v>
      </c>
      <c r="G210" s="4">
        <f t="shared" si="13"/>
        <v>506</v>
      </c>
      <c r="H210" s="3"/>
      <c r="I210" s="3"/>
      <c r="J210" s="3"/>
      <c r="K210" s="3"/>
      <c r="L210" s="3">
        <f t="shared" si="14"/>
        <v>0</v>
      </c>
      <c r="M210" s="3">
        <f t="shared" si="15"/>
        <v>0</v>
      </c>
      <c r="N210" s="3"/>
      <c r="O210" s="3"/>
      <c r="P210" s="3"/>
      <c r="Q210" s="3"/>
      <c r="R210" s="3"/>
    </row>
    <row r="211" spans="1:18" x14ac:dyDescent="0.25">
      <c r="A211" s="2">
        <v>46198</v>
      </c>
      <c r="B211" s="2" t="s">
        <v>48</v>
      </c>
      <c r="C211" s="3" t="s">
        <v>82</v>
      </c>
      <c r="D211" s="11" t="s">
        <v>512</v>
      </c>
      <c r="E211" s="3">
        <v>50</v>
      </c>
      <c r="F211" s="3" t="s">
        <v>172</v>
      </c>
      <c r="G211" s="4">
        <f t="shared" si="13"/>
        <v>50</v>
      </c>
      <c r="H211" s="3"/>
      <c r="I211" s="3"/>
      <c r="J211" s="3"/>
      <c r="K211" s="3"/>
      <c r="L211" s="3">
        <f t="shared" si="14"/>
        <v>0</v>
      </c>
      <c r="M211" s="3">
        <f t="shared" si="15"/>
        <v>0</v>
      </c>
      <c r="N211" s="3"/>
      <c r="O211" s="3"/>
      <c r="P211" s="3"/>
      <c r="Q211" s="3"/>
      <c r="R211" s="3"/>
    </row>
    <row r="212" spans="1:18" x14ac:dyDescent="0.25">
      <c r="A212" s="2">
        <v>46198</v>
      </c>
      <c r="B212" s="2" t="s">
        <v>48</v>
      </c>
      <c r="C212" s="3" t="s">
        <v>92</v>
      </c>
      <c r="D212" s="11" t="s">
        <v>513</v>
      </c>
      <c r="E212" s="3"/>
      <c r="F212" s="3">
        <f t="shared" si="12"/>
        <v>0</v>
      </c>
      <c r="G212" s="4">
        <f t="shared" si="13"/>
        <v>0</v>
      </c>
      <c r="H212" s="3">
        <v>2000</v>
      </c>
      <c r="I212" s="3"/>
      <c r="J212" s="3"/>
      <c r="K212" s="3"/>
      <c r="L212" s="3">
        <f t="shared" si="14"/>
        <v>0</v>
      </c>
      <c r="M212" s="3">
        <f t="shared" si="15"/>
        <v>0</v>
      </c>
      <c r="N212" s="3"/>
      <c r="O212" s="3"/>
      <c r="P212" s="3"/>
      <c r="Q212" s="3"/>
      <c r="R212" s="3"/>
    </row>
    <row r="213" spans="1:18" x14ac:dyDescent="0.25">
      <c r="A213" s="2">
        <v>46198</v>
      </c>
      <c r="B213" s="2" t="s">
        <v>48</v>
      </c>
      <c r="C213" s="3" t="s">
        <v>73</v>
      </c>
      <c r="D213" s="11" t="s">
        <v>514</v>
      </c>
      <c r="E213" s="3">
        <v>60</v>
      </c>
      <c r="F213" s="3" t="s">
        <v>172</v>
      </c>
      <c r="G213" s="4">
        <f t="shared" si="13"/>
        <v>60</v>
      </c>
      <c r="H213" s="3"/>
      <c r="I213" s="3"/>
      <c r="J213" s="3"/>
      <c r="K213" s="3"/>
      <c r="L213" s="3">
        <f t="shared" si="14"/>
        <v>0</v>
      </c>
      <c r="M213" s="3">
        <f t="shared" si="15"/>
        <v>0</v>
      </c>
      <c r="N213" s="3"/>
      <c r="O213" s="3"/>
      <c r="P213" s="3"/>
      <c r="Q213" s="3"/>
      <c r="R213" s="3"/>
    </row>
    <row r="214" spans="1:18" x14ac:dyDescent="0.25">
      <c r="A214" s="2">
        <v>46198</v>
      </c>
      <c r="B214" s="2" t="s">
        <v>48</v>
      </c>
      <c r="C214" s="3" t="s">
        <v>78</v>
      </c>
      <c r="D214" s="11" t="s">
        <v>515</v>
      </c>
      <c r="E214" s="3">
        <v>100</v>
      </c>
      <c r="F214" s="3" t="s">
        <v>172</v>
      </c>
      <c r="G214" s="4">
        <f t="shared" si="13"/>
        <v>100</v>
      </c>
      <c r="H214" s="3"/>
      <c r="I214" s="3"/>
      <c r="J214" s="3"/>
      <c r="K214" s="3"/>
      <c r="L214" s="3">
        <f t="shared" si="14"/>
        <v>0</v>
      </c>
      <c r="M214" s="3">
        <f t="shared" si="15"/>
        <v>0</v>
      </c>
      <c r="N214" s="3"/>
      <c r="O214" s="3"/>
      <c r="P214" s="3"/>
      <c r="Q214" s="3"/>
      <c r="R214" s="3"/>
    </row>
    <row r="215" spans="1:18" x14ac:dyDescent="0.25">
      <c r="A215" s="2">
        <v>46198</v>
      </c>
      <c r="B215" s="2" t="s">
        <v>48</v>
      </c>
      <c r="C215" s="3" t="s">
        <v>73</v>
      </c>
      <c r="D215" s="11" t="s">
        <v>516</v>
      </c>
      <c r="E215" s="3">
        <v>60</v>
      </c>
      <c r="F215" s="3" t="s">
        <v>172</v>
      </c>
      <c r="G215" s="4">
        <f t="shared" si="13"/>
        <v>60</v>
      </c>
      <c r="H215" s="3"/>
      <c r="I215" s="3"/>
      <c r="J215" s="3"/>
      <c r="K215" s="3"/>
      <c r="L215" s="3">
        <f t="shared" si="14"/>
        <v>0</v>
      </c>
      <c r="M215" s="3">
        <f t="shared" si="15"/>
        <v>0</v>
      </c>
      <c r="N215" s="3"/>
      <c r="O215" s="3"/>
      <c r="P215" s="3"/>
      <c r="Q215" s="3"/>
      <c r="R215" s="3"/>
    </row>
    <row r="216" spans="1:18" x14ac:dyDescent="0.25">
      <c r="A216" s="2">
        <v>46199</v>
      </c>
      <c r="B216" s="2" t="s">
        <v>48</v>
      </c>
      <c r="C216" s="3" t="s">
        <v>73</v>
      </c>
      <c r="D216" s="11" t="s">
        <v>517</v>
      </c>
      <c r="E216" s="3">
        <v>36</v>
      </c>
      <c r="F216" s="3" t="s">
        <v>172</v>
      </c>
      <c r="G216" s="4">
        <f t="shared" si="13"/>
        <v>36</v>
      </c>
      <c r="H216" s="3"/>
      <c r="I216" s="3"/>
      <c r="J216" s="3"/>
      <c r="K216" s="3"/>
      <c r="L216" s="3">
        <f t="shared" si="14"/>
        <v>0</v>
      </c>
      <c r="M216" s="3">
        <f t="shared" si="15"/>
        <v>0</v>
      </c>
      <c r="N216" s="3"/>
      <c r="O216" s="3"/>
      <c r="P216" s="3"/>
      <c r="Q216" s="3"/>
      <c r="R216" s="3"/>
    </row>
    <row r="217" spans="1:18" x14ac:dyDescent="0.25">
      <c r="A217" s="2">
        <v>46199</v>
      </c>
      <c r="B217" s="2" t="s">
        <v>48</v>
      </c>
      <c r="C217" s="3" t="s">
        <v>49</v>
      </c>
      <c r="D217" s="11" t="s">
        <v>518</v>
      </c>
      <c r="E217" s="3">
        <v>1500</v>
      </c>
      <c r="F217" s="3">
        <f t="shared" si="12"/>
        <v>75</v>
      </c>
      <c r="G217" s="4">
        <f t="shared" si="13"/>
        <v>1575</v>
      </c>
      <c r="H217" s="3"/>
      <c r="I217" s="3"/>
      <c r="J217" s="3"/>
      <c r="K217" s="3"/>
      <c r="L217" s="3">
        <f t="shared" si="14"/>
        <v>0</v>
      </c>
      <c r="M217" s="3">
        <f t="shared" si="15"/>
        <v>0</v>
      </c>
      <c r="N217" s="3"/>
      <c r="O217" s="3"/>
      <c r="P217" s="3"/>
      <c r="Q217" s="3"/>
      <c r="R217" s="3"/>
    </row>
    <row r="218" spans="1:18" x14ac:dyDescent="0.25">
      <c r="A218" s="2">
        <v>46199</v>
      </c>
      <c r="B218" s="2" t="s">
        <v>48</v>
      </c>
      <c r="C218" s="3" t="s">
        <v>73</v>
      </c>
      <c r="D218" s="11" t="s">
        <v>519</v>
      </c>
      <c r="E218" s="3">
        <v>60</v>
      </c>
      <c r="F218" s="3" t="s">
        <v>172</v>
      </c>
      <c r="G218" s="4">
        <f t="shared" si="13"/>
        <v>60</v>
      </c>
      <c r="H218" s="3"/>
      <c r="I218" s="3"/>
      <c r="J218" s="3"/>
      <c r="K218" s="3"/>
      <c r="L218" s="3">
        <f t="shared" si="14"/>
        <v>0</v>
      </c>
      <c r="M218" s="3">
        <f t="shared" si="15"/>
        <v>0</v>
      </c>
      <c r="N218" s="3"/>
      <c r="O218" s="3"/>
      <c r="P218" s="3"/>
      <c r="Q218" s="3"/>
      <c r="R218" s="3"/>
    </row>
    <row r="219" spans="1:18" x14ac:dyDescent="0.25">
      <c r="A219" s="2">
        <v>46199</v>
      </c>
      <c r="B219" s="2" t="s">
        <v>48</v>
      </c>
      <c r="C219" s="3" t="s">
        <v>92</v>
      </c>
      <c r="D219" s="11" t="s">
        <v>520</v>
      </c>
      <c r="E219" s="3"/>
      <c r="F219" s="3">
        <f t="shared" si="12"/>
        <v>0</v>
      </c>
      <c r="G219" s="4">
        <f t="shared" si="13"/>
        <v>0</v>
      </c>
      <c r="H219" s="3">
        <v>1000</v>
      </c>
      <c r="I219" s="3"/>
      <c r="J219" s="3"/>
      <c r="K219" s="3"/>
      <c r="L219" s="3">
        <f t="shared" si="14"/>
        <v>0</v>
      </c>
      <c r="M219" s="3">
        <f t="shared" si="15"/>
        <v>0</v>
      </c>
      <c r="N219" s="3"/>
      <c r="O219" s="3"/>
      <c r="P219" s="3"/>
      <c r="Q219" s="3"/>
      <c r="R219" s="3"/>
    </row>
    <row r="220" spans="1:18" x14ac:dyDescent="0.25">
      <c r="A220" s="2">
        <v>46199</v>
      </c>
      <c r="B220" s="2" t="s">
        <v>48</v>
      </c>
      <c r="C220" s="3" t="s">
        <v>78</v>
      </c>
      <c r="D220" s="11" t="s">
        <v>521</v>
      </c>
      <c r="E220" s="3">
        <v>42</v>
      </c>
      <c r="F220" s="3" t="s">
        <v>172</v>
      </c>
      <c r="G220" s="4">
        <f t="shared" si="13"/>
        <v>42</v>
      </c>
      <c r="H220" s="3"/>
      <c r="I220" s="3"/>
      <c r="J220" s="3"/>
      <c r="K220" s="3"/>
      <c r="L220" s="3">
        <f t="shared" si="14"/>
        <v>0</v>
      </c>
      <c r="M220" s="3">
        <f t="shared" si="15"/>
        <v>0</v>
      </c>
      <c r="N220" s="3"/>
      <c r="O220" s="3"/>
      <c r="P220" s="3"/>
      <c r="Q220" s="3"/>
      <c r="R220" s="3"/>
    </row>
    <row r="221" spans="1:18" x14ac:dyDescent="0.25">
      <c r="A221" s="2">
        <v>46199</v>
      </c>
      <c r="B221" s="2" t="s">
        <v>48</v>
      </c>
      <c r="C221" s="3" t="s">
        <v>73</v>
      </c>
      <c r="D221" s="11" t="s">
        <v>522</v>
      </c>
      <c r="E221" s="3">
        <v>210</v>
      </c>
      <c r="F221" s="3" t="s">
        <v>172</v>
      </c>
      <c r="G221" s="4">
        <f t="shared" si="13"/>
        <v>210</v>
      </c>
      <c r="H221" s="3"/>
      <c r="I221" s="3"/>
      <c r="J221" s="3"/>
      <c r="K221" s="3"/>
      <c r="L221" s="3">
        <f t="shared" si="14"/>
        <v>0</v>
      </c>
      <c r="M221" s="3">
        <f t="shared" si="15"/>
        <v>0</v>
      </c>
      <c r="N221" s="3"/>
      <c r="O221" s="3"/>
      <c r="P221" s="3"/>
      <c r="Q221" s="3"/>
      <c r="R221" s="3"/>
    </row>
    <row r="222" spans="1:18" x14ac:dyDescent="0.25">
      <c r="A222" s="2">
        <v>46199</v>
      </c>
      <c r="B222" s="2" t="s">
        <v>48</v>
      </c>
      <c r="C222" s="3" t="s">
        <v>49</v>
      </c>
      <c r="D222" s="11" t="s">
        <v>523</v>
      </c>
      <c r="E222" s="3">
        <v>6</v>
      </c>
      <c r="F222" s="3">
        <f t="shared" si="12"/>
        <v>0.30000000000000004</v>
      </c>
      <c r="G222" s="187">
        <f t="shared" si="13"/>
        <v>6.3</v>
      </c>
      <c r="H222" s="3"/>
      <c r="I222" s="3"/>
      <c r="J222" s="3"/>
      <c r="K222" s="3"/>
      <c r="L222" s="3">
        <f t="shared" si="14"/>
        <v>0</v>
      </c>
      <c r="M222" s="3">
        <f t="shared" si="15"/>
        <v>0</v>
      </c>
      <c r="N222" s="3"/>
      <c r="O222" s="3"/>
      <c r="P222" s="3"/>
      <c r="Q222" s="3"/>
      <c r="R222" s="3"/>
    </row>
    <row r="223" spans="1:18" x14ac:dyDescent="0.25">
      <c r="A223" s="2">
        <v>46199</v>
      </c>
      <c r="B223" s="2" t="s">
        <v>48</v>
      </c>
      <c r="C223" s="3" t="s">
        <v>73</v>
      </c>
      <c r="D223" s="11" t="s">
        <v>524</v>
      </c>
      <c r="E223" s="3">
        <v>60</v>
      </c>
      <c r="F223" s="3" t="s">
        <v>172</v>
      </c>
      <c r="G223" s="4">
        <f t="shared" si="13"/>
        <v>60</v>
      </c>
      <c r="H223" s="3"/>
      <c r="I223" s="3"/>
      <c r="J223" s="3"/>
      <c r="K223" s="3"/>
      <c r="L223" s="3">
        <f t="shared" si="14"/>
        <v>0</v>
      </c>
      <c r="M223" s="3">
        <f t="shared" si="15"/>
        <v>0</v>
      </c>
      <c r="N223" s="3"/>
      <c r="O223" s="3"/>
      <c r="P223" s="3"/>
      <c r="Q223" s="3"/>
      <c r="R223" s="3"/>
    </row>
    <row r="224" spans="1:18" x14ac:dyDescent="0.25">
      <c r="A224" s="2">
        <v>46199</v>
      </c>
      <c r="B224" s="2" t="s">
        <v>48</v>
      </c>
      <c r="C224" s="3" t="s">
        <v>90</v>
      </c>
      <c r="D224" s="11" t="s">
        <v>525</v>
      </c>
      <c r="E224" s="3"/>
      <c r="F224" s="3">
        <f t="shared" si="12"/>
        <v>0</v>
      </c>
      <c r="G224" s="4">
        <f t="shared" si="13"/>
        <v>0</v>
      </c>
      <c r="H224" s="3"/>
      <c r="I224" s="3"/>
      <c r="J224" s="3">
        <v>3000</v>
      </c>
      <c r="K224" s="3"/>
      <c r="L224" s="3">
        <f t="shared" si="14"/>
        <v>0</v>
      </c>
      <c r="M224" s="3">
        <f t="shared" si="15"/>
        <v>0</v>
      </c>
      <c r="N224" s="3"/>
      <c r="O224" s="3"/>
      <c r="P224" s="3"/>
      <c r="Q224" s="3"/>
      <c r="R224" s="3"/>
    </row>
    <row r="225" spans="1:18" x14ac:dyDescent="0.25">
      <c r="A225" s="2">
        <v>46199</v>
      </c>
      <c r="B225" s="2" t="s">
        <v>48</v>
      </c>
      <c r="C225" s="3" t="s">
        <v>92</v>
      </c>
      <c r="D225" s="11" t="s">
        <v>526</v>
      </c>
      <c r="E225" s="3"/>
      <c r="F225" s="3">
        <f t="shared" si="12"/>
        <v>0</v>
      </c>
      <c r="G225" s="4">
        <f t="shared" si="13"/>
        <v>0</v>
      </c>
      <c r="H225" s="3">
        <v>100</v>
      </c>
      <c r="I225" s="3"/>
      <c r="J225" s="3"/>
      <c r="K225" s="3"/>
      <c r="L225" s="3">
        <f t="shared" si="14"/>
        <v>0</v>
      </c>
      <c r="M225" s="3">
        <f t="shared" si="15"/>
        <v>0</v>
      </c>
      <c r="N225" s="3"/>
      <c r="O225" s="3"/>
      <c r="P225" s="3"/>
      <c r="Q225" s="3"/>
      <c r="R225" s="3"/>
    </row>
    <row r="226" spans="1:18" x14ac:dyDescent="0.25">
      <c r="A226" s="2">
        <v>46200</v>
      </c>
      <c r="B226" s="2" t="s">
        <v>48</v>
      </c>
      <c r="C226" s="3" t="s">
        <v>84</v>
      </c>
      <c r="D226" s="11" t="s">
        <v>527</v>
      </c>
      <c r="E226" s="3">
        <v>15</v>
      </c>
      <c r="F226" s="3" t="s">
        <v>172</v>
      </c>
      <c r="G226" s="4">
        <f t="shared" si="13"/>
        <v>15</v>
      </c>
      <c r="H226" s="3"/>
      <c r="I226" s="3"/>
      <c r="J226" s="3"/>
      <c r="K226" s="3"/>
      <c r="L226" s="3">
        <f t="shared" si="14"/>
        <v>0</v>
      </c>
      <c r="M226" s="3">
        <f t="shared" si="15"/>
        <v>0</v>
      </c>
      <c r="N226" s="3"/>
      <c r="O226" s="3"/>
      <c r="P226" s="3"/>
      <c r="Q226" s="3"/>
      <c r="R226" s="3"/>
    </row>
    <row r="227" spans="1:18" x14ac:dyDescent="0.25">
      <c r="A227" s="2">
        <v>46200</v>
      </c>
      <c r="B227" s="2" t="s">
        <v>48</v>
      </c>
      <c r="C227" s="3" t="s">
        <v>93</v>
      </c>
      <c r="D227" s="11" t="s">
        <v>528</v>
      </c>
      <c r="E227" s="3">
        <v>1000</v>
      </c>
      <c r="F227" s="3" t="s">
        <v>172</v>
      </c>
      <c r="G227" s="4">
        <f t="shared" si="13"/>
        <v>1000</v>
      </c>
      <c r="H227" s="3"/>
      <c r="I227" s="3"/>
      <c r="J227" s="3"/>
      <c r="K227" s="3"/>
      <c r="L227" s="3">
        <f t="shared" si="14"/>
        <v>0</v>
      </c>
      <c r="M227" s="3">
        <f t="shared" si="15"/>
        <v>0</v>
      </c>
      <c r="N227" s="3"/>
      <c r="O227" s="3"/>
      <c r="P227" s="3"/>
      <c r="Q227" s="3"/>
      <c r="R227" s="3"/>
    </row>
    <row r="228" spans="1:18" x14ac:dyDescent="0.25">
      <c r="A228" s="2">
        <v>46200</v>
      </c>
      <c r="B228" s="2" t="s">
        <v>48</v>
      </c>
      <c r="C228" s="3" t="s">
        <v>70</v>
      </c>
      <c r="D228" s="11" t="s">
        <v>529</v>
      </c>
      <c r="E228" s="3">
        <v>85</v>
      </c>
      <c r="F228" s="3" t="s">
        <v>172</v>
      </c>
      <c r="G228" s="4">
        <f t="shared" si="13"/>
        <v>85</v>
      </c>
      <c r="H228" s="3"/>
      <c r="I228" s="3"/>
      <c r="J228" s="3"/>
      <c r="K228" s="3"/>
      <c r="L228" s="3">
        <f t="shared" si="14"/>
        <v>0</v>
      </c>
      <c r="M228" s="3">
        <f t="shared" si="15"/>
        <v>0</v>
      </c>
      <c r="N228" s="3"/>
      <c r="O228" s="3"/>
      <c r="P228" s="3"/>
      <c r="Q228" s="3"/>
      <c r="R228" s="3"/>
    </row>
    <row r="229" spans="1:18" x14ac:dyDescent="0.25">
      <c r="A229" s="2">
        <v>46200</v>
      </c>
      <c r="B229" s="2" t="s">
        <v>48</v>
      </c>
      <c r="C229" s="3" t="s">
        <v>49</v>
      </c>
      <c r="D229" s="11" t="s">
        <v>530</v>
      </c>
      <c r="E229" s="3">
        <v>6000</v>
      </c>
      <c r="F229" s="3">
        <f t="shared" si="12"/>
        <v>300</v>
      </c>
      <c r="G229" s="4">
        <f t="shared" si="13"/>
        <v>6300</v>
      </c>
      <c r="H229" s="3"/>
      <c r="I229" s="3"/>
      <c r="J229" s="3"/>
      <c r="K229" s="3"/>
      <c r="L229" s="3">
        <f t="shared" si="14"/>
        <v>0</v>
      </c>
      <c r="M229" s="3">
        <f t="shared" si="15"/>
        <v>0</v>
      </c>
      <c r="N229" s="3"/>
      <c r="O229" s="3"/>
      <c r="P229" s="3"/>
      <c r="Q229" s="3"/>
      <c r="R229" s="3"/>
    </row>
    <row r="230" spans="1:18" x14ac:dyDescent="0.25">
      <c r="A230" s="2">
        <v>46200</v>
      </c>
      <c r="B230" s="2" t="s">
        <v>48</v>
      </c>
      <c r="C230" s="3" t="s">
        <v>73</v>
      </c>
      <c r="D230" s="11" t="s">
        <v>531</v>
      </c>
      <c r="E230" s="3">
        <v>15</v>
      </c>
      <c r="F230" s="3" t="s">
        <v>172</v>
      </c>
      <c r="G230" s="4">
        <f t="shared" si="13"/>
        <v>15</v>
      </c>
      <c r="H230" s="3"/>
      <c r="I230" s="3"/>
      <c r="J230" s="3"/>
      <c r="K230" s="3"/>
      <c r="L230" s="3">
        <f t="shared" si="14"/>
        <v>0</v>
      </c>
      <c r="M230" s="3">
        <f t="shared" si="15"/>
        <v>0</v>
      </c>
      <c r="N230" s="3"/>
      <c r="O230" s="3"/>
      <c r="P230" s="3"/>
      <c r="Q230" s="3"/>
      <c r="R230" s="3"/>
    </row>
    <row r="231" spans="1:18" x14ac:dyDescent="0.25">
      <c r="A231" s="2">
        <v>46200</v>
      </c>
      <c r="B231" s="2" t="s">
        <v>48</v>
      </c>
      <c r="C231" s="3" t="s">
        <v>73</v>
      </c>
      <c r="D231" s="11" t="s">
        <v>532</v>
      </c>
      <c r="E231" s="3">
        <v>60</v>
      </c>
      <c r="F231" s="3" t="s">
        <v>172</v>
      </c>
      <c r="G231" s="4">
        <f t="shared" si="13"/>
        <v>60</v>
      </c>
      <c r="H231" s="3"/>
      <c r="I231" s="3"/>
      <c r="J231" s="3"/>
      <c r="K231" s="3"/>
      <c r="L231" s="3">
        <f t="shared" si="14"/>
        <v>0</v>
      </c>
      <c r="M231" s="3">
        <f t="shared" si="15"/>
        <v>0</v>
      </c>
      <c r="N231" s="3"/>
      <c r="O231" s="3"/>
      <c r="P231" s="3"/>
      <c r="Q231" s="3"/>
      <c r="R231" s="3"/>
    </row>
    <row r="232" spans="1:18" x14ac:dyDescent="0.25">
      <c r="A232" s="2">
        <v>46200</v>
      </c>
      <c r="B232" s="2" t="s">
        <v>48</v>
      </c>
      <c r="C232" s="3" t="s">
        <v>92</v>
      </c>
      <c r="D232" s="11" t="s">
        <v>533</v>
      </c>
      <c r="E232" s="3"/>
      <c r="F232" s="3">
        <f t="shared" si="12"/>
        <v>0</v>
      </c>
      <c r="G232" s="4">
        <f t="shared" si="13"/>
        <v>0</v>
      </c>
      <c r="H232" s="3">
        <v>1050</v>
      </c>
      <c r="I232" s="3"/>
      <c r="J232" s="3"/>
      <c r="K232" s="3"/>
      <c r="L232" s="3">
        <f t="shared" si="14"/>
        <v>0</v>
      </c>
      <c r="M232" s="3">
        <f t="shared" si="15"/>
        <v>0</v>
      </c>
      <c r="N232" s="3"/>
      <c r="O232" s="3"/>
      <c r="P232" s="3"/>
      <c r="Q232" s="3"/>
      <c r="R232" s="3"/>
    </row>
    <row r="233" spans="1:18" x14ac:dyDescent="0.25">
      <c r="A233" s="2">
        <v>46200</v>
      </c>
      <c r="B233" s="2" t="s">
        <v>48</v>
      </c>
      <c r="C233" s="3" t="s">
        <v>64</v>
      </c>
      <c r="D233" s="11" t="s">
        <v>534</v>
      </c>
      <c r="E233" s="3">
        <v>160</v>
      </c>
      <c r="F233" s="3" t="s">
        <v>172</v>
      </c>
      <c r="G233" s="4">
        <f t="shared" si="13"/>
        <v>160</v>
      </c>
      <c r="H233" s="3"/>
      <c r="I233" s="3"/>
      <c r="J233" s="3"/>
      <c r="K233" s="3"/>
      <c r="L233" s="3">
        <f t="shared" si="14"/>
        <v>0</v>
      </c>
      <c r="M233" s="3">
        <f t="shared" si="15"/>
        <v>0</v>
      </c>
      <c r="N233" s="3"/>
      <c r="O233" s="3"/>
      <c r="P233" s="3"/>
      <c r="Q233" s="3"/>
      <c r="R233" s="3"/>
    </row>
    <row r="234" spans="1:18" x14ac:dyDescent="0.25">
      <c r="A234" s="2">
        <v>46200</v>
      </c>
      <c r="B234" s="2" t="s">
        <v>48</v>
      </c>
      <c r="C234" s="3" t="s">
        <v>68</v>
      </c>
      <c r="D234" s="11" t="s">
        <v>535</v>
      </c>
      <c r="E234" s="3">
        <v>20.48</v>
      </c>
      <c r="F234" s="3">
        <f t="shared" si="12"/>
        <v>1.024</v>
      </c>
      <c r="G234" s="4">
        <f t="shared" si="13"/>
        <v>21.504000000000001</v>
      </c>
      <c r="H234" s="3"/>
      <c r="I234" s="3"/>
      <c r="J234" s="3"/>
      <c r="K234" s="3"/>
      <c r="L234" s="3">
        <f t="shared" si="14"/>
        <v>0</v>
      </c>
      <c r="M234" s="3">
        <f t="shared" si="15"/>
        <v>0</v>
      </c>
      <c r="N234" s="3"/>
      <c r="O234" s="3"/>
      <c r="P234" s="3"/>
      <c r="Q234" s="3"/>
      <c r="R234" s="3"/>
    </row>
    <row r="235" spans="1:18" x14ac:dyDescent="0.25">
      <c r="A235" s="2">
        <v>46200</v>
      </c>
      <c r="B235" s="2" t="s">
        <v>48</v>
      </c>
      <c r="C235" s="3" t="s">
        <v>66</v>
      </c>
      <c r="D235" s="11" t="s">
        <v>536</v>
      </c>
      <c r="E235" s="3">
        <v>50</v>
      </c>
      <c r="F235" s="3" t="s">
        <v>172</v>
      </c>
      <c r="G235" s="4">
        <f t="shared" si="13"/>
        <v>50</v>
      </c>
      <c r="H235" s="3"/>
      <c r="I235" s="3"/>
      <c r="J235" s="3"/>
      <c r="K235" s="3"/>
      <c r="L235" s="3">
        <f t="shared" si="14"/>
        <v>0</v>
      </c>
      <c r="M235" s="3">
        <f t="shared" si="15"/>
        <v>0</v>
      </c>
      <c r="N235" s="3"/>
      <c r="O235" s="3"/>
      <c r="P235" s="3"/>
      <c r="Q235" s="3"/>
      <c r="R235" s="3"/>
    </row>
    <row r="236" spans="1:18" x14ac:dyDescent="0.25">
      <c r="A236" s="2">
        <v>46200</v>
      </c>
      <c r="B236" s="2" t="s">
        <v>48</v>
      </c>
      <c r="C236" s="3" t="s">
        <v>64</v>
      </c>
      <c r="D236" s="11" t="s">
        <v>537</v>
      </c>
      <c r="E236" s="3">
        <v>215</v>
      </c>
      <c r="F236" s="3" t="s">
        <v>172</v>
      </c>
      <c r="G236" s="4">
        <f t="shared" si="13"/>
        <v>215</v>
      </c>
      <c r="H236" s="3"/>
      <c r="I236" s="3"/>
      <c r="J236" s="3"/>
      <c r="K236" s="3"/>
      <c r="L236" s="3">
        <f t="shared" si="14"/>
        <v>0</v>
      </c>
      <c r="M236" s="3">
        <f t="shared" si="15"/>
        <v>0</v>
      </c>
      <c r="N236" s="3"/>
      <c r="O236" s="3"/>
      <c r="P236" s="3"/>
      <c r="Q236" s="3"/>
      <c r="R236" s="3"/>
    </row>
    <row r="237" spans="1:18" x14ac:dyDescent="0.25">
      <c r="A237" s="2">
        <v>46200</v>
      </c>
      <c r="B237" s="2" t="s">
        <v>48</v>
      </c>
      <c r="C237" s="3" t="s">
        <v>90</v>
      </c>
      <c r="D237" s="11" t="s">
        <v>538</v>
      </c>
      <c r="E237" s="3"/>
      <c r="F237" s="3">
        <f t="shared" si="12"/>
        <v>0</v>
      </c>
      <c r="G237" s="4">
        <f t="shared" si="13"/>
        <v>0</v>
      </c>
      <c r="H237" s="3"/>
      <c r="I237" s="3"/>
      <c r="J237" s="3">
        <v>3000</v>
      </c>
      <c r="K237" s="3"/>
      <c r="L237" s="3">
        <f t="shared" si="14"/>
        <v>0</v>
      </c>
      <c r="M237" s="3">
        <f t="shared" si="15"/>
        <v>0</v>
      </c>
      <c r="N237" s="3"/>
      <c r="O237" s="3"/>
      <c r="P237" s="3"/>
      <c r="Q237" s="3"/>
      <c r="R237" s="3"/>
    </row>
    <row r="238" spans="1:18" x14ac:dyDescent="0.25">
      <c r="A238" s="2">
        <v>46200</v>
      </c>
      <c r="B238" s="2" t="s">
        <v>285</v>
      </c>
      <c r="C238" s="3" t="s">
        <v>81</v>
      </c>
      <c r="D238" s="11" t="s">
        <v>539</v>
      </c>
      <c r="E238" s="3">
        <v>500</v>
      </c>
      <c r="F238" s="3" t="s">
        <v>172</v>
      </c>
      <c r="G238" s="4">
        <f t="shared" si="13"/>
        <v>500</v>
      </c>
      <c r="H238" s="3"/>
      <c r="I238" s="3"/>
      <c r="J238" s="3"/>
      <c r="K238" s="3"/>
      <c r="L238" s="3">
        <f t="shared" si="14"/>
        <v>0</v>
      </c>
      <c r="M238" s="3">
        <f t="shared" si="15"/>
        <v>0</v>
      </c>
      <c r="N238" s="3"/>
      <c r="O238" s="3"/>
      <c r="P238" s="3"/>
      <c r="Q238" s="3"/>
      <c r="R238" s="3"/>
    </row>
    <row r="239" spans="1:18" x14ac:dyDescent="0.25">
      <c r="A239" s="2">
        <v>46202</v>
      </c>
      <c r="B239" s="2" t="s">
        <v>48</v>
      </c>
      <c r="C239" s="3" t="s">
        <v>92</v>
      </c>
      <c r="D239" s="11" t="s">
        <v>540</v>
      </c>
      <c r="E239" s="3"/>
      <c r="F239" s="3">
        <f t="shared" si="12"/>
        <v>0</v>
      </c>
      <c r="G239" s="4">
        <f t="shared" si="13"/>
        <v>0</v>
      </c>
      <c r="H239" s="3">
        <v>500</v>
      </c>
      <c r="I239" s="3"/>
      <c r="J239" s="3"/>
      <c r="K239" s="3"/>
      <c r="L239" s="3">
        <f t="shared" si="14"/>
        <v>0</v>
      </c>
      <c r="M239" s="3">
        <f t="shared" si="15"/>
        <v>0</v>
      </c>
      <c r="N239" s="3"/>
      <c r="O239" s="3"/>
      <c r="P239" s="3"/>
      <c r="Q239" s="3"/>
      <c r="R239" s="3"/>
    </row>
    <row r="240" spans="1:18" x14ac:dyDescent="0.25">
      <c r="A240" s="2">
        <v>46202</v>
      </c>
      <c r="B240" s="2" t="s">
        <v>48</v>
      </c>
      <c r="C240" s="3" t="s">
        <v>70</v>
      </c>
      <c r="D240" s="11" t="s">
        <v>541</v>
      </c>
      <c r="E240" s="3">
        <v>57</v>
      </c>
      <c r="F240" s="3" t="s">
        <v>172</v>
      </c>
      <c r="G240" s="4">
        <f t="shared" si="13"/>
        <v>57</v>
      </c>
      <c r="H240" s="3"/>
      <c r="I240" s="3"/>
      <c r="J240" s="3"/>
      <c r="K240" s="3"/>
      <c r="L240" s="3">
        <f t="shared" si="14"/>
        <v>0</v>
      </c>
      <c r="M240" s="3">
        <f t="shared" si="15"/>
        <v>0</v>
      </c>
      <c r="N240" s="3"/>
      <c r="O240" s="3"/>
      <c r="P240" s="3"/>
      <c r="Q240" s="3"/>
      <c r="R240" s="3"/>
    </row>
    <row r="241" spans="1:18" x14ac:dyDescent="0.25">
      <c r="A241" s="2">
        <v>46202</v>
      </c>
      <c r="B241" s="2" t="s">
        <v>48</v>
      </c>
      <c r="C241" s="3" t="s">
        <v>84</v>
      </c>
      <c r="D241" s="11" t="s">
        <v>542</v>
      </c>
      <c r="E241" s="3">
        <v>53.5</v>
      </c>
      <c r="F241" s="3" t="s">
        <v>172</v>
      </c>
      <c r="G241" s="4">
        <f t="shared" si="13"/>
        <v>53.5</v>
      </c>
      <c r="H241" s="3"/>
      <c r="I241" s="3"/>
      <c r="J241" s="3"/>
      <c r="K241" s="3"/>
      <c r="L241" s="3">
        <f t="shared" si="14"/>
        <v>0</v>
      </c>
      <c r="M241" s="3">
        <f t="shared" si="15"/>
        <v>0</v>
      </c>
      <c r="N241" s="3"/>
      <c r="O241" s="3"/>
      <c r="P241" s="3"/>
      <c r="Q241" s="3"/>
      <c r="R241" s="3"/>
    </row>
    <row r="242" spans="1:18" x14ac:dyDescent="0.25">
      <c r="A242" s="2">
        <v>46202</v>
      </c>
      <c r="B242" s="2" t="s">
        <v>48</v>
      </c>
      <c r="C242" s="3" t="s">
        <v>76</v>
      </c>
      <c r="D242" s="11" t="s">
        <v>543</v>
      </c>
      <c r="E242" s="3">
        <v>76</v>
      </c>
      <c r="F242" s="3" t="s">
        <v>172</v>
      </c>
      <c r="G242" s="4">
        <f t="shared" si="13"/>
        <v>76</v>
      </c>
      <c r="H242" s="3"/>
      <c r="I242" s="3"/>
      <c r="J242" s="3"/>
      <c r="K242" s="3"/>
      <c r="L242" s="3">
        <f t="shared" si="14"/>
        <v>0</v>
      </c>
      <c r="M242" s="3">
        <f t="shared" si="15"/>
        <v>0</v>
      </c>
      <c r="N242" s="3"/>
      <c r="O242" s="3"/>
      <c r="P242" s="3"/>
      <c r="Q242" s="3"/>
      <c r="R242" s="3"/>
    </row>
    <row r="243" spans="1:18" x14ac:dyDescent="0.25">
      <c r="A243" s="2">
        <v>46202</v>
      </c>
      <c r="B243" s="2" t="s">
        <v>48</v>
      </c>
      <c r="C243" s="3" t="s">
        <v>80</v>
      </c>
      <c r="D243" s="11" t="s">
        <v>544</v>
      </c>
      <c r="E243" s="3">
        <v>50</v>
      </c>
      <c r="F243" s="3" t="s">
        <v>172</v>
      </c>
      <c r="G243" s="4">
        <f t="shared" si="13"/>
        <v>50</v>
      </c>
      <c r="H243" s="3"/>
      <c r="I243" s="3"/>
      <c r="J243" s="3"/>
      <c r="K243" s="3"/>
      <c r="L243" s="3">
        <f t="shared" si="14"/>
        <v>0</v>
      </c>
      <c r="M243" s="3">
        <f t="shared" si="15"/>
        <v>0</v>
      </c>
      <c r="N243" s="3"/>
      <c r="O243" s="3"/>
      <c r="P243" s="3"/>
      <c r="Q243" s="3"/>
      <c r="R243" s="3"/>
    </row>
    <row r="244" spans="1:18" x14ac:dyDescent="0.25">
      <c r="A244" s="2">
        <v>46202</v>
      </c>
      <c r="B244" s="2" t="s">
        <v>49</v>
      </c>
      <c r="C244" s="3" t="s">
        <v>90</v>
      </c>
      <c r="D244" s="11" t="s">
        <v>545</v>
      </c>
      <c r="E244" s="3"/>
      <c r="F244" s="3">
        <f t="shared" si="12"/>
        <v>0</v>
      </c>
      <c r="G244" s="4">
        <f t="shared" si="13"/>
        <v>0</v>
      </c>
      <c r="H244" s="3"/>
      <c r="I244" s="3"/>
      <c r="J244" s="3">
        <v>6140</v>
      </c>
      <c r="K244" s="3"/>
      <c r="L244" s="3">
        <f t="shared" si="14"/>
        <v>0</v>
      </c>
      <c r="M244" s="3">
        <f t="shared" si="15"/>
        <v>0</v>
      </c>
      <c r="N244" s="3"/>
      <c r="O244" s="3"/>
      <c r="P244" s="3"/>
      <c r="Q244" s="3"/>
      <c r="R244" s="3"/>
    </row>
    <row r="245" spans="1:18" x14ac:dyDescent="0.25">
      <c r="A245" s="2">
        <v>46202</v>
      </c>
      <c r="B245" s="2" t="s">
        <v>288</v>
      </c>
      <c r="C245" s="3" t="s">
        <v>217</v>
      </c>
      <c r="D245" s="11" t="s">
        <v>546</v>
      </c>
      <c r="E245" s="3">
        <v>37976.400000000001</v>
      </c>
      <c r="F245" s="3">
        <f t="shared" si="12"/>
        <v>1898.8200000000002</v>
      </c>
      <c r="G245" s="4">
        <f t="shared" si="13"/>
        <v>39875.22</v>
      </c>
      <c r="H245" s="3"/>
      <c r="I245" s="3"/>
      <c r="J245" s="3"/>
      <c r="K245" s="3"/>
      <c r="L245" s="3">
        <f t="shared" si="14"/>
        <v>0</v>
      </c>
      <c r="M245" s="3">
        <f t="shared" si="15"/>
        <v>0</v>
      </c>
      <c r="N245" s="3"/>
      <c r="O245" s="3"/>
      <c r="P245" s="3"/>
      <c r="Q245" s="3"/>
      <c r="R245" s="3"/>
    </row>
    <row r="246" spans="1:18" x14ac:dyDescent="0.25">
      <c r="A246" s="2">
        <v>46143</v>
      </c>
      <c r="B246" s="2" t="s">
        <v>48</v>
      </c>
      <c r="C246" s="3" t="s">
        <v>49</v>
      </c>
      <c r="D246" s="11" t="s">
        <v>547</v>
      </c>
      <c r="E246" s="3">
        <v>176.19</v>
      </c>
      <c r="F246" s="3">
        <f>E246*5%</f>
        <v>8.8094999999999999</v>
      </c>
      <c r="G246" s="4">
        <f>IF(F246="NO TAX",E246,E246+F246)</f>
        <v>184.99950000000001</v>
      </c>
      <c r="H246" s="3"/>
      <c r="I246" s="3"/>
      <c r="J246" s="3"/>
      <c r="K246" s="3"/>
      <c r="L246" s="3">
        <f>K246*5%</f>
        <v>0</v>
      </c>
      <c r="M246" s="3">
        <f>IF(L246="NO TAX",K246,K246+L246)</f>
        <v>0</v>
      </c>
      <c r="N246" s="3"/>
      <c r="O246" s="3"/>
      <c r="P246" s="3"/>
      <c r="Q246" s="3"/>
      <c r="R246" s="3"/>
    </row>
    <row r="247" spans="1:18" x14ac:dyDescent="0.25">
      <c r="A247" s="2">
        <v>46143</v>
      </c>
      <c r="B247" s="3" t="s">
        <v>48</v>
      </c>
      <c r="C247" s="3" t="s">
        <v>78</v>
      </c>
      <c r="D247" s="11" t="s">
        <v>548</v>
      </c>
      <c r="E247" s="3">
        <v>47</v>
      </c>
      <c r="F247" s="3" t="s">
        <v>172</v>
      </c>
      <c r="G247" s="4">
        <f t="shared" ref="G247:G310" si="16">IF(F247="NO TAX",E247,E247+F247)</f>
        <v>47</v>
      </c>
      <c r="H247" s="3"/>
      <c r="I247" s="3"/>
      <c r="J247" s="3"/>
      <c r="K247" s="3"/>
      <c r="L247" s="3">
        <f t="shared" ref="L247:L310" si="17">K247*5%</f>
        <v>0</v>
      </c>
      <c r="M247" s="3">
        <f t="shared" ref="M247:M310" si="18">IF(L247="NO TAX",K247,K247+L247)</f>
        <v>0</v>
      </c>
      <c r="N247" s="3"/>
      <c r="O247" s="3"/>
      <c r="P247" s="3"/>
      <c r="Q247" s="3"/>
      <c r="R247" s="3"/>
    </row>
    <row r="248" spans="1:18" x14ac:dyDescent="0.25">
      <c r="A248" s="2">
        <v>46143</v>
      </c>
      <c r="B248" s="3" t="s">
        <v>48</v>
      </c>
      <c r="C248" s="3" t="s">
        <v>73</v>
      </c>
      <c r="D248" s="11" t="s">
        <v>549</v>
      </c>
      <c r="E248" s="3">
        <v>13900</v>
      </c>
      <c r="F248" s="3" t="s">
        <v>172</v>
      </c>
      <c r="G248" s="4">
        <f t="shared" si="16"/>
        <v>13900</v>
      </c>
      <c r="H248" s="3"/>
      <c r="I248" s="3"/>
      <c r="J248" s="3"/>
      <c r="K248" s="3"/>
      <c r="L248" s="3">
        <f t="shared" si="17"/>
        <v>0</v>
      </c>
      <c r="M248" s="3">
        <f t="shared" si="18"/>
        <v>0</v>
      </c>
      <c r="N248" s="3"/>
      <c r="O248" s="3"/>
      <c r="P248" s="3"/>
      <c r="Q248" s="3"/>
      <c r="R248" s="3"/>
    </row>
    <row r="249" spans="1:18" x14ac:dyDescent="0.25">
      <c r="A249" s="2">
        <v>46143</v>
      </c>
      <c r="B249" s="3" t="s">
        <v>48</v>
      </c>
      <c r="C249" s="3" t="s">
        <v>73</v>
      </c>
      <c r="D249" s="11" t="s">
        <v>550</v>
      </c>
      <c r="E249" s="3">
        <v>14</v>
      </c>
      <c r="F249" s="3" t="s">
        <v>172</v>
      </c>
      <c r="G249" s="4">
        <f t="shared" si="16"/>
        <v>14</v>
      </c>
      <c r="H249" s="3"/>
      <c r="I249" s="3"/>
      <c r="J249" s="3"/>
      <c r="K249" s="3"/>
      <c r="L249" s="3">
        <f t="shared" si="17"/>
        <v>0</v>
      </c>
      <c r="M249" s="3">
        <f t="shared" si="18"/>
        <v>0</v>
      </c>
      <c r="N249" s="3"/>
      <c r="O249" s="3"/>
      <c r="P249" s="3"/>
      <c r="Q249" s="3"/>
      <c r="R249" s="3"/>
    </row>
    <row r="250" spans="1:18" x14ac:dyDescent="0.25">
      <c r="A250" s="2">
        <v>46143</v>
      </c>
      <c r="B250" s="3" t="s">
        <v>48</v>
      </c>
      <c r="C250" s="3" t="s">
        <v>93</v>
      </c>
      <c r="D250" s="11" t="s">
        <v>551</v>
      </c>
      <c r="E250" s="3">
        <v>1500</v>
      </c>
      <c r="F250" s="3" t="s">
        <v>172</v>
      </c>
      <c r="G250" s="4">
        <f t="shared" si="16"/>
        <v>1500</v>
      </c>
      <c r="H250" s="3"/>
      <c r="I250" s="3"/>
      <c r="J250" s="3"/>
      <c r="K250" s="3"/>
      <c r="L250" s="3">
        <f t="shared" si="17"/>
        <v>0</v>
      </c>
      <c r="M250" s="3">
        <f t="shared" si="18"/>
        <v>0</v>
      </c>
      <c r="N250" s="3"/>
      <c r="O250" s="3"/>
      <c r="P250" s="3"/>
      <c r="Q250" s="3"/>
      <c r="R250" s="3"/>
    </row>
    <row r="251" spans="1:18" x14ac:dyDescent="0.25">
      <c r="A251" s="2">
        <v>46144</v>
      </c>
      <c r="B251" s="3" t="s">
        <v>291</v>
      </c>
      <c r="C251" s="3" t="s">
        <v>92</v>
      </c>
      <c r="D251" s="11" t="s">
        <v>552</v>
      </c>
      <c r="E251" s="3"/>
      <c r="F251" s="3">
        <f t="shared" ref="F251:F257" si="19">E251*5%</f>
        <v>0</v>
      </c>
      <c r="G251" s="4">
        <f t="shared" si="16"/>
        <v>0</v>
      </c>
      <c r="H251" s="3">
        <v>1926</v>
      </c>
      <c r="I251" s="3"/>
      <c r="J251" s="3"/>
      <c r="K251" s="3"/>
      <c r="L251" s="3">
        <f t="shared" si="17"/>
        <v>0</v>
      </c>
      <c r="M251" s="3">
        <f t="shared" si="18"/>
        <v>0</v>
      </c>
      <c r="N251" s="3"/>
      <c r="O251" s="3"/>
      <c r="P251" s="3"/>
      <c r="Q251" s="3"/>
      <c r="R251" s="3"/>
    </row>
    <row r="252" spans="1:18" x14ac:dyDescent="0.25">
      <c r="A252" s="2">
        <v>46144</v>
      </c>
      <c r="B252" s="3" t="s">
        <v>48</v>
      </c>
      <c r="C252" s="3" t="s">
        <v>64</v>
      </c>
      <c r="D252" s="11" t="s">
        <v>553</v>
      </c>
      <c r="E252" s="216">
        <v>150</v>
      </c>
      <c r="F252" s="3" t="s">
        <v>172</v>
      </c>
      <c r="G252" s="4">
        <f t="shared" si="16"/>
        <v>150</v>
      </c>
      <c r="H252" s="3"/>
      <c r="I252" s="3"/>
      <c r="J252" s="3"/>
      <c r="K252" s="3"/>
      <c r="L252" s="3">
        <f t="shared" si="17"/>
        <v>0</v>
      </c>
      <c r="M252" s="3">
        <f t="shared" si="18"/>
        <v>0</v>
      </c>
      <c r="N252" s="3"/>
      <c r="O252" s="3"/>
      <c r="P252" s="3"/>
      <c r="Q252" s="3"/>
      <c r="R252" s="3"/>
    </row>
    <row r="253" spans="1:18" x14ac:dyDescent="0.25">
      <c r="A253" s="2">
        <v>46144</v>
      </c>
      <c r="B253" s="3" t="s">
        <v>48</v>
      </c>
      <c r="C253" s="3" t="s">
        <v>66</v>
      </c>
      <c r="D253" s="11" t="s">
        <v>554</v>
      </c>
      <c r="E253" s="3">
        <v>100</v>
      </c>
      <c r="F253" s="3" t="s">
        <v>172</v>
      </c>
      <c r="G253" s="4">
        <f t="shared" si="16"/>
        <v>100</v>
      </c>
      <c r="H253" s="3"/>
      <c r="I253" s="3"/>
      <c r="J253" s="3"/>
      <c r="K253" s="3"/>
      <c r="L253" s="3">
        <f t="shared" si="17"/>
        <v>0</v>
      </c>
      <c r="M253" s="3">
        <f t="shared" si="18"/>
        <v>0</v>
      </c>
      <c r="N253" s="3"/>
      <c r="O253" s="3"/>
      <c r="P253" s="3"/>
      <c r="Q253" s="3"/>
      <c r="R253" s="3"/>
    </row>
    <row r="254" spans="1:18" x14ac:dyDescent="0.25">
      <c r="A254" s="2">
        <v>46144</v>
      </c>
      <c r="B254" s="3" t="s">
        <v>48</v>
      </c>
      <c r="C254" s="3" t="s">
        <v>64</v>
      </c>
      <c r="D254" s="11" t="s">
        <v>555</v>
      </c>
      <c r="E254" s="217">
        <v>400</v>
      </c>
      <c r="F254" s="3" t="s">
        <v>172</v>
      </c>
      <c r="G254" s="4">
        <f t="shared" si="16"/>
        <v>400</v>
      </c>
      <c r="H254" s="3"/>
      <c r="I254" s="3"/>
      <c r="J254" s="3"/>
      <c r="K254" s="3"/>
      <c r="L254" s="3">
        <f t="shared" si="17"/>
        <v>0</v>
      </c>
      <c r="M254" s="3">
        <f t="shared" si="18"/>
        <v>0</v>
      </c>
      <c r="N254" s="3"/>
      <c r="O254" s="3"/>
      <c r="P254" s="3"/>
      <c r="Q254" s="3"/>
      <c r="R254" s="3"/>
    </row>
    <row r="255" spans="1:18" x14ac:dyDescent="0.25">
      <c r="A255" s="2">
        <v>46144</v>
      </c>
      <c r="B255" s="3" t="s">
        <v>48</v>
      </c>
      <c r="C255" s="3" t="s">
        <v>70</v>
      </c>
      <c r="D255" s="11" t="s">
        <v>556</v>
      </c>
      <c r="E255" s="217">
        <v>50</v>
      </c>
      <c r="F255" s="3" t="s">
        <v>172</v>
      </c>
      <c r="G255" s="4">
        <f t="shared" si="16"/>
        <v>50</v>
      </c>
      <c r="H255" s="3"/>
      <c r="I255" s="3"/>
      <c r="J255" s="3"/>
      <c r="K255" s="3"/>
      <c r="L255" s="3">
        <f t="shared" si="17"/>
        <v>0</v>
      </c>
      <c r="M255" s="3">
        <f t="shared" si="18"/>
        <v>0</v>
      </c>
      <c r="N255" s="3"/>
      <c r="O255" s="3"/>
      <c r="P255" s="3"/>
      <c r="Q255" s="3"/>
      <c r="R255" s="3"/>
    </row>
    <row r="256" spans="1:18" x14ac:dyDescent="0.25">
      <c r="A256" s="2">
        <v>46146</v>
      </c>
      <c r="B256" s="3" t="s">
        <v>48</v>
      </c>
      <c r="C256" s="3" t="s">
        <v>49</v>
      </c>
      <c r="D256" s="11" t="s">
        <v>557</v>
      </c>
      <c r="E256" s="216">
        <f>200+75</f>
        <v>275</v>
      </c>
      <c r="F256" s="3">
        <f t="shared" si="19"/>
        <v>13.75</v>
      </c>
      <c r="G256" s="218">
        <f t="shared" si="16"/>
        <v>288.75</v>
      </c>
      <c r="H256" s="3"/>
      <c r="I256" s="3"/>
      <c r="J256" s="3"/>
      <c r="K256" s="3"/>
      <c r="L256" s="3">
        <f t="shared" si="17"/>
        <v>0</v>
      </c>
      <c r="M256" s="3">
        <f t="shared" si="18"/>
        <v>0</v>
      </c>
      <c r="N256" s="3"/>
      <c r="O256" s="3"/>
      <c r="P256" s="3"/>
      <c r="Q256" s="3"/>
      <c r="R256" s="3"/>
    </row>
    <row r="257" spans="1:18" x14ac:dyDescent="0.25">
      <c r="A257" s="2">
        <v>46146</v>
      </c>
      <c r="B257" s="3" t="s">
        <v>48</v>
      </c>
      <c r="C257" s="3" t="s">
        <v>49</v>
      </c>
      <c r="D257" s="11" t="s">
        <v>558</v>
      </c>
      <c r="E257" s="217">
        <v>38.1</v>
      </c>
      <c r="F257" s="3">
        <f t="shared" si="19"/>
        <v>1.9050000000000002</v>
      </c>
      <c r="G257" s="187">
        <f t="shared" si="16"/>
        <v>40.005000000000003</v>
      </c>
      <c r="H257" s="3"/>
      <c r="I257" s="3"/>
      <c r="J257" s="3"/>
      <c r="K257" s="3"/>
      <c r="L257" s="3">
        <f t="shared" si="17"/>
        <v>0</v>
      </c>
      <c r="M257" s="3">
        <f t="shared" si="18"/>
        <v>0</v>
      </c>
      <c r="N257" s="3"/>
      <c r="O257" s="3"/>
      <c r="P257" s="3"/>
      <c r="Q257" s="3"/>
      <c r="R257" s="3"/>
    </row>
    <row r="258" spans="1:18" x14ac:dyDescent="0.25">
      <c r="A258" s="2">
        <v>46146</v>
      </c>
      <c r="B258" s="3" t="s">
        <v>48</v>
      </c>
      <c r="C258" s="3" t="s">
        <v>71</v>
      </c>
      <c r="D258" s="11" t="s">
        <v>559</v>
      </c>
      <c r="E258" s="217">
        <v>2000</v>
      </c>
      <c r="F258" s="3" t="s">
        <v>172</v>
      </c>
      <c r="G258" s="4">
        <f t="shared" si="16"/>
        <v>2000</v>
      </c>
      <c r="H258" s="3"/>
      <c r="I258" s="3"/>
      <c r="J258" s="3"/>
      <c r="K258" s="3"/>
      <c r="L258" s="3">
        <f t="shared" si="17"/>
        <v>0</v>
      </c>
      <c r="M258" s="3">
        <f t="shared" si="18"/>
        <v>0</v>
      </c>
      <c r="N258" s="3"/>
      <c r="O258" s="3"/>
      <c r="P258" s="3"/>
      <c r="Q258" s="3"/>
      <c r="R258" s="3"/>
    </row>
    <row r="259" spans="1:18" x14ac:dyDescent="0.25">
      <c r="A259" s="2">
        <v>46146</v>
      </c>
      <c r="B259" s="3" t="s">
        <v>48</v>
      </c>
      <c r="C259" s="3" t="s">
        <v>68</v>
      </c>
      <c r="D259" s="11" t="s">
        <v>560</v>
      </c>
      <c r="E259" s="217">
        <v>3</v>
      </c>
      <c r="F259" s="3" t="s">
        <v>172</v>
      </c>
      <c r="G259" s="4">
        <f t="shared" si="16"/>
        <v>3</v>
      </c>
      <c r="H259" s="3"/>
      <c r="I259" s="3"/>
      <c r="J259" s="3"/>
      <c r="K259" s="3"/>
      <c r="L259" s="3">
        <f t="shared" si="17"/>
        <v>0</v>
      </c>
      <c r="M259" s="3">
        <f t="shared" si="18"/>
        <v>0</v>
      </c>
      <c r="N259" s="3"/>
      <c r="O259" s="3"/>
      <c r="P259" s="3"/>
      <c r="Q259" s="3"/>
      <c r="R259" s="3"/>
    </row>
    <row r="260" spans="1:18" x14ac:dyDescent="0.25">
      <c r="A260" s="2">
        <v>46146</v>
      </c>
      <c r="B260" s="3" t="s">
        <v>48</v>
      </c>
      <c r="C260" s="3" t="s">
        <v>49</v>
      </c>
      <c r="D260" s="11" t="s">
        <v>561</v>
      </c>
      <c r="E260" s="3">
        <v>-176.19</v>
      </c>
      <c r="F260" s="158">
        <f>E260*5%</f>
        <v>-8.8094999999999999</v>
      </c>
      <c r="G260" s="4">
        <f t="shared" si="16"/>
        <v>-184.99950000000001</v>
      </c>
      <c r="H260" s="3"/>
      <c r="I260" s="3"/>
      <c r="J260" s="3"/>
      <c r="K260" s="3"/>
      <c r="L260" s="3">
        <f t="shared" si="17"/>
        <v>0</v>
      </c>
      <c r="M260" s="3">
        <f t="shared" si="18"/>
        <v>0</v>
      </c>
      <c r="N260" s="3"/>
      <c r="O260" s="3"/>
      <c r="P260" s="3"/>
      <c r="Q260" s="3"/>
      <c r="R260" s="3"/>
    </row>
    <row r="261" spans="1:18" x14ac:dyDescent="0.25">
      <c r="A261" s="2">
        <v>46147</v>
      </c>
      <c r="B261" s="3" t="s">
        <v>48</v>
      </c>
      <c r="C261" s="3" t="s">
        <v>73</v>
      </c>
      <c r="D261" s="11" t="s">
        <v>562</v>
      </c>
      <c r="E261" s="216">
        <v>55</v>
      </c>
      <c r="F261" s="158" t="s">
        <v>172</v>
      </c>
      <c r="G261" s="4">
        <f t="shared" si="16"/>
        <v>55</v>
      </c>
      <c r="H261" s="3"/>
      <c r="I261" s="3"/>
      <c r="J261" s="3"/>
      <c r="K261" s="3"/>
      <c r="L261" s="3">
        <f t="shared" si="17"/>
        <v>0</v>
      </c>
      <c r="M261" s="3">
        <f t="shared" si="18"/>
        <v>0</v>
      </c>
      <c r="N261" s="3"/>
      <c r="O261" s="3"/>
      <c r="P261" s="3"/>
      <c r="Q261" s="3"/>
      <c r="R261" s="3"/>
    </row>
    <row r="262" spans="1:18" x14ac:dyDescent="0.25">
      <c r="A262" s="2">
        <v>46147</v>
      </c>
      <c r="B262" s="3" t="s">
        <v>48</v>
      </c>
      <c r="C262" s="3" t="s">
        <v>73</v>
      </c>
      <c r="D262" s="11" t="s">
        <v>563</v>
      </c>
      <c r="E262" s="216">
        <v>495</v>
      </c>
      <c r="F262" s="158" t="s">
        <v>172</v>
      </c>
      <c r="G262" s="4">
        <f t="shared" si="16"/>
        <v>495</v>
      </c>
      <c r="H262" s="3"/>
      <c r="I262" s="3"/>
      <c r="J262" s="3"/>
      <c r="K262" s="3"/>
      <c r="L262" s="3">
        <f t="shared" si="17"/>
        <v>0</v>
      </c>
      <c r="M262" s="3">
        <f t="shared" si="18"/>
        <v>0</v>
      </c>
      <c r="N262" s="3"/>
      <c r="O262" s="3"/>
      <c r="P262" s="3"/>
      <c r="Q262" s="3"/>
      <c r="R262" s="3"/>
    </row>
    <row r="263" spans="1:18" x14ac:dyDescent="0.25">
      <c r="A263" s="2">
        <v>46147</v>
      </c>
      <c r="B263" s="3" t="s">
        <v>48</v>
      </c>
      <c r="C263" s="3" t="s">
        <v>70</v>
      </c>
      <c r="D263" s="11" t="s">
        <v>564</v>
      </c>
      <c r="E263" s="217">
        <v>37</v>
      </c>
      <c r="F263" s="158" t="s">
        <v>172</v>
      </c>
      <c r="G263" s="4">
        <f t="shared" si="16"/>
        <v>37</v>
      </c>
      <c r="H263" s="3"/>
      <c r="I263" s="3"/>
      <c r="J263" s="3"/>
      <c r="K263" s="3"/>
      <c r="L263" s="3">
        <f t="shared" si="17"/>
        <v>0</v>
      </c>
      <c r="M263" s="3">
        <f t="shared" si="18"/>
        <v>0</v>
      </c>
      <c r="N263" s="3"/>
      <c r="O263" s="3"/>
      <c r="P263" s="3"/>
      <c r="Q263" s="3"/>
      <c r="R263" s="3"/>
    </row>
    <row r="264" spans="1:18" x14ac:dyDescent="0.25">
      <c r="A264" s="2">
        <v>46147</v>
      </c>
      <c r="B264" s="3" t="s">
        <v>48</v>
      </c>
      <c r="C264" s="3" t="s">
        <v>91</v>
      </c>
      <c r="D264" s="11" t="s">
        <v>565</v>
      </c>
      <c r="E264" s="216">
        <v>340</v>
      </c>
      <c r="F264" s="158" t="s">
        <v>172</v>
      </c>
      <c r="G264" s="4">
        <f t="shared" si="16"/>
        <v>340</v>
      </c>
      <c r="H264" s="3"/>
      <c r="I264" s="3"/>
      <c r="J264" s="3"/>
      <c r="K264" s="3"/>
      <c r="L264" s="3">
        <f t="shared" si="17"/>
        <v>0</v>
      </c>
      <c r="M264" s="3">
        <f t="shared" si="18"/>
        <v>0</v>
      </c>
      <c r="N264" s="3"/>
      <c r="O264" s="3"/>
      <c r="P264" s="3"/>
      <c r="Q264" s="3"/>
      <c r="R264" s="3"/>
    </row>
    <row r="265" spans="1:18" x14ac:dyDescent="0.25">
      <c r="A265" s="2">
        <v>46147</v>
      </c>
      <c r="B265" s="3" t="s">
        <v>48</v>
      </c>
      <c r="C265" s="3" t="s">
        <v>49</v>
      </c>
      <c r="D265" s="11" t="s">
        <v>566</v>
      </c>
      <c r="E265" s="3">
        <v>110</v>
      </c>
      <c r="F265" s="158">
        <f>E265*5%</f>
        <v>5.5</v>
      </c>
      <c r="G265" s="187">
        <f t="shared" si="16"/>
        <v>115.5</v>
      </c>
      <c r="H265" s="3"/>
      <c r="I265" s="3"/>
      <c r="J265" s="3"/>
      <c r="K265" s="3"/>
      <c r="L265" s="3">
        <f t="shared" si="17"/>
        <v>0</v>
      </c>
      <c r="M265" s="3">
        <f t="shared" si="18"/>
        <v>0</v>
      </c>
      <c r="N265" s="3"/>
      <c r="O265" s="3"/>
      <c r="P265" s="3"/>
      <c r="Q265" s="3"/>
      <c r="R265" s="3"/>
    </row>
    <row r="266" spans="1:18" x14ac:dyDescent="0.25">
      <c r="A266" s="2">
        <v>46147</v>
      </c>
      <c r="B266" s="3" t="s">
        <v>48</v>
      </c>
      <c r="C266" s="3" t="s">
        <v>68</v>
      </c>
      <c r="D266" s="11" t="s">
        <v>567</v>
      </c>
      <c r="E266" s="3">
        <v>20.92</v>
      </c>
      <c r="F266" s="158">
        <f>E266*5%</f>
        <v>1.046</v>
      </c>
      <c r="G266" s="218">
        <f t="shared" si="16"/>
        <v>21.966000000000001</v>
      </c>
      <c r="H266" s="3"/>
      <c r="I266" s="3"/>
      <c r="J266" s="3"/>
      <c r="K266" s="3"/>
      <c r="L266" s="3">
        <f t="shared" si="17"/>
        <v>0</v>
      </c>
      <c r="M266" s="3">
        <f t="shared" si="18"/>
        <v>0</v>
      </c>
      <c r="N266" s="3"/>
      <c r="O266" s="3"/>
      <c r="P266" s="3"/>
      <c r="Q266" s="3"/>
      <c r="R266" s="3"/>
    </row>
    <row r="267" spans="1:18" x14ac:dyDescent="0.25">
      <c r="A267" s="2">
        <v>46147</v>
      </c>
      <c r="B267" s="3" t="s">
        <v>48</v>
      </c>
      <c r="C267" s="3" t="s">
        <v>64</v>
      </c>
      <c r="D267" s="11" t="s">
        <v>568</v>
      </c>
      <c r="E267" s="3">
        <v>140</v>
      </c>
      <c r="F267" s="3" t="s">
        <v>172</v>
      </c>
      <c r="G267" s="4">
        <f t="shared" si="16"/>
        <v>140</v>
      </c>
      <c r="H267" s="3"/>
      <c r="I267" s="3"/>
      <c r="J267" s="3"/>
      <c r="K267" s="3"/>
      <c r="L267" s="3">
        <f t="shared" si="17"/>
        <v>0</v>
      </c>
      <c r="M267" s="3">
        <f t="shared" si="18"/>
        <v>0</v>
      </c>
      <c r="N267" s="3"/>
      <c r="O267" s="3"/>
      <c r="P267" s="3"/>
      <c r="Q267" s="3"/>
      <c r="R267" s="3"/>
    </row>
    <row r="268" spans="1:18" x14ac:dyDescent="0.25">
      <c r="A268" s="2">
        <v>46146</v>
      </c>
      <c r="B268" s="3" t="s">
        <v>48</v>
      </c>
      <c r="C268" s="3" t="s">
        <v>91</v>
      </c>
      <c r="D268" s="11" t="s">
        <v>569</v>
      </c>
      <c r="E268" s="3">
        <v>169490</v>
      </c>
      <c r="F268" s="3" t="s">
        <v>172</v>
      </c>
      <c r="G268" s="4">
        <f t="shared" si="16"/>
        <v>169490</v>
      </c>
      <c r="H268" s="3"/>
      <c r="I268" s="3"/>
      <c r="J268" s="3"/>
      <c r="K268" s="3"/>
      <c r="L268" s="3">
        <f t="shared" si="17"/>
        <v>0</v>
      </c>
      <c r="M268" s="3">
        <f t="shared" si="18"/>
        <v>0</v>
      </c>
      <c r="N268" s="3"/>
      <c r="O268" s="3"/>
      <c r="P268" s="3"/>
      <c r="Q268" s="3"/>
      <c r="R268" s="3"/>
    </row>
    <row r="269" spans="1:18" x14ac:dyDescent="0.25">
      <c r="A269" s="2">
        <v>46146</v>
      </c>
      <c r="B269" s="3" t="s">
        <v>48</v>
      </c>
      <c r="C269" s="3" t="s">
        <v>82</v>
      </c>
      <c r="D269" s="11" t="s">
        <v>570</v>
      </c>
      <c r="E269" s="3">
        <v>441</v>
      </c>
      <c r="F269" s="3" t="s">
        <v>172</v>
      </c>
      <c r="G269" s="4">
        <f t="shared" si="16"/>
        <v>441</v>
      </c>
      <c r="H269" s="3"/>
      <c r="I269" s="3"/>
      <c r="J269" s="3"/>
      <c r="K269" s="3"/>
      <c r="L269" s="3">
        <f t="shared" si="17"/>
        <v>0</v>
      </c>
      <c r="M269" s="3">
        <f t="shared" si="18"/>
        <v>0</v>
      </c>
      <c r="N269" s="3"/>
      <c r="O269" s="3"/>
      <c r="P269" s="3"/>
      <c r="Q269" s="3"/>
      <c r="R269" s="3"/>
    </row>
    <row r="270" spans="1:18" x14ac:dyDescent="0.25">
      <c r="A270" s="2">
        <v>46148</v>
      </c>
      <c r="B270" s="3" t="s">
        <v>48</v>
      </c>
      <c r="C270" s="3" t="s">
        <v>73</v>
      </c>
      <c r="D270" s="11" t="s">
        <v>571</v>
      </c>
      <c r="E270" s="3">
        <v>55</v>
      </c>
      <c r="F270" s="3" t="s">
        <v>172</v>
      </c>
      <c r="G270" s="4">
        <f t="shared" si="16"/>
        <v>55</v>
      </c>
      <c r="H270" s="3"/>
      <c r="I270" s="3"/>
      <c r="J270" s="3"/>
      <c r="K270" s="3"/>
      <c r="L270" s="3">
        <f t="shared" si="17"/>
        <v>0</v>
      </c>
      <c r="M270" s="3">
        <f t="shared" si="18"/>
        <v>0</v>
      </c>
      <c r="N270" s="3"/>
      <c r="O270" s="3"/>
      <c r="P270" s="3"/>
      <c r="Q270" s="3"/>
      <c r="R270" s="3"/>
    </row>
    <row r="271" spans="1:18" x14ac:dyDescent="0.25">
      <c r="A271" s="2">
        <v>46149</v>
      </c>
      <c r="B271" s="3" t="s">
        <v>48</v>
      </c>
      <c r="C271" s="3" t="s">
        <v>78</v>
      </c>
      <c r="D271" s="11" t="s">
        <v>572</v>
      </c>
      <c r="E271" s="3">
        <v>600</v>
      </c>
      <c r="F271" s="3">
        <f>E271*5%</f>
        <v>30</v>
      </c>
      <c r="G271" s="4">
        <f t="shared" si="16"/>
        <v>630</v>
      </c>
      <c r="H271" s="3"/>
      <c r="I271" s="3"/>
      <c r="J271" s="3"/>
      <c r="K271" s="3"/>
      <c r="L271" s="3">
        <f t="shared" si="17"/>
        <v>0</v>
      </c>
      <c r="M271" s="3">
        <f t="shared" si="18"/>
        <v>0</v>
      </c>
      <c r="N271" s="3"/>
      <c r="O271" s="3"/>
      <c r="P271" s="3"/>
      <c r="Q271" s="3"/>
      <c r="R271" s="3"/>
    </row>
    <row r="272" spans="1:18" x14ac:dyDescent="0.25">
      <c r="A272" s="2">
        <v>46149</v>
      </c>
      <c r="B272" s="3" t="s">
        <v>48</v>
      </c>
      <c r="C272" s="3" t="s">
        <v>78</v>
      </c>
      <c r="D272" s="11" t="s">
        <v>573</v>
      </c>
      <c r="E272" s="3">
        <v>500</v>
      </c>
      <c r="F272" s="3" t="s">
        <v>172</v>
      </c>
      <c r="G272" s="4">
        <f t="shared" si="16"/>
        <v>500</v>
      </c>
      <c r="H272" s="3"/>
      <c r="I272" s="3"/>
      <c r="J272" s="3"/>
      <c r="K272" s="3"/>
      <c r="L272" s="3">
        <f t="shared" si="17"/>
        <v>0</v>
      </c>
      <c r="M272" s="3">
        <f t="shared" si="18"/>
        <v>0</v>
      </c>
      <c r="N272" s="3"/>
      <c r="O272" s="3"/>
      <c r="P272" s="3"/>
      <c r="Q272" s="3"/>
      <c r="R272" s="3"/>
    </row>
    <row r="273" spans="1:18" x14ac:dyDescent="0.25">
      <c r="A273" s="2">
        <v>46149</v>
      </c>
      <c r="B273" s="3" t="s">
        <v>48</v>
      </c>
      <c r="C273" s="3" t="s">
        <v>73</v>
      </c>
      <c r="D273" s="11" t="s">
        <v>574</v>
      </c>
      <c r="E273" s="3">
        <v>62.5</v>
      </c>
      <c r="F273" s="3" t="s">
        <v>172</v>
      </c>
      <c r="G273" s="4">
        <f t="shared" si="16"/>
        <v>62.5</v>
      </c>
      <c r="H273" s="3"/>
      <c r="I273" s="3"/>
      <c r="J273" s="3"/>
      <c r="K273" s="3"/>
      <c r="L273" s="3">
        <f t="shared" si="17"/>
        <v>0</v>
      </c>
      <c r="M273" s="3">
        <f t="shared" si="18"/>
        <v>0</v>
      </c>
      <c r="N273" s="3"/>
      <c r="O273" s="3"/>
      <c r="P273" s="3"/>
      <c r="Q273" s="3"/>
      <c r="R273" s="3"/>
    </row>
    <row r="274" spans="1:18" x14ac:dyDescent="0.25">
      <c r="A274" s="2">
        <v>46149</v>
      </c>
      <c r="B274" s="3" t="s">
        <v>48</v>
      </c>
      <c r="C274" s="3" t="s">
        <v>73</v>
      </c>
      <c r="D274" s="11" t="s">
        <v>575</v>
      </c>
      <c r="E274" s="3">
        <v>500</v>
      </c>
      <c r="F274" s="3" t="s">
        <v>172</v>
      </c>
      <c r="G274" s="4">
        <f t="shared" si="16"/>
        <v>500</v>
      </c>
      <c r="H274" s="3"/>
      <c r="I274" s="3"/>
      <c r="J274" s="3"/>
      <c r="K274" s="3"/>
      <c r="L274" s="3">
        <f t="shared" si="17"/>
        <v>0</v>
      </c>
      <c r="M274" s="3">
        <f t="shared" si="18"/>
        <v>0</v>
      </c>
      <c r="N274" s="3"/>
      <c r="O274" s="3"/>
      <c r="P274" s="3"/>
      <c r="Q274" s="3"/>
      <c r="R274" s="3"/>
    </row>
    <row r="275" spans="1:18" x14ac:dyDescent="0.25">
      <c r="A275" s="2">
        <v>46149</v>
      </c>
      <c r="B275" s="3" t="s">
        <v>48</v>
      </c>
      <c r="C275" s="3" t="s">
        <v>73</v>
      </c>
      <c r="D275" s="11" t="s">
        <v>576</v>
      </c>
      <c r="E275" s="3">
        <v>160</v>
      </c>
      <c r="F275" s="3" t="s">
        <v>172</v>
      </c>
      <c r="G275" s="4">
        <f t="shared" si="16"/>
        <v>160</v>
      </c>
      <c r="H275" s="3"/>
      <c r="I275" s="3"/>
      <c r="J275" s="3"/>
      <c r="K275" s="3"/>
      <c r="L275" s="3">
        <f t="shared" si="17"/>
        <v>0</v>
      </c>
      <c r="M275" s="3">
        <f t="shared" si="18"/>
        <v>0</v>
      </c>
      <c r="N275" s="3"/>
      <c r="O275" s="3"/>
      <c r="P275" s="3"/>
      <c r="Q275" s="3"/>
      <c r="R275" s="3"/>
    </row>
    <row r="276" spans="1:18" x14ac:dyDescent="0.25">
      <c r="A276" s="2">
        <v>46149</v>
      </c>
      <c r="B276" s="3" t="s">
        <v>48</v>
      </c>
      <c r="C276" s="3" t="s">
        <v>73</v>
      </c>
      <c r="D276" s="11" t="s">
        <v>577</v>
      </c>
      <c r="E276" s="3">
        <v>55</v>
      </c>
      <c r="F276" s="3" t="s">
        <v>172</v>
      </c>
      <c r="G276" s="4">
        <f t="shared" si="16"/>
        <v>55</v>
      </c>
      <c r="H276" s="3"/>
      <c r="I276" s="3"/>
      <c r="J276" s="3"/>
      <c r="K276" s="3"/>
      <c r="L276" s="3">
        <f t="shared" si="17"/>
        <v>0</v>
      </c>
      <c r="M276" s="3">
        <f t="shared" si="18"/>
        <v>0</v>
      </c>
      <c r="N276" s="3"/>
      <c r="O276" s="3"/>
      <c r="P276" s="3"/>
      <c r="Q276" s="3"/>
      <c r="R276" s="3"/>
    </row>
    <row r="277" spans="1:18" x14ac:dyDescent="0.25">
      <c r="A277" s="2">
        <v>46149</v>
      </c>
      <c r="B277" s="3" t="s">
        <v>48</v>
      </c>
      <c r="C277" s="3" t="s">
        <v>92</v>
      </c>
      <c r="D277" s="11" t="s">
        <v>578</v>
      </c>
      <c r="E277" s="3"/>
      <c r="F277" s="3">
        <f>E277*5%</f>
        <v>0</v>
      </c>
      <c r="G277" s="4">
        <f t="shared" si="16"/>
        <v>0</v>
      </c>
      <c r="H277" s="3">
        <v>500</v>
      </c>
      <c r="I277" s="3"/>
      <c r="J277" s="3"/>
      <c r="K277" s="3"/>
      <c r="L277" s="3">
        <f t="shared" si="17"/>
        <v>0</v>
      </c>
      <c r="M277" s="3">
        <f t="shared" si="18"/>
        <v>0</v>
      </c>
      <c r="N277" s="3"/>
      <c r="O277" s="3"/>
      <c r="P277" s="3"/>
      <c r="Q277" s="3"/>
      <c r="R277" s="3"/>
    </row>
    <row r="278" spans="1:18" x14ac:dyDescent="0.25">
      <c r="A278" s="2">
        <v>46149</v>
      </c>
      <c r="B278" s="3" t="s">
        <v>48</v>
      </c>
      <c r="C278" s="3" t="s">
        <v>58</v>
      </c>
      <c r="D278" s="11" t="s">
        <v>579</v>
      </c>
      <c r="E278" s="3">
        <v>230</v>
      </c>
      <c r="F278" s="3" t="s">
        <v>172</v>
      </c>
      <c r="G278" s="4">
        <f t="shared" si="16"/>
        <v>230</v>
      </c>
      <c r="H278" s="3"/>
      <c r="I278" s="3"/>
      <c r="J278" s="3"/>
      <c r="K278" s="3"/>
      <c r="L278" s="3">
        <f t="shared" si="17"/>
        <v>0</v>
      </c>
      <c r="M278" s="3">
        <f t="shared" si="18"/>
        <v>0</v>
      </c>
      <c r="N278" s="3"/>
      <c r="O278" s="3"/>
      <c r="P278" s="3"/>
      <c r="Q278" s="3"/>
      <c r="R278" s="3"/>
    </row>
    <row r="279" spans="1:18" x14ac:dyDescent="0.25">
      <c r="A279" s="2">
        <v>46149</v>
      </c>
      <c r="B279" s="3" t="s">
        <v>48</v>
      </c>
      <c r="C279" s="3" t="s">
        <v>78</v>
      </c>
      <c r="D279" s="11" t="s">
        <v>580</v>
      </c>
      <c r="E279" s="3">
        <v>8</v>
      </c>
      <c r="F279" s="3" t="s">
        <v>172</v>
      </c>
      <c r="G279" s="4">
        <f t="shared" si="16"/>
        <v>8</v>
      </c>
      <c r="H279" s="3"/>
      <c r="I279" s="3"/>
      <c r="J279" s="3"/>
      <c r="K279" s="3"/>
      <c r="L279" s="3">
        <f t="shared" si="17"/>
        <v>0</v>
      </c>
      <c r="M279" s="3">
        <f t="shared" si="18"/>
        <v>0</v>
      </c>
      <c r="N279" s="3"/>
      <c r="O279" s="3"/>
      <c r="P279" s="3"/>
      <c r="Q279" s="3"/>
      <c r="R279" s="3"/>
    </row>
    <row r="280" spans="1:18" x14ac:dyDescent="0.25">
      <c r="A280" s="2">
        <v>46149</v>
      </c>
      <c r="B280" s="3" t="s">
        <v>48</v>
      </c>
      <c r="C280" s="3" t="s">
        <v>73</v>
      </c>
      <c r="D280" s="11" t="s">
        <v>581</v>
      </c>
      <c r="E280" s="3">
        <v>348.25</v>
      </c>
      <c r="F280" s="3" t="s">
        <v>172</v>
      </c>
      <c r="G280" s="4">
        <f t="shared" si="16"/>
        <v>348.25</v>
      </c>
      <c r="H280" s="3"/>
      <c r="I280" s="3"/>
      <c r="J280" s="3"/>
      <c r="K280" s="3"/>
      <c r="L280" s="3">
        <f t="shared" si="17"/>
        <v>0</v>
      </c>
      <c r="M280" s="3">
        <f t="shared" si="18"/>
        <v>0</v>
      </c>
      <c r="N280" s="3"/>
      <c r="O280" s="3"/>
      <c r="P280" s="3"/>
      <c r="Q280" s="3"/>
      <c r="R280" s="3"/>
    </row>
    <row r="281" spans="1:18" x14ac:dyDescent="0.25">
      <c r="A281" s="2">
        <v>46149</v>
      </c>
      <c r="B281" s="3" t="s">
        <v>48</v>
      </c>
      <c r="C281" s="3" t="s">
        <v>76</v>
      </c>
      <c r="D281" s="11" t="s">
        <v>582</v>
      </c>
      <c r="E281" s="3">
        <v>200</v>
      </c>
      <c r="F281" s="3" t="s">
        <v>172</v>
      </c>
      <c r="G281" s="4">
        <f t="shared" si="16"/>
        <v>200</v>
      </c>
      <c r="H281" s="3"/>
      <c r="I281" s="3"/>
      <c r="J281" s="3"/>
      <c r="K281" s="3"/>
      <c r="L281" s="3">
        <f t="shared" si="17"/>
        <v>0</v>
      </c>
      <c r="M281" s="3">
        <f t="shared" si="18"/>
        <v>0</v>
      </c>
      <c r="N281" s="3"/>
      <c r="O281" s="3"/>
      <c r="P281" s="3"/>
      <c r="Q281" s="3"/>
      <c r="R281" s="3"/>
    </row>
    <row r="282" spans="1:18" x14ac:dyDescent="0.25">
      <c r="A282" s="2">
        <v>46149</v>
      </c>
      <c r="B282" s="2" t="s">
        <v>288</v>
      </c>
      <c r="C282" s="3" t="s">
        <v>85</v>
      </c>
      <c r="D282" s="11" t="s">
        <v>583</v>
      </c>
      <c r="E282" s="3">
        <v>41559.5</v>
      </c>
      <c r="F282" s="3">
        <f>E282*5%</f>
        <v>2077.9749999999999</v>
      </c>
      <c r="G282" s="4">
        <f t="shared" si="16"/>
        <v>43637.474999999999</v>
      </c>
      <c r="H282" s="3"/>
      <c r="I282" s="3"/>
      <c r="J282" s="3"/>
      <c r="K282" s="3"/>
      <c r="L282" s="3">
        <f t="shared" si="17"/>
        <v>0</v>
      </c>
      <c r="M282" s="3">
        <f t="shared" si="18"/>
        <v>0</v>
      </c>
      <c r="N282" s="3"/>
      <c r="O282" s="3"/>
      <c r="P282" s="3"/>
      <c r="Q282" s="3"/>
      <c r="R282" s="3"/>
    </row>
    <row r="283" spans="1:18" x14ac:dyDescent="0.25">
      <c r="A283" s="2">
        <v>46149</v>
      </c>
      <c r="B283" s="2" t="s">
        <v>288</v>
      </c>
      <c r="C283" s="3" t="s">
        <v>86</v>
      </c>
      <c r="D283" s="11" t="s">
        <v>584</v>
      </c>
      <c r="E283" s="3">
        <v>9665</v>
      </c>
      <c r="F283" s="3">
        <f>E283*5%</f>
        <v>483.25</v>
      </c>
      <c r="G283" s="4">
        <f t="shared" si="16"/>
        <v>10148.25</v>
      </c>
      <c r="H283" s="3"/>
      <c r="I283" s="3"/>
      <c r="J283" s="3"/>
      <c r="K283" s="3"/>
      <c r="L283" s="3">
        <f t="shared" si="17"/>
        <v>0</v>
      </c>
      <c r="M283" s="3">
        <f t="shared" si="18"/>
        <v>0</v>
      </c>
      <c r="N283" s="3"/>
      <c r="O283" s="3"/>
      <c r="P283" s="3"/>
      <c r="Q283" s="3"/>
      <c r="R283" s="3"/>
    </row>
    <row r="284" spans="1:18" x14ac:dyDescent="0.25">
      <c r="A284" s="2">
        <v>46149</v>
      </c>
      <c r="B284" s="2" t="s">
        <v>288</v>
      </c>
      <c r="C284" s="3" t="s">
        <v>87</v>
      </c>
      <c r="D284" s="11" t="s">
        <v>585</v>
      </c>
      <c r="E284" s="3">
        <v>16913.75</v>
      </c>
      <c r="F284" s="3">
        <f>E284*5%</f>
        <v>845.6875</v>
      </c>
      <c r="G284" s="4">
        <f t="shared" si="16"/>
        <v>17759.4375</v>
      </c>
      <c r="H284" s="3"/>
      <c r="I284" s="3"/>
      <c r="J284" s="3"/>
      <c r="K284" s="3"/>
      <c r="L284" s="3">
        <f t="shared" si="17"/>
        <v>0</v>
      </c>
      <c r="M284" s="3">
        <f t="shared" si="18"/>
        <v>0</v>
      </c>
      <c r="N284" s="3"/>
      <c r="O284" s="3"/>
      <c r="P284" s="3"/>
      <c r="Q284" s="3"/>
      <c r="R284" s="3"/>
    </row>
    <row r="285" spans="1:18" x14ac:dyDescent="0.25">
      <c r="A285" s="2">
        <v>46149</v>
      </c>
      <c r="B285" s="2" t="s">
        <v>288</v>
      </c>
      <c r="C285" s="3" t="s">
        <v>53</v>
      </c>
      <c r="D285" s="11" t="s">
        <v>586</v>
      </c>
      <c r="E285" s="3">
        <v>105</v>
      </c>
      <c r="F285" s="3" t="s">
        <v>172</v>
      </c>
      <c r="G285" s="4">
        <f t="shared" si="16"/>
        <v>105</v>
      </c>
      <c r="H285" s="3"/>
      <c r="I285" s="3"/>
      <c r="J285" s="3"/>
      <c r="K285" s="3"/>
      <c r="L285" s="3">
        <f t="shared" si="17"/>
        <v>0</v>
      </c>
      <c r="M285" s="3">
        <f t="shared" si="18"/>
        <v>0</v>
      </c>
      <c r="N285" s="3"/>
      <c r="O285" s="3"/>
      <c r="P285" s="3"/>
      <c r="Q285" s="3"/>
      <c r="R285" s="3"/>
    </row>
    <row r="286" spans="1:18" x14ac:dyDescent="0.25">
      <c r="A286" s="2">
        <v>46150</v>
      </c>
      <c r="B286" s="3" t="s">
        <v>48</v>
      </c>
      <c r="C286" s="3" t="s">
        <v>66</v>
      </c>
      <c r="D286" s="11" t="s">
        <v>587</v>
      </c>
      <c r="E286" s="216">
        <v>145</v>
      </c>
      <c r="F286" s="3" t="s">
        <v>172</v>
      </c>
      <c r="G286" s="4">
        <f t="shared" si="16"/>
        <v>145</v>
      </c>
      <c r="H286" s="3"/>
      <c r="I286" s="3"/>
      <c r="J286" s="3"/>
      <c r="K286" s="3"/>
      <c r="L286" s="3">
        <f t="shared" si="17"/>
        <v>0</v>
      </c>
      <c r="M286" s="3">
        <f t="shared" si="18"/>
        <v>0</v>
      </c>
      <c r="N286" s="3"/>
      <c r="O286" s="3"/>
      <c r="P286" s="3"/>
      <c r="Q286" s="3"/>
      <c r="R286" s="3"/>
    </row>
    <row r="287" spans="1:18" x14ac:dyDescent="0.25">
      <c r="A287" s="2">
        <v>46150</v>
      </c>
      <c r="B287" s="3" t="s">
        <v>48</v>
      </c>
      <c r="C287" s="3" t="s">
        <v>64</v>
      </c>
      <c r="D287" s="11" t="s">
        <v>588</v>
      </c>
      <c r="E287" s="216">
        <v>150</v>
      </c>
      <c r="F287" s="3" t="s">
        <v>172</v>
      </c>
      <c r="G287" s="4">
        <f t="shared" si="16"/>
        <v>150</v>
      </c>
      <c r="H287" s="3"/>
      <c r="I287" s="3"/>
      <c r="J287" s="3"/>
      <c r="K287" s="3"/>
      <c r="L287" s="3">
        <f t="shared" si="17"/>
        <v>0</v>
      </c>
      <c r="M287" s="3">
        <f t="shared" si="18"/>
        <v>0</v>
      </c>
      <c r="N287" s="3"/>
      <c r="O287" s="3"/>
      <c r="P287" s="3"/>
      <c r="Q287" s="3"/>
      <c r="R287" s="3"/>
    </row>
    <row r="288" spans="1:18" x14ac:dyDescent="0.25">
      <c r="A288" s="2">
        <v>46150</v>
      </c>
      <c r="B288" s="3" t="s">
        <v>48</v>
      </c>
      <c r="C288" s="3" t="s">
        <v>49</v>
      </c>
      <c r="D288" s="11" t="s">
        <v>589</v>
      </c>
      <c r="E288" s="216">
        <v>40</v>
      </c>
      <c r="F288" s="3">
        <f>E288*5%</f>
        <v>2</v>
      </c>
      <c r="G288" s="4">
        <f t="shared" si="16"/>
        <v>42</v>
      </c>
      <c r="H288" s="3"/>
      <c r="I288" s="3"/>
      <c r="J288" s="3"/>
      <c r="K288" s="3"/>
      <c r="L288" s="3">
        <f t="shared" si="17"/>
        <v>0</v>
      </c>
      <c r="M288" s="3">
        <f t="shared" si="18"/>
        <v>0</v>
      </c>
      <c r="N288" s="3"/>
      <c r="O288" s="3"/>
      <c r="P288" s="3"/>
      <c r="Q288" s="3"/>
      <c r="R288" s="3"/>
    </row>
    <row r="289" spans="1:18" x14ac:dyDescent="0.25">
      <c r="A289" s="2">
        <v>46150</v>
      </c>
      <c r="B289" s="3" t="s">
        <v>48</v>
      </c>
      <c r="C289" s="3" t="s">
        <v>67</v>
      </c>
      <c r="D289" s="11" t="s">
        <v>590</v>
      </c>
      <c r="E289" s="216">
        <v>20</v>
      </c>
      <c r="F289" s="3" t="s">
        <v>172</v>
      </c>
      <c r="G289" s="4">
        <f t="shared" si="16"/>
        <v>20</v>
      </c>
      <c r="H289" s="3"/>
      <c r="I289" s="3"/>
      <c r="J289" s="3"/>
      <c r="K289" s="3"/>
      <c r="L289" s="3">
        <f t="shared" si="17"/>
        <v>0</v>
      </c>
      <c r="M289" s="3">
        <f t="shared" si="18"/>
        <v>0</v>
      </c>
      <c r="N289" s="3"/>
      <c r="O289" s="3"/>
      <c r="P289" s="3"/>
      <c r="Q289" s="3"/>
      <c r="R289" s="3"/>
    </row>
    <row r="290" spans="1:18" x14ac:dyDescent="0.25">
      <c r="A290" s="2">
        <v>46150</v>
      </c>
      <c r="B290" s="3" t="s">
        <v>48</v>
      </c>
      <c r="C290" s="3" t="s">
        <v>76</v>
      </c>
      <c r="D290" s="11" t="s">
        <v>591</v>
      </c>
      <c r="E290" s="216">
        <v>200</v>
      </c>
      <c r="F290" s="3" t="s">
        <v>172</v>
      </c>
      <c r="G290" s="4">
        <f t="shared" si="16"/>
        <v>200</v>
      </c>
      <c r="H290" s="3"/>
      <c r="I290" s="3"/>
      <c r="J290" s="3"/>
      <c r="K290" s="3"/>
      <c r="L290" s="3">
        <f t="shared" si="17"/>
        <v>0</v>
      </c>
      <c r="M290" s="3">
        <f t="shared" si="18"/>
        <v>0</v>
      </c>
      <c r="N290" s="3"/>
      <c r="O290" s="3"/>
      <c r="P290" s="3"/>
      <c r="Q290" s="3"/>
      <c r="R290" s="3"/>
    </row>
    <row r="291" spans="1:18" x14ac:dyDescent="0.25">
      <c r="A291" s="2">
        <v>46150</v>
      </c>
      <c r="B291" s="3" t="s">
        <v>48</v>
      </c>
      <c r="C291" s="3" t="s">
        <v>92</v>
      </c>
      <c r="D291" s="11" t="s">
        <v>592</v>
      </c>
      <c r="E291" s="216">
        <v>0</v>
      </c>
      <c r="F291" s="3">
        <f>E291*5%</f>
        <v>0</v>
      </c>
      <c r="G291" s="4">
        <f t="shared" si="16"/>
        <v>0</v>
      </c>
      <c r="H291" s="3">
        <v>1000</v>
      </c>
      <c r="I291" s="3"/>
      <c r="J291" s="3"/>
      <c r="K291" s="3"/>
      <c r="L291" s="3">
        <f t="shared" si="17"/>
        <v>0</v>
      </c>
      <c r="M291" s="3">
        <f t="shared" si="18"/>
        <v>0</v>
      </c>
      <c r="N291" s="3"/>
      <c r="O291" s="3"/>
      <c r="P291" s="3"/>
      <c r="Q291" s="3"/>
      <c r="R291" s="3"/>
    </row>
    <row r="292" spans="1:18" x14ac:dyDescent="0.25">
      <c r="A292" s="2">
        <v>46150</v>
      </c>
      <c r="B292" s="3" t="s">
        <v>48</v>
      </c>
      <c r="C292" s="3" t="s">
        <v>73</v>
      </c>
      <c r="D292" s="11" t="s">
        <v>593</v>
      </c>
      <c r="E292" s="216">
        <v>15</v>
      </c>
      <c r="F292" s="3" t="s">
        <v>172</v>
      </c>
      <c r="G292" s="4">
        <f t="shared" si="16"/>
        <v>15</v>
      </c>
      <c r="H292" s="3"/>
      <c r="I292" s="3"/>
      <c r="J292" s="3"/>
      <c r="K292" s="3"/>
      <c r="L292" s="3">
        <f t="shared" si="17"/>
        <v>0</v>
      </c>
      <c r="M292" s="3">
        <f t="shared" si="18"/>
        <v>0</v>
      </c>
      <c r="N292" s="3"/>
      <c r="O292" s="3"/>
      <c r="P292" s="3"/>
      <c r="Q292" s="3"/>
      <c r="R292" s="3"/>
    </row>
    <row r="293" spans="1:18" x14ac:dyDescent="0.25">
      <c r="A293" s="2">
        <v>46151</v>
      </c>
      <c r="B293" s="3" t="s">
        <v>48</v>
      </c>
      <c r="C293" s="3" t="s">
        <v>84</v>
      </c>
      <c r="D293" s="11" t="s">
        <v>594</v>
      </c>
      <c r="E293" s="3">
        <v>20</v>
      </c>
      <c r="F293" s="3" t="s">
        <v>172</v>
      </c>
      <c r="G293" s="4">
        <f t="shared" si="16"/>
        <v>20</v>
      </c>
      <c r="H293" s="3"/>
      <c r="I293" s="3"/>
      <c r="J293" s="3"/>
      <c r="K293" s="3"/>
      <c r="L293" s="3">
        <f t="shared" si="17"/>
        <v>0</v>
      </c>
      <c r="M293" s="3">
        <f t="shared" si="18"/>
        <v>0</v>
      </c>
      <c r="N293" s="3"/>
      <c r="O293" s="3"/>
      <c r="P293" s="3"/>
      <c r="Q293" s="3"/>
      <c r="R293" s="3"/>
    </row>
    <row r="294" spans="1:18" x14ac:dyDescent="0.25">
      <c r="A294" s="2">
        <v>46151</v>
      </c>
      <c r="B294" s="3" t="s">
        <v>48</v>
      </c>
      <c r="C294" s="3" t="s">
        <v>49</v>
      </c>
      <c r="D294" s="11" t="s">
        <v>595</v>
      </c>
      <c r="E294" s="3">
        <v>140</v>
      </c>
      <c r="F294" s="3" t="s">
        <v>172</v>
      </c>
      <c r="G294" s="4">
        <f t="shared" si="16"/>
        <v>140</v>
      </c>
      <c r="H294" s="3"/>
      <c r="I294" s="3"/>
      <c r="J294" s="3"/>
      <c r="K294" s="3"/>
      <c r="L294" s="3">
        <f t="shared" si="17"/>
        <v>0</v>
      </c>
      <c r="M294" s="3">
        <f t="shared" si="18"/>
        <v>0</v>
      </c>
      <c r="N294" s="3"/>
      <c r="O294" s="3"/>
      <c r="P294" s="3"/>
      <c r="Q294" s="3"/>
      <c r="R294" s="3"/>
    </row>
    <row r="295" spans="1:18" x14ac:dyDescent="0.25">
      <c r="A295" s="2">
        <v>46151</v>
      </c>
      <c r="B295" s="3" t="s">
        <v>48</v>
      </c>
      <c r="C295" s="3" t="s">
        <v>49</v>
      </c>
      <c r="D295" s="11" t="s">
        <v>596</v>
      </c>
      <c r="E295" s="3">
        <v>30</v>
      </c>
      <c r="F295" s="3">
        <f>E295*5%</f>
        <v>1.5</v>
      </c>
      <c r="G295" s="187">
        <f t="shared" si="16"/>
        <v>31.5</v>
      </c>
      <c r="H295" s="3"/>
      <c r="I295" s="3"/>
      <c r="J295" s="3"/>
      <c r="K295" s="3"/>
      <c r="L295" s="3">
        <f t="shared" si="17"/>
        <v>0</v>
      </c>
      <c r="M295" s="3">
        <f t="shared" si="18"/>
        <v>0</v>
      </c>
      <c r="N295" s="3"/>
      <c r="O295" s="3"/>
      <c r="P295" s="3"/>
      <c r="Q295" s="3"/>
      <c r="R295" s="3"/>
    </row>
    <row r="296" spans="1:18" x14ac:dyDescent="0.25">
      <c r="A296" s="2">
        <v>46151</v>
      </c>
      <c r="B296" s="3" t="s">
        <v>48</v>
      </c>
      <c r="C296" s="3" t="s">
        <v>66</v>
      </c>
      <c r="D296" s="11" t="s">
        <v>597</v>
      </c>
      <c r="E296" s="3">
        <v>225</v>
      </c>
      <c r="F296" s="3" t="s">
        <v>172</v>
      </c>
      <c r="G296" s="4">
        <f t="shared" si="16"/>
        <v>225</v>
      </c>
      <c r="H296" s="3"/>
      <c r="I296" s="3"/>
      <c r="J296" s="3"/>
      <c r="K296" s="3"/>
      <c r="L296" s="3">
        <f t="shared" si="17"/>
        <v>0</v>
      </c>
      <c r="M296" s="3">
        <f t="shared" si="18"/>
        <v>0</v>
      </c>
      <c r="N296" s="3"/>
      <c r="O296" s="3"/>
      <c r="P296" s="3"/>
      <c r="Q296" s="3"/>
      <c r="R296" s="3"/>
    </row>
    <row r="297" spans="1:18" x14ac:dyDescent="0.25">
      <c r="A297" s="2">
        <v>46151</v>
      </c>
      <c r="B297" s="3" t="s">
        <v>48</v>
      </c>
      <c r="C297" s="3" t="s">
        <v>66</v>
      </c>
      <c r="D297" s="11" t="s">
        <v>598</v>
      </c>
      <c r="E297" s="3">
        <v>8</v>
      </c>
      <c r="F297" s="3" t="s">
        <v>172</v>
      </c>
      <c r="G297" s="4">
        <f t="shared" si="16"/>
        <v>8</v>
      </c>
      <c r="H297" s="3"/>
      <c r="I297" s="3"/>
      <c r="J297" s="3"/>
      <c r="K297" s="3"/>
      <c r="L297" s="3">
        <f t="shared" si="17"/>
        <v>0</v>
      </c>
      <c r="M297" s="3">
        <f t="shared" si="18"/>
        <v>0</v>
      </c>
      <c r="N297" s="3"/>
      <c r="O297" s="3"/>
      <c r="P297" s="3"/>
      <c r="Q297" s="3"/>
      <c r="R297" s="3"/>
    </row>
    <row r="298" spans="1:18" x14ac:dyDescent="0.25">
      <c r="A298" s="2">
        <v>46151</v>
      </c>
      <c r="B298" s="3" t="s">
        <v>48</v>
      </c>
      <c r="C298" s="3" t="s">
        <v>78</v>
      </c>
      <c r="D298" s="11" t="s">
        <v>599</v>
      </c>
      <c r="E298" s="3">
        <v>300</v>
      </c>
      <c r="F298" s="3" t="s">
        <v>172</v>
      </c>
      <c r="G298" s="4">
        <f t="shared" si="16"/>
        <v>300</v>
      </c>
      <c r="H298" s="3"/>
      <c r="I298" s="3"/>
      <c r="J298" s="3"/>
      <c r="K298" s="3"/>
      <c r="L298" s="3">
        <f t="shared" si="17"/>
        <v>0</v>
      </c>
      <c r="M298" s="3">
        <f t="shared" si="18"/>
        <v>0</v>
      </c>
      <c r="N298" s="3"/>
      <c r="O298" s="3"/>
      <c r="P298" s="3"/>
      <c r="Q298" s="3"/>
      <c r="R298" s="3"/>
    </row>
    <row r="299" spans="1:18" x14ac:dyDescent="0.25">
      <c r="A299" s="2">
        <v>46151</v>
      </c>
      <c r="B299" s="3" t="s">
        <v>48</v>
      </c>
      <c r="C299" s="3" t="s">
        <v>92</v>
      </c>
      <c r="D299" s="11" t="s">
        <v>600</v>
      </c>
      <c r="E299" s="3"/>
      <c r="F299" s="3">
        <f>E299*5%</f>
        <v>0</v>
      </c>
      <c r="G299" s="4">
        <f t="shared" si="16"/>
        <v>0</v>
      </c>
      <c r="H299" s="3">
        <v>150</v>
      </c>
      <c r="I299" s="3"/>
      <c r="J299" s="3"/>
      <c r="K299" s="3"/>
      <c r="L299" s="3">
        <f t="shared" si="17"/>
        <v>0</v>
      </c>
      <c r="M299" s="3">
        <f t="shared" si="18"/>
        <v>0</v>
      </c>
      <c r="N299" s="3"/>
      <c r="O299" s="3"/>
      <c r="P299" s="3"/>
      <c r="Q299" s="3"/>
      <c r="R299" s="3"/>
    </row>
    <row r="300" spans="1:18" x14ac:dyDescent="0.25">
      <c r="A300" s="2">
        <v>46151</v>
      </c>
      <c r="B300" s="3" t="s">
        <v>48</v>
      </c>
      <c r="C300" s="3" t="s">
        <v>70</v>
      </c>
      <c r="D300" s="11" t="s">
        <v>601</v>
      </c>
      <c r="E300" s="3">
        <v>250</v>
      </c>
      <c r="F300" s="3" t="s">
        <v>172</v>
      </c>
      <c r="G300" s="4">
        <f t="shared" si="16"/>
        <v>250</v>
      </c>
      <c r="H300" s="3"/>
      <c r="I300" s="3"/>
      <c r="J300" s="3"/>
      <c r="K300" s="3"/>
      <c r="L300" s="3">
        <f t="shared" si="17"/>
        <v>0</v>
      </c>
      <c r="M300" s="3">
        <f t="shared" si="18"/>
        <v>0</v>
      </c>
      <c r="N300" s="3"/>
      <c r="O300" s="3"/>
      <c r="P300" s="3"/>
      <c r="Q300" s="3"/>
      <c r="R300" s="3"/>
    </row>
    <row r="301" spans="1:18" x14ac:dyDescent="0.25">
      <c r="A301" s="2">
        <v>46153</v>
      </c>
      <c r="B301" s="2" t="s">
        <v>288</v>
      </c>
      <c r="C301" s="3" t="s">
        <v>85</v>
      </c>
      <c r="D301" s="11" t="s">
        <v>602</v>
      </c>
      <c r="E301" s="3">
        <v>19657.25</v>
      </c>
      <c r="F301" s="3">
        <f>E301*5%</f>
        <v>982.86250000000007</v>
      </c>
      <c r="G301" s="4">
        <f t="shared" si="16"/>
        <v>20640.112499999999</v>
      </c>
      <c r="H301" s="3"/>
      <c r="I301" s="3"/>
      <c r="J301" s="3"/>
      <c r="K301" s="3"/>
      <c r="L301" s="3">
        <f t="shared" si="17"/>
        <v>0</v>
      </c>
      <c r="M301" s="3">
        <f t="shared" si="18"/>
        <v>0</v>
      </c>
      <c r="N301" s="3"/>
      <c r="O301" s="3"/>
      <c r="P301" s="3"/>
      <c r="Q301" s="3"/>
      <c r="R301" s="3"/>
    </row>
    <row r="302" spans="1:18" x14ac:dyDescent="0.25">
      <c r="A302" s="2">
        <v>46153</v>
      </c>
      <c r="B302" s="2" t="s">
        <v>288</v>
      </c>
      <c r="C302" s="3" t="s">
        <v>86</v>
      </c>
      <c r="D302" s="11" t="s">
        <v>603</v>
      </c>
      <c r="E302" s="3">
        <v>6445</v>
      </c>
      <c r="F302" s="3">
        <f>E302*5%</f>
        <v>322.25</v>
      </c>
      <c r="G302" s="4">
        <f t="shared" si="16"/>
        <v>6767.25</v>
      </c>
      <c r="H302" s="3"/>
      <c r="I302" s="3"/>
      <c r="J302" s="3"/>
      <c r="K302" s="3"/>
      <c r="L302" s="3">
        <f t="shared" si="17"/>
        <v>0</v>
      </c>
      <c r="M302" s="3">
        <f t="shared" si="18"/>
        <v>0</v>
      </c>
      <c r="N302" s="3"/>
      <c r="O302" s="3"/>
      <c r="P302" s="3"/>
      <c r="Q302" s="3"/>
      <c r="R302" s="3"/>
    </row>
    <row r="303" spans="1:18" x14ac:dyDescent="0.25">
      <c r="A303" s="2">
        <v>46153</v>
      </c>
      <c r="B303" s="2" t="s">
        <v>288</v>
      </c>
      <c r="C303" s="3" t="s">
        <v>87</v>
      </c>
      <c r="D303" s="11" t="s">
        <v>604</v>
      </c>
      <c r="E303" s="3">
        <v>11278.75</v>
      </c>
      <c r="F303" s="3">
        <f>E303*5%</f>
        <v>563.9375</v>
      </c>
      <c r="G303" s="4">
        <f t="shared" si="16"/>
        <v>11842.6875</v>
      </c>
      <c r="H303" s="3"/>
      <c r="I303" s="3"/>
      <c r="J303" s="3"/>
      <c r="K303" s="3"/>
      <c r="L303" s="3">
        <f t="shared" si="17"/>
        <v>0</v>
      </c>
      <c r="M303" s="3">
        <f t="shared" si="18"/>
        <v>0</v>
      </c>
      <c r="N303" s="3"/>
      <c r="O303" s="3"/>
      <c r="P303" s="3"/>
      <c r="Q303" s="3"/>
      <c r="R303" s="3"/>
    </row>
    <row r="304" spans="1:18" x14ac:dyDescent="0.25">
      <c r="A304" s="2">
        <v>46153</v>
      </c>
      <c r="B304" s="3" t="s">
        <v>48</v>
      </c>
      <c r="C304" s="3" t="s">
        <v>93</v>
      </c>
      <c r="D304" s="11" t="s">
        <v>605</v>
      </c>
      <c r="E304" s="216">
        <v>1500</v>
      </c>
      <c r="F304" s="3" t="s">
        <v>172</v>
      </c>
      <c r="G304" s="4">
        <f t="shared" si="16"/>
        <v>1500</v>
      </c>
      <c r="H304" s="3"/>
      <c r="I304" s="3"/>
      <c r="J304" s="3"/>
      <c r="K304" s="3"/>
      <c r="L304" s="3">
        <f t="shared" si="17"/>
        <v>0</v>
      </c>
      <c r="M304" s="3">
        <f t="shared" si="18"/>
        <v>0</v>
      </c>
      <c r="N304" s="3"/>
      <c r="O304" s="3"/>
      <c r="P304" s="3"/>
      <c r="Q304" s="3"/>
      <c r="R304" s="3"/>
    </row>
    <row r="305" spans="1:18" x14ac:dyDescent="0.25">
      <c r="A305" s="2">
        <v>46153</v>
      </c>
      <c r="B305" s="3" t="s">
        <v>48</v>
      </c>
      <c r="C305" s="3" t="s">
        <v>66</v>
      </c>
      <c r="D305" s="11" t="s">
        <v>606</v>
      </c>
      <c r="E305" s="216">
        <v>114</v>
      </c>
      <c r="F305" s="3" t="s">
        <v>172</v>
      </c>
      <c r="G305" s="4">
        <f t="shared" si="16"/>
        <v>114</v>
      </c>
      <c r="H305" s="3"/>
      <c r="I305" s="3"/>
      <c r="J305" s="3"/>
      <c r="K305" s="3"/>
      <c r="L305" s="3">
        <f t="shared" si="17"/>
        <v>0</v>
      </c>
      <c r="M305" s="3">
        <f t="shared" si="18"/>
        <v>0</v>
      </c>
      <c r="N305" s="3"/>
      <c r="O305" s="3"/>
      <c r="P305" s="3"/>
      <c r="Q305" s="3"/>
      <c r="R305" s="3"/>
    </row>
    <row r="306" spans="1:18" x14ac:dyDescent="0.25">
      <c r="A306" s="2">
        <v>46153</v>
      </c>
      <c r="B306" s="3" t="s">
        <v>48</v>
      </c>
      <c r="C306" s="3" t="s">
        <v>77</v>
      </c>
      <c r="D306" s="11" t="s">
        <v>607</v>
      </c>
      <c r="E306" s="216">
        <v>9232.24</v>
      </c>
      <c r="F306" s="3">
        <f>E306*5%</f>
        <v>461.61200000000002</v>
      </c>
      <c r="G306" s="187">
        <f t="shared" si="16"/>
        <v>9693.851999999999</v>
      </c>
      <c r="H306" s="3"/>
      <c r="I306" s="3"/>
      <c r="J306" s="3"/>
      <c r="K306" s="3"/>
      <c r="L306" s="3">
        <f t="shared" si="17"/>
        <v>0</v>
      </c>
      <c r="M306" s="3">
        <f t="shared" si="18"/>
        <v>0</v>
      </c>
      <c r="N306" s="3"/>
      <c r="O306" s="3"/>
      <c r="P306" s="3"/>
      <c r="Q306" s="3"/>
      <c r="R306" s="3"/>
    </row>
    <row r="307" spans="1:18" x14ac:dyDescent="0.25">
      <c r="A307" s="2">
        <v>46153</v>
      </c>
      <c r="B307" s="3" t="s">
        <v>48</v>
      </c>
      <c r="C307" s="3" t="s">
        <v>83</v>
      </c>
      <c r="D307" s="11" t="s">
        <v>608</v>
      </c>
      <c r="E307" s="216">
        <v>1415.7</v>
      </c>
      <c r="F307" s="3">
        <f>E307*5%</f>
        <v>70.785000000000011</v>
      </c>
      <c r="G307" s="187">
        <f t="shared" si="16"/>
        <v>1486.4850000000001</v>
      </c>
      <c r="H307" s="3"/>
      <c r="I307" s="3"/>
      <c r="J307" s="3"/>
      <c r="K307" s="3"/>
      <c r="L307" s="3">
        <f t="shared" si="17"/>
        <v>0</v>
      </c>
      <c r="M307" s="3">
        <f t="shared" si="18"/>
        <v>0</v>
      </c>
      <c r="N307" s="3"/>
      <c r="O307" s="3"/>
      <c r="P307" s="3"/>
      <c r="Q307" s="3"/>
      <c r="R307" s="3"/>
    </row>
    <row r="308" spans="1:18" x14ac:dyDescent="0.25">
      <c r="A308" s="2">
        <v>46153</v>
      </c>
      <c r="B308" s="3" t="s">
        <v>48</v>
      </c>
      <c r="C308" s="3" t="s">
        <v>49</v>
      </c>
      <c r="D308" s="11" t="s">
        <v>609</v>
      </c>
      <c r="E308" s="216">
        <v>500</v>
      </c>
      <c r="F308" s="3">
        <f>E308*5%</f>
        <v>25</v>
      </c>
      <c r="G308" s="4">
        <f t="shared" si="16"/>
        <v>525</v>
      </c>
      <c r="H308" s="3"/>
      <c r="I308" s="3"/>
      <c r="J308" s="3"/>
      <c r="K308" s="3"/>
      <c r="L308" s="3">
        <f t="shared" si="17"/>
        <v>0</v>
      </c>
      <c r="M308" s="3">
        <f t="shared" si="18"/>
        <v>0</v>
      </c>
      <c r="N308" s="3"/>
      <c r="O308" s="3"/>
      <c r="P308" s="3"/>
      <c r="Q308" s="3"/>
      <c r="R308" s="3"/>
    </row>
    <row r="309" spans="1:18" x14ac:dyDescent="0.25">
      <c r="A309" s="2">
        <v>46153</v>
      </c>
      <c r="B309" s="3" t="s">
        <v>48</v>
      </c>
      <c r="C309" s="3" t="s">
        <v>49</v>
      </c>
      <c r="D309" s="11" t="s">
        <v>610</v>
      </c>
      <c r="E309" s="216">
        <v>1425.05</v>
      </c>
      <c r="F309" s="3">
        <f>E309*5%</f>
        <v>71.252499999999998</v>
      </c>
      <c r="G309" s="187">
        <f t="shared" si="16"/>
        <v>1496.3025</v>
      </c>
      <c r="H309" s="3"/>
      <c r="I309" s="3"/>
      <c r="J309" s="3"/>
      <c r="K309" s="3"/>
      <c r="L309" s="3">
        <f t="shared" si="17"/>
        <v>0</v>
      </c>
      <c r="M309" s="3">
        <f t="shared" si="18"/>
        <v>0</v>
      </c>
      <c r="N309" s="3"/>
      <c r="O309" s="3"/>
      <c r="P309" s="3"/>
      <c r="Q309" s="3"/>
      <c r="R309" s="3"/>
    </row>
    <row r="310" spans="1:18" x14ac:dyDescent="0.25">
      <c r="A310" s="2">
        <v>46153</v>
      </c>
      <c r="B310" s="3" t="s">
        <v>48</v>
      </c>
      <c r="C310" s="3" t="s">
        <v>49</v>
      </c>
      <c r="D310" s="11" t="s">
        <v>611</v>
      </c>
      <c r="E310" s="216">
        <v>7000</v>
      </c>
      <c r="F310" s="3" t="s">
        <v>172</v>
      </c>
      <c r="G310" s="4">
        <f t="shared" si="16"/>
        <v>7000</v>
      </c>
      <c r="H310" s="3"/>
      <c r="I310" s="3"/>
      <c r="J310" s="3"/>
      <c r="K310" s="3"/>
      <c r="L310" s="3">
        <f t="shared" si="17"/>
        <v>0</v>
      </c>
      <c r="M310" s="3">
        <f t="shared" si="18"/>
        <v>0</v>
      </c>
      <c r="N310" s="3"/>
      <c r="O310" s="3"/>
      <c r="P310" s="3"/>
      <c r="Q310" s="3"/>
      <c r="R310" s="3"/>
    </row>
    <row r="311" spans="1:18" x14ac:dyDescent="0.25">
      <c r="A311" s="2">
        <v>46153</v>
      </c>
      <c r="B311" s="3" t="s">
        <v>48</v>
      </c>
      <c r="C311" s="3" t="s">
        <v>92</v>
      </c>
      <c r="D311" s="11" t="s">
        <v>612</v>
      </c>
      <c r="E311" s="216"/>
      <c r="F311" s="3">
        <f>E311*5%</f>
        <v>0</v>
      </c>
      <c r="G311" s="4">
        <f t="shared" ref="G311:G374" si="20">IF(F311="NO TAX",E311,E311+F311)</f>
        <v>0</v>
      </c>
      <c r="H311" s="3">
        <v>200</v>
      </c>
      <c r="I311" s="3"/>
      <c r="J311" s="3"/>
      <c r="K311" s="3"/>
      <c r="L311" s="3">
        <f t="shared" ref="L311:L374" si="21">K311*5%</f>
        <v>0</v>
      </c>
      <c r="M311" s="3">
        <f t="shared" ref="M311:M374" si="22">IF(L311="NO TAX",K311,K311+L311)</f>
        <v>0</v>
      </c>
      <c r="N311" s="3"/>
      <c r="O311" s="3"/>
      <c r="P311" s="3"/>
      <c r="Q311" s="3"/>
      <c r="R311" s="3"/>
    </row>
    <row r="312" spans="1:18" x14ac:dyDescent="0.25">
      <c r="A312" s="2">
        <v>46153</v>
      </c>
      <c r="B312" s="3" t="s">
        <v>48</v>
      </c>
      <c r="C312" s="3" t="s">
        <v>73</v>
      </c>
      <c r="D312" s="11" t="s">
        <v>613</v>
      </c>
      <c r="E312" s="216">
        <v>58</v>
      </c>
      <c r="F312" s="3" t="s">
        <v>172</v>
      </c>
      <c r="G312" s="4">
        <f t="shared" si="20"/>
        <v>58</v>
      </c>
      <c r="H312" s="3"/>
      <c r="I312" s="3"/>
      <c r="J312" s="3"/>
      <c r="K312" s="3"/>
      <c r="L312" s="3">
        <f t="shared" si="21"/>
        <v>0</v>
      </c>
      <c r="M312" s="3">
        <f t="shared" si="22"/>
        <v>0</v>
      </c>
      <c r="N312" s="3"/>
      <c r="O312" s="3"/>
      <c r="P312" s="3"/>
      <c r="Q312" s="3"/>
      <c r="R312" s="3"/>
    </row>
    <row r="313" spans="1:18" x14ac:dyDescent="0.25">
      <c r="A313" s="2">
        <v>46153</v>
      </c>
      <c r="B313" s="3" t="s">
        <v>48</v>
      </c>
      <c r="C313" s="3" t="s">
        <v>67</v>
      </c>
      <c r="D313" s="11" t="s">
        <v>614</v>
      </c>
      <c r="E313" s="216">
        <v>20</v>
      </c>
      <c r="F313" s="3" t="s">
        <v>172</v>
      </c>
      <c r="G313" s="4">
        <f t="shared" si="20"/>
        <v>20</v>
      </c>
      <c r="H313" s="3"/>
      <c r="I313" s="3"/>
      <c r="J313" s="3"/>
      <c r="K313" s="3"/>
      <c r="L313" s="3">
        <f t="shared" si="21"/>
        <v>0</v>
      </c>
      <c r="M313" s="3">
        <f t="shared" si="22"/>
        <v>0</v>
      </c>
      <c r="N313" s="3"/>
      <c r="O313" s="3"/>
      <c r="P313" s="3"/>
      <c r="Q313" s="3"/>
      <c r="R313" s="3"/>
    </row>
    <row r="314" spans="1:18" x14ac:dyDescent="0.25">
      <c r="A314" s="2">
        <v>46153</v>
      </c>
      <c r="B314" s="3" t="s">
        <v>48</v>
      </c>
      <c r="C314" s="3" t="s">
        <v>73</v>
      </c>
      <c r="D314" s="11" t="s">
        <v>615</v>
      </c>
      <c r="E314" s="216">
        <v>390</v>
      </c>
      <c r="F314" s="3" t="s">
        <v>172</v>
      </c>
      <c r="G314" s="4">
        <f t="shared" si="20"/>
        <v>390</v>
      </c>
      <c r="H314" s="3"/>
      <c r="I314" s="3"/>
      <c r="J314" s="3"/>
      <c r="K314" s="3"/>
      <c r="L314" s="3">
        <f t="shared" si="21"/>
        <v>0</v>
      </c>
      <c r="M314" s="3">
        <f t="shared" si="22"/>
        <v>0</v>
      </c>
      <c r="N314" s="3"/>
      <c r="O314" s="3"/>
      <c r="P314" s="3"/>
      <c r="Q314" s="3"/>
      <c r="R314" s="3"/>
    </row>
    <row r="315" spans="1:18" x14ac:dyDescent="0.25">
      <c r="A315" s="2">
        <v>46153</v>
      </c>
      <c r="B315" s="3" t="s">
        <v>48</v>
      </c>
      <c r="C315" s="3" t="s">
        <v>70</v>
      </c>
      <c r="D315" s="11" t="s">
        <v>616</v>
      </c>
      <c r="E315" s="216">
        <v>8</v>
      </c>
      <c r="F315" s="3" t="s">
        <v>172</v>
      </c>
      <c r="G315" s="4">
        <f t="shared" si="20"/>
        <v>8</v>
      </c>
      <c r="H315" s="3"/>
      <c r="I315" s="3"/>
      <c r="J315" s="3"/>
      <c r="K315" s="3"/>
      <c r="L315" s="3">
        <f t="shared" si="21"/>
        <v>0</v>
      </c>
      <c r="M315" s="3">
        <f t="shared" si="22"/>
        <v>0</v>
      </c>
      <c r="N315" s="3"/>
      <c r="O315" s="3"/>
      <c r="P315" s="3"/>
      <c r="Q315" s="3"/>
      <c r="R315" s="3"/>
    </row>
    <row r="316" spans="1:18" x14ac:dyDescent="0.25">
      <c r="A316" s="2">
        <v>46153</v>
      </c>
      <c r="B316" s="3" t="s">
        <v>48</v>
      </c>
      <c r="C316" s="3" t="s">
        <v>90</v>
      </c>
      <c r="D316" s="11" t="s">
        <v>617</v>
      </c>
      <c r="E316" s="216"/>
      <c r="F316" s="3">
        <f t="shared" ref="F316:F377" si="23">E316*5%</f>
        <v>0</v>
      </c>
      <c r="G316" s="4">
        <f t="shared" si="20"/>
        <v>0</v>
      </c>
      <c r="H316" s="3"/>
      <c r="I316" s="3"/>
      <c r="J316" s="3">
        <v>11950</v>
      </c>
      <c r="K316" s="3"/>
      <c r="L316" s="3">
        <f t="shared" si="21"/>
        <v>0</v>
      </c>
      <c r="M316" s="3">
        <f t="shared" si="22"/>
        <v>0</v>
      </c>
      <c r="N316" s="3"/>
      <c r="O316" s="3"/>
      <c r="P316" s="3"/>
      <c r="Q316" s="3"/>
      <c r="R316" s="3"/>
    </row>
    <row r="317" spans="1:18" x14ac:dyDescent="0.25">
      <c r="A317" s="2">
        <v>46153</v>
      </c>
      <c r="B317" s="3" t="s">
        <v>48</v>
      </c>
      <c r="C317" s="3" t="s">
        <v>96</v>
      </c>
      <c r="D317" s="11" t="s">
        <v>618</v>
      </c>
      <c r="E317" s="216"/>
      <c r="F317" s="3">
        <f t="shared" si="23"/>
        <v>0</v>
      </c>
      <c r="G317" s="4">
        <f t="shared" si="20"/>
        <v>0</v>
      </c>
      <c r="H317" s="3"/>
      <c r="I317" s="3"/>
      <c r="J317" s="3">
        <v>10000</v>
      </c>
      <c r="K317" s="3"/>
      <c r="L317" s="3">
        <f t="shared" si="21"/>
        <v>0</v>
      </c>
      <c r="M317" s="3">
        <f t="shared" si="22"/>
        <v>0</v>
      </c>
      <c r="N317" s="3"/>
      <c r="O317" s="3"/>
      <c r="P317" s="3"/>
      <c r="Q317" s="3"/>
      <c r="R317" s="3"/>
    </row>
    <row r="318" spans="1:18" x14ac:dyDescent="0.25">
      <c r="A318" s="2">
        <v>46151</v>
      </c>
      <c r="B318" s="3" t="s">
        <v>48</v>
      </c>
      <c r="C318" s="3" t="s">
        <v>91</v>
      </c>
      <c r="D318" s="11" t="s">
        <v>619</v>
      </c>
      <c r="E318" s="3"/>
      <c r="F318" s="3">
        <f t="shared" si="23"/>
        <v>0</v>
      </c>
      <c r="G318" s="4">
        <f t="shared" si="20"/>
        <v>0</v>
      </c>
      <c r="H318" s="3"/>
      <c r="I318" s="3"/>
      <c r="J318" s="3"/>
      <c r="K318" s="3"/>
      <c r="L318" s="3">
        <f t="shared" si="21"/>
        <v>0</v>
      </c>
      <c r="M318" s="3">
        <f t="shared" si="22"/>
        <v>0</v>
      </c>
      <c r="N318" s="3"/>
      <c r="O318" s="3"/>
      <c r="P318" s="3">
        <v>15000</v>
      </c>
      <c r="Q318" s="3"/>
      <c r="R318" s="3"/>
    </row>
    <row r="319" spans="1:18" x14ac:dyDescent="0.25">
      <c r="A319" s="2">
        <v>46153</v>
      </c>
      <c r="B319" s="3" t="s">
        <v>48</v>
      </c>
      <c r="C319" s="3" t="s">
        <v>98</v>
      </c>
      <c r="D319" s="11" t="s">
        <v>620</v>
      </c>
      <c r="E319" s="3"/>
      <c r="F319" s="3">
        <f t="shared" si="23"/>
        <v>0</v>
      </c>
      <c r="G319" s="4">
        <f t="shared" si="20"/>
        <v>0</v>
      </c>
      <c r="H319" s="3"/>
      <c r="I319" s="3"/>
      <c r="J319" s="3"/>
      <c r="K319" s="3"/>
      <c r="L319" s="3">
        <f t="shared" si="21"/>
        <v>0</v>
      </c>
      <c r="M319" s="3">
        <f t="shared" si="22"/>
        <v>0</v>
      </c>
      <c r="N319" s="3"/>
      <c r="O319" s="3"/>
      <c r="P319" s="3">
        <v>4200</v>
      </c>
      <c r="Q319" s="3"/>
      <c r="R319" s="3"/>
    </row>
    <row r="320" spans="1:18" x14ac:dyDescent="0.25">
      <c r="A320" s="2">
        <v>46154</v>
      </c>
      <c r="B320" s="3" t="s">
        <v>48</v>
      </c>
      <c r="C320" s="3" t="s">
        <v>73</v>
      </c>
      <c r="D320" s="11" t="s">
        <v>621</v>
      </c>
      <c r="E320" s="216">
        <v>13</v>
      </c>
      <c r="F320" s="3" t="s">
        <v>172</v>
      </c>
      <c r="G320" s="4">
        <f t="shared" si="20"/>
        <v>13</v>
      </c>
      <c r="H320" s="3"/>
      <c r="I320" s="3"/>
      <c r="J320" s="3"/>
      <c r="K320" s="3"/>
      <c r="L320" s="3">
        <f t="shared" si="21"/>
        <v>0</v>
      </c>
      <c r="M320" s="3">
        <f t="shared" si="22"/>
        <v>0</v>
      </c>
      <c r="N320" s="3"/>
      <c r="O320" s="3"/>
      <c r="P320" s="3"/>
      <c r="Q320" s="3"/>
      <c r="R320" s="3"/>
    </row>
    <row r="321" spans="1:18" x14ac:dyDescent="0.25">
      <c r="A321" s="2">
        <v>46154</v>
      </c>
      <c r="B321" s="3" t="s">
        <v>48</v>
      </c>
      <c r="C321" s="3" t="s">
        <v>64</v>
      </c>
      <c r="D321" s="11" t="s">
        <v>622</v>
      </c>
      <c r="E321" s="216">
        <v>150</v>
      </c>
      <c r="F321" s="3" t="s">
        <v>172</v>
      </c>
      <c r="G321" s="4">
        <f t="shared" si="20"/>
        <v>150</v>
      </c>
      <c r="H321" s="3"/>
      <c r="I321" s="3"/>
      <c r="J321" s="3"/>
      <c r="K321" s="3"/>
      <c r="L321" s="3">
        <f t="shared" si="21"/>
        <v>0</v>
      </c>
      <c r="M321" s="3">
        <f t="shared" si="22"/>
        <v>0</v>
      </c>
      <c r="N321" s="3"/>
      <c r="O321" s="3"/>
      <c r="P321" s="3"/>
      <c r="Q321" s="3"/>
      <c r="R321" s="3"/>
    </row>
    <row r="322" spans="1:18" x14ac:dyDescent="0.25">
      <c r="A322" s="2">
        <v>46154</v>
      </c>
      <c r="B322" s="3" t="s">
        <v>48</v>
      </c>
      <c r="C322" s="3" t="s">
        <v>73</v>
      </c>
      <c r="D322" s="11" t="s">
        <v>623</v>
      </c>
      <c r="E322" s="216">
        <v>55</v>
      </c>
      <c r="F322" s="3" t="s">
        <v>172</v>
      </c>
      <c r="G322" s="4">
        <f t="shared" si="20"/>
        <v>55</v>
      </c>
      <c r="H322" s="3"/>
      <c r="I322" s="3"/>
      <c r="J322" s="3"/>
      <c r="K322" s="3"/>
      <c r="L322" s="3">
        <f t="shared" si="21"/>
        <v>0</v>
      </c>
      <c r="M322" s="3">
        <f t="shared" si="22"/>
        <v>0</v>
      </c>
      <c r="N322" s="3"/>
      <c r="O322" s="3"/>
      <c r="P322" s="3"/>
      <c r="Q322" s="3"/>
      <c r="R322" s="3"/>
    </row>
    <row r="323" spans="1:18" x14ac:dyDescent="0.25">
      <c r="A323" s="2">
        <v>46154</v>
      </c>
      <c r="B323" s="3" t="s">
        <v>48</v>
      </c>
      <c r="C323" s="3" t="s">
        <v>92</v>
      </c>
      <c r="D323" s="11" t="s">
        <v>624</v>
      </c>
      <c r="E323" s="216">
        <v>0</v>
      </c>
      <c r="F323" s="3">
        <f t="shared" si="23"/>
        <v>0</v>
      </c>
      <c r="G323" s="4">
        <f t="shared" si="20"/>
        <v>0</v>
      </c>
      <c r="H323" s="3">
        <v>100</v>
      </c>
      <c r="I323" s="3"/>
      <c r="J323" s="3"/>
      <c r="K323" s="3"/>
      <c r="L323" s="3">
        <f t="shared" si="21"/>
        <v>0</v>
      </c>
      <c r="M323" s="3">
        <f t="shared" si="22"/>
        <v>0</v>
      </c>
      <c r="N323" s="3"/>
      <c r="O323" s="3"/>
      <c r="P323" s="3"/>
      <c r="Q323" s="3"/>
      <c r="R323" s="3"/>
    </row>
    <row r="324" spans="1:18" x14ac:dyDescent="0.25">
      <c r="A324" s="2">
        <v>46154</v>
      </c>
      <c r="B324" s="3" t="s">
        <v>48</v>
      </c>
      <c r="C324" s="3" t="s">
        <v>73</v>
      </c>
      <c r="D324" s="11" t="s">
        <v>625</v>
      </c>
      <c r="E324" s="216">
        <v>120</v>
      </c>
      <c r="F324" s="3" t="s">
        <v>172</v>
      </c>
      <c r="G324" s="4">
        <f t="shared" si="20"/>
        <v>120</v>
      </c>
      <c r="H324" s="3"/>
      <c r="I324" s="3"/>
      <c r="J324" s="3"/>
      <c r="K324" s="3"/>
      <c r="L324" s="3">
        <f t="shared" si="21"/>
        <v>0</v>
      </c>
      <c r="M324" s="3">
        <f t="shared" si="22"/>
        <v>0</v>
      </c>
      <c r="N324" s="3"/>
      <c r="O324" s="3"/>
      <c r="P324" s="3"/>
      <c r="Q324" s="3"/>
      <c r="R324" s="3"/>
    </row>
    <row r="325" spans="1:18" x14ac:dyDescent="0.25">
      <c r="A325" s="2">
        <v>46154</v>
      </c>
      <c r="B325" s="3" t="s">
        <v>48</v>
      </c>
      <c r="C325" s="3" t="s">
        <v>74</v>
      </c>
      <c r="D325" s="11" t="s">
        <v>626</v>
      </c>
      <c r="E325" s="216">
        <v>2373.75</v>
      </c>
      <c r="F325" s="3" t="s">
        <v>172</v>
      </c>
      <c r="G325" s="4">
        <f t="shared" si="20"/>
        <v>2373.75</v>
      </c>
      <c r="H325" s="3"/>
      <c r="I325" s="3"/>
      <c r="J325" s="3"/>
      <c r="K325" s="3"/>
      <c r="L325" s="3">
        <f t="shared" si="21"/>
        <v>0</v>
      </c>
      <c r="M325" s="3">
        <f t="shared" si="22"/>
        <v>0</v>
      </c>
      <c r="N325" s="3"/>
      <c r="O325" s="3"/>
      <c r="P325" s="3"/>
      <c r="Q325" s="3"/>
      <c r="R325" s="3"/>
    </row>
    <row r="326" spans="1:18" x14ac:dyDescent="0.25">
      <c r="A326" s="2">
        <v>46154</v>
      </c>
      <c r="B326" s="2" t="s">
        <v>287</v>
      </c>
      <c r="C326" s="3" t="s">
        <v>75</v>
      </c>
      <c r="D326" s="11" t="s">
        <v>627</v>
      </c>
      <c r="E326" s="3">
        <v>1275</v>
      </c>
      <c r="F326" s="3" t="s">
        <v>172</v>
      </c>
      <c r="G326" s="4">
        <f t="shared" si="20"/>
        <v>1275</v>
      </c>
      <c r="H326" s="3"/>
      <c r="I326" s="3"/>
      <c r="J326" s="3"/>
      <c r="K326" s="3"/>
      <c r="L326" s="3">
        <f t="shared" si="21"/>
        <v>0</v>
      </c>
      <c r="M326" s="3">
        <f t="shared" si="22"/>
        <v>0</v>
      </c>
      <c r="N326" s="3"/>
      <c r="O326" s="3"/>
      <c r="P326" s="3"/>
      <c r="Q326" s="3"/>
      <c r="R326" s="3"/>
    </row>
    <row r="327" spans="1:18" x14ac:dyDescent="0.25">
      <c r="A327" s="2">
        <v>46154</v>
      </c>
      <c r="B327" s="3" t="s">
        <v>291</v>
      </c>
      <c r="C327" s="3" t="s">
        <v>81</v>
      </c>
      <c r="D327" s="11" t="s">
        <v>628</v>
      </c>
      <c r="E327" s="3">
        <v>500</v>
      </c>
      <c r="F327" s="3" t="s">
        <v>172</v>
      </c>
      <c r="G327" s="4">
        <f t="shared" si="20"/>
        <v>500</v>
      </c>
      <c r="H327" s="3"/>
      <c r="I327" s="3"/>
      <c r="J327" s="3"/>
      <c r="K327" s="3"/>
      <c r="L327" s="3">
        <f t="shared" si="21"/>
        <v>0</v>
      </c>
      <c r="M327" s="3">
        <f t="shared" si="22"/>
        <v>0</v>
      </c>
      <c r="N327" s="3"/>
      <c r="O327" s="3"/>
      <c r="P327" s="3"/>
      <c r="Q327" s="3"/>
      <c r="R327" s="3"/>
    </row>
    <row r="328" spans="1:18" x14ac:dyDescent="0.25">
      <c r="A328" s="2">
        <v>46154</v>
      </c>
      <c r="B328" s="3" t="s">
        <v>291</v>
      </c>
      <c r="C328" s="3" t="s">
        <v>49</v>
      </c>
      <c r="D328" s="11" t="s">
        <v>629</v>
      </c>
      <c r="E328" s="3">
        <v>25886.55</v>
      </c>
      <c r="F328" s="3" t="s">
        <v>172</v>
      </c>
      <c r="G328" s="4">
        <f t="shared" si="20"/>
        <v>25886.55</v>
      </c>
      <c r="H328" s="3"/>
      <c r="I328" s="3"/>
      <c r="J328" s="3"/>
      <c r="K328" s="3"/>
      <c r="L328" s="3">
        <f t="shared" si="21"/>
        <v>0</v>
      </c>
      <c r="M328" s="3">
        <f t="shared" si="22"/>
        <v>0</v>
      </c>
      <c r="N328" s="3"/>
      <c r="O328" s="3"/>
      <c r="P328" s="3"/>
      <c r="Q328" s="3"/>
      <c r="R328" s="3"/>
    </row>
    <row r="329" spans="1:18" x14ac:dyDescent="0.25">
      <c r="A329" s="2">
        <v>46154</v>
      </c>
      <c r="B329" s="3" t="s">
        <v>48</v>
      </c>
      <c r="C329" s="3" t="s">
        <v>78</v>
      </c>
      <c r="D329" s="11" t="s">
        <v>630</v>
      </c>
      <c r="E329" s="3"/>
      <c r="F329" s="3">
        <f t="shared" si="23"/>
        <v>0</v>
      </c>
      <c r="G329" s="4">
        <f t="shared" si="20"/>
        <v>0</v>
      </c>
      <c r="H329" s="3"/>
      <c r="I329" s="3"/>
      <c r="J329" s="3"/>
      <c r="K329" s="3"/>
      <c r="L329" s="3">
        <f t="shared" si="21"/>
        <v>0</v>
      </c>
      <c r="M329" s="3">
        <f t="shared" si="22"/>
        <v>0</v>
      </c>
      <c r="N329" s="3">
        <v>36000</v>
      </c>
      <c r="O329" s="3"/>
      <c r="P329" s="3"/>
      <c r="Q329" s="3"/>
      <c r="R329" s="3"/>
    </row>
    <row r="330" spans="1:18" x14ac:dyDescent="0.25">
      <c r="A330" s="2">
        <v>46155</v>
      </c>
      <c r="B330" s="3" t="s">
        <v>48</v>
      </c>
      <c r="C330" s="3" t="s">
        <v>90</v>
      </c>
      <c r="D330" s="11" t="s">
        <v>631</v>
      </c>
      <c r="E330" s="216"/>
      <c r="F330" s="3">
        <f t="shared" si="23"/>
        <v>0</v>
      </c>
      <c r="G330" s="4">
        <f t="shared" si="20"/>
        <v>0</v>
      </c>
      <c r="H330" s="3"/>
      <c r="I330" s="3"/>
      <c r="J330" s="3">
        <v>500</v>
      </c>
      <c r="K330" s="3"/>
      <c r="L330" s="3">
        <f t="shared" si="21"/>
        <v>0</v>
      </c>
      <c r="M330" s="3">
        <f t="shared" si="22"/>
        <v>0</v>
      </c>
      <c r="N330" s="3"/>
      <c r="O330" s="3"/>
      <c r="P330" s="3"/>
      <c r="Q330" s="3"/>
      <c r="R330" s="3"/>
    </row>
    <row r="331" spans="1:18" x14ac:dyDescent="0.25">
      <c r="A331" s="2">
        <v>46155</v>
      </c>
      <c r="B331" s="3" t="s">
        <v>48</v>
      </c>
      <c r="C331" s="3" t="s">
        <v>49</v>
      </c>
      <c r="D331" s="11" t="s">
        <v>632</v>
      </c>
      <c r="E331" s="216">
        <v>137</v>
      </c>
      <c r="F331" s="3">
        <f t="shared" si="23"/>
        <v>6.8500000000000005</v>
      </c>
      <c r="G331" s="187">
        <f t="shared" si="20"/>
        <v>143.85</v>
      </c>
      <c r="H331" s="3"/>
      <c r="I331" s="3"/>
      <c r="J331" s="3"/>
      <c r="K331" s="3"/>
      <c r="L331" s="3">
        <f t="shared" si="21"/>
        <v>0</v>
      </c>
      <c r="M331" s="3">
        <f t="shared" si="22"/>
        <v>0</v>
      </c>
      <c r="N331" s="3"/>
      <c r="O331" s="3"/>
      <c r="P331" s="3"/>
      <c r="Q331" s="3"/>
      <c r="R331" s="3"/>
    </row>
    <row r="332" spans="1:18" x14ac:dyDescent="0.25">
      <c r="A332" s="2">
        <v>46155</v>
      </c>
      <c r="B332" s="3" t="s">
        <v>48</v>
      </c>
      <c r="C332" s="3" t="s">
        <v>49</v>
      </c>
      <c r="D332" s="11" t="s">
        <v>633</v>
      </c>
      <c r="E332" s="216">
        <v>215</v>
      </c>
      <c r="F332" s="3">
        <f t="shared" si="23"/>
        <v>10.75</v>
      </c>
      <c r="G332" s="187">
        <f t="shared" si="20"/>
        <v>225.75</v>
      </c>
      <c r="H332" s="3"/>
      <c r="I332" s="3"/>
      <c r="J332" s="3"/>
      <c r="K332" s="3"/>
      <c r="L332" s="3">
        <f t="shared" si="21"/>
        <v>0</v>
      </c>
      <c r="M332" s="3">
        <f t="shared" si="22"/>
        <v>0</v>
      </c>
      <c r="N332" s="3"/>
      <c r="O332" s="3"/>
      <c r="P332" s="3"/>
      <c r="Q332" s="3"/>
      <c r="R332" s="3"/>
    </row>
    <row r="333" spans="1:18" x14ac:dyDescent="0.25">
      <c r="A333" s="2">
        <v>46155</v>
      </c>
      <c r="B333" s="3" t="s">
        <v>48</v>
      </c>
      <c r="C333" s="3" t="s">
        <v>73</v>
      </c>
      <c r="D333" s="11" t="s">
        <v>634</v>
      </c>
      <c r="E333" s="216">
        <v>7</v>
      </c>
      <c r="F333" s="3" t="s">
        <v>172</v>
      </c>
      <c r="G333" s="4">
        <f t="shared" si="20"/>
        <v>7</v>
      </c>
      <c r="H333" s="3"/>
      <c r="I333" s="3"/>
      <c r="J333" s="3"/>
      <c r="K333" s="3"/>
      <c r="L333" s="3">
        <f t="shared" si="21"/>
        <v>0</v>
      </c>
      <c r="M333" s="3">
        <f t="shared" si="22"/>
        <v>0</v>
      </c>
      <c r="N333" s="3"/>
      <c r="O333" s="3"/>
      <c r="P333" s="3"/>
      <c r="Q333" s="3"/>
      <c r="R333" s="3"/>
    </row>
    <row r="334" spans="1:18" x14ac:dyDescent="0.25">
      <c r="A334" s="2">
        <v>46155</v>
      </c>
      <c r="B334" s="3" t="s">
        <v>48</v>
      </c>
      <c r="C334" s="3" t="s">
        <v>49</v>
      </c>
      <c r="D334" s="11" t="s">
        <v>635</v>
      </c>
      <c r="E334" s="216">
        <v>439.26</v>
      </c>
      <c r="F334" s="3">
        <f t="shared" si="23"/>
        <v>21.963000000000001</v>
      </c>
      <c r="G334" s="187">
        <f t="shared" si="20"/>
        <v>461.22300000000001</v>
      </c>
      <c r="H334" s="3"/>
      <c r="I334" s="3"/>
      <c r="J334" s="3"/>
      <c r="K334" s="3"/>
      <c r="L334" s="3">
        <f t="shared" si="21"/>
        <v>0</v>
      </c>
      <c r="M334" s="3">
        <f t="shared" si="22"/>
        <v>0</v>
      </c>
      <c r="N334" s="3"/>
      <c r="O334" s="3"/>
      <c r="P334" s="3"/>
      <c r="Q334" s="3"/>
      <c r="R334" s="3"/>
    </row>
    <row r="335" spans="1:18" x14ac:dyDescent="0.25">
      <c r="A335" s="2">
        <v>46155</v>
      </c>
      <c r="B335" s="3" t="s">
        <v>48</v>
      </c>
      <c r="C335" s="3" t="s">
        <v>49</v>
      </c>
      <c r="D335" s="11" t="s">
        <v>636</v>
      </c>
      <c r="E335" s="216">
        <v>190</v>
      </c>
      <c r="F335" s="3" t="s">
        <v>172</v>
      </c>
      <c r="G335" s="4">
        <f t="shared" si="20"/>
        <v>190</v>
      </c>
      <c r="H335" s="3"/>
      <c r="I335" s="3"/>
      <c r="J335" s="3"/>
      <c r="K335" s="3"/>
      <c r="L335" s="3">
        <f t="shared" si="21"/>
        <v>0</v>
      </c>
      <c r="M335" s="3">
        <f t="shared" si="22"/>
        <v>0</v>
      </c>
      <c r="N335" s="3"/>
      <c r="O335" s="3"/>
      <c r="P335" s="3"/>
      <c r="Q335" s="3"/>
      <c r="R335" s="3"/>
    </row>
    <row r="336" spans="1:18" x14ac:dyDescent="0.25">
      <c r="A336" s="2">
        <v>46155</v>
      </c>
      <c r="B336" s="3" t="s">
        <v>48</v>
      </c>
      <c r="C336" s="3" t="s">
        <v>49</v>
      </c>
      <c r="D336" s="11" t="s">
        <v>637</v>
      </c>
      <c r="E336" s="216">
        <v>5</v>
      </c>
      <c r="F336" s="3" t="s">
        <v>172</v>
      </c>
      <c r="G336" s="4">
        <f t="shared" si="20"/>
        <v>5</v>
      </c>
      <c r="H336" s="3"/>
      <c r="I336" s="3"/>
      <c r="J336" s="3"/>
      <c r="K336" s="3"/>
      <c r="L336" s="3">
        <f t="shared" si="21"/>
        <v>0</v>
      </c>
      <c r="M336" s="3">
        <f t="shared" si="22"/>
        <v>0</v>
      </c>
      <c r="N336" s="3"/>
      <c r="O336" s="3"/>
      <c r="P336" s="3"/>
      <c r="Q336" s="3"/>
      <c r="R336" s="3"/>
    </row>
    <row r="337" spans="1:18" x14ac:dyDescent="0.25">
      <c r="A337" s="2">
        <v>46155</v>
      </c>
      <c r="B337" s="3" t="s">
        <v>48</v>
      </c>
      <c r="C337" s="3" t="s">
        <v>92</v>
      </c>
      <c r="D337" s="11" t="s">
        <v>638</v>
      </c>
      <c r="E337" s="216"/>
      <c r="F337" s="3">
        <f t="shared" si="23"/>
        <v>0</v>
      </c>
      <c r="G337" s="4">
        <f t="shared" si="20"/>
        <v>0</v>
      </c>
      <c r="H337" s="3">
        <v>3000</v>
      </c>
      <c r="I337" s="3"/>
      <c r="J337" s="3"/>
      <c r="K337" s="3"/>
      <c r="L337" s="3">
        <f t="shared" si="21"/>
        <v>0</v>
      </c>
      <c r="M337" s="3">
        <f t="shared" si="22"/>
        <v>0</v>
      </c>
      <c r="N337" s="3"/>
      <c r="O337" s="3"/>
      <c r="P337" s="3"/>
      <c r="Q337" s="3"/>
      <c r="R337" s="3"/>
    </row>
    <row r="338" spans="1:18" x14ac:dyDescent="0.25">
      <c r="A338" s="2">
        <v>46155</v>
      </c>
      <c r="B338" s="3" t="s">
        <v>48</v>
      </c>
      <c r="C338" s="3" t="s">
        <v>92</v>
      </c>
      <c r="D338" s="11" t="s">
        <v>639</v>
      </c>
      <c r="E338" s="216"/>
      <c r="F338" s="3">
        <f t="shared" si="23"/>
        <v>0</v>
      </c>
      <c r="G338" s="4">
        <f t="shared" si="20"/>
        <v>0</v>
      </c>
      <c r="H338" s="3">
        <v>1000</v>
      </c>
      <c r="I338" s="3"/>
      <c r="J338" s="3"/>
      <c r="K338" s="3"/>
      <c r="L338" s="3">
        <f t="shared" si="21"/>
        <v>0</v>
      </c>
      <c r="M338" s="3">
        <f t="shared" si="22"/>
        <v>0</v>
      </c>
      <c r="N338" s="3"/>
      <c r="O338" s="3"/>
      <c r="P338" s="3"/>
      <c r="Q338" s="3"/>
      <c r="R338" s="3"/>
    </row>
    <row r="339" spans="1:18" x14ac:dyDescent="0.25">
      <c r="A339" s="2">
        <v>46156</v>
      </c>
      <c r="B339" s="3" t="s">
        <v>48</v>
      </c>
      <c r="C339" s="3" t="s">
        <v>73</v>
      </c>
      <c r="D339" s="11" t="s">
        <v>640</v>
      </c>
      <c r="E339" s="216">
        <v>55</v>
      </c>
      <c r="F339" s="3" t="s">
        <v>172</v>
      </c>
      <c r="G339" s="4">
        <f t="shared" si="20"/>
        <v>55</v>
      </c>
      <c r="H339" s="3"/>
      <c r="I339" s="3"/>
      <c r="J339" s="3"/>
      <c r="K339" s="3"/>
      <c r="L339" s="3">
        <f t="shared" si="21"/>
        <v>0</v>
      </c>
      <c r="M339" s="3">
        <f t="shared" si="22"/>
        <v>0</v>
      </c>
      <c r="N339" s="3"/>
      <c r="O339" s="3"/>
      <c r="P339" s="3"/>
      <c r="Q339" s="3"/>
      <c r="R339" s="3"/>
    </row>
    <row r="340" spans="1:18" x14ac:dyDescent="0.25">
      <c r="A340" s="2">
        <v>46156</v>
      </c>
      <c r="B340" s="3" t="s">
        <v>48</v>
      </c>
      <c r="C340" s="3" t="s">
        <v>92</v>
      </c>
      <c r="D340" s="11" t="s">
        <v>641</v>
      </c>
      <c r="E340" s="216"/>
      <c r="F340" s="3">
        <f t="shared" si="23"/>
        <v>0</v>
      </c>
      <c r="G340" s="4">
        <f t="shared" si="20"/>
        <v>0</v>
      </c>
      <c r="H340" s="3">
        <v>100</v>
      </c>
      <c r="I340" s="3"/>
      <c r="J340" s="3"/>
      <c r="K340" s="3"/>
      <c r="L340" s="3">
        <f t="shared" si="21"/>
        <v>0</v>
      </c>
      <c r="M340" s="3">
        <f t="shared" si="22"/>
        <v>0</v>
      </c>
      <c r="N340" s="3"/>
      <c r="O340" s="3"/>
      <c r="P340" s="3"/>
      <c r="Q340" s="3"/>
      <c r="R340" s="3"/>
    </row>
    <row r="341" spans="1:18" x14ac:dyDescent="0.25">
      <c r="A341" s="2">
        <v>46156</v>
      </c>
      <c r="B341" s="3" t="s">
        <v>48</v>
      </c>
      <c r="C341" s="3" t="s">
        <v>92</v>
      </c>
      <c r="D341" s="11" t="s">
        <v>642</v>
      </c>
      <c r="E341" s="216"/>
      <c r="F341" s="3">
        <f t="shared" si="23"/>
        <v>0</v>
      </c>
      <c r="G341" s="4">
        <f t="shared" si="20"/>
        <v>0</v>
      </c>
      <c r="H341" s="3">
        <v>100</v>
      </c>
      <c r="I341" s="3"/>
      <c r="J341" s="3"/>
      <c r="K341" s="3"/>
      <c r="L341" s="3">
        <f t="shared" si="21"/>
        <v>0</v>
      </c>
      <c r="M341" s="3">
        <f t="shared" si="22"/>
        <v>0</v>
      </c>
      <c r="N341" s="3"/>
      <c r="O341" s="3"/>
      <c r="P341" s="3"/>
      <c r="Q341" s="3"/>
      <c r="R341" s="3"/>
    </row>
    <row r="342" spans="1:18" x14ac:dyDescent="0.25">
      <c r="A342" s="2">
        <v>46156</v>
      </c>
      <c r="B342" s="3" t="s">
        <v>48</v>
      </c>
      <c r="C342" s="3" t="s">
        <v>92</v>
      </c>
      <c r="D342" s="11" t="s">
        <v>643</v>
      </c>
      <c r="E342" s="216"/>
      <c r="F342" s="3">
        <f t="shared" si="23"/>
        <v>0</v>
      </c>
      <c r="G342" s="4">
        <f t="shared" si="20"/>
        <v>0</v>
      </c>
      <c r="H342" s="3">
        <v>1200</v>
      </c>
      <c r="I342" s="3"/>
      <c r="J342" s="3"/>
      <c r="K342" s="3"/>
      <c r="L342" s="3">
        <f t="shared" si="21"/>
        <v>0</v>
      </c>
      <c r="M342" s="3">
        <f t="shared" si="22"/>
        <v>0</v>
      </c>
      <c r="N342" s="3"/>
      <c r="O342" s="3"/>
      <c r="P342" s="3"/>
      <c r="Q342" s="3"/>
      <c r="R342" s="3"/>
    </row>
    <row r="343" spans="1:18" x14ac:dyDescent="0.25">
      <c r="A343" s="2">
        <v>46156</v>
      </c>
      <c r="B343" s="3" t="s">
        <v>48</v>
      </c>
      <c r="C343" s="3" t="s">
        <v>49</v>
      </c>
      <c r="D343" s="11" t="s">
        <v>644</v>
      </c>
      <c r="E343" s="216">
        <v>857.14</v>
      </c>
      <c r="F343" s="3">
        <f t="shared" si="23"/>
        <v>42.856999999999999</v>
      </c>
      <c r="G343" s="4">
        <f t="shared" si="20"/>
        <v>899.99699999999996</v>
      </c>
      <c r="H343" s="3"/>
      <c r="I343" s="3"/>
      <c r="J343" s="3"/>
      <c r="K343" s="3"/>
      <c r="L343" s="3">
        <f t="shared" si="21"/>
        <v>0</v>
      </c>
      <c r="M343" s="3">
        <f t="shared" si="22"/>
        <v>0</v>
      </c>
      <c r="N343" s="3"/>
      <c r="O343" s="3"/>
      <c r="P343" s="3"/>
      <c r="Q343" s="3"/>
      <c r="R343" s="3"/>
    </row>
    <row r="344" spans="1:18" x14ac:dyDescent="0.25">
      <c r="A344" s="2">
        <v>46156</v>
      </c>
      <c r="B344" s="3" t="s">
        <v>48</v>
      </c>
      <c r="C344" s="3" t="s">
        <v>64</v>
      </c>
      <c r="D344" s="11" t="s">
        <v>645</v>
      </c>
      <c r="E344" s="216">
        <v>150</v>
      </c>
      <c r="F344" s="3" t="s">
        <v>172</v>
      </c>
      <c r="G344" s="4">
        <f t="shared" si="20"/>
        <v>150</v>
      </c>
      <c r="H344" s="3"/>
      <c r="I344" s="3"/>
      <c r="J344" s="3"/>
      <c r="K344" s="3"/>
      <c r="L344" s="3">
        <f t="shared" si="21"/>
        <v>0</v>
      </c>
      <c r="M344" s="3">
        <f t="shared" si="22"/>
        <v>0</v>
      </c>
      <c r="N344" s="3"/>
      <c r="O344" s="3"/>
      <c r="P344" s="3"/>
      <c r="Q344" s="3"/>
      <c r="R344" s="3"/>
    </row>
    <row r="345" spans="1:18" x14ac:dyDescent="0.25">
      <c r="A345" s="2">
        <v>46156</v>
      </c>
      <c r="B345" s="3" t="s">
        <v>48</v>
      </c>
      <c r="C345" s="3" t="s">
        <v>49</v>
      </c>
      <c r="D345" s="11" t="s">
        <v>646</v>
      </c>
      <c r="E345" s="216">
        <v>133.33000000000001</v>
      </c>
      <c r="F345" s="3">
        <f t="shared" si="23"/>
        <v>6.666500000000001</v>
      </c>
      <c r="G345" s="4">
        <f t="shared" si="20"/>
        <v>139.99650000000003</v>
      </c>
      <c r="H345" s="3"/>
      <c r="I345" s="3"/>
      <c r="J345" s="3"/>
      <c r="K345" s="3"/>
      <c r="L345" s="3">
        <f t="shared" si="21"/>
        <v>0</v>
      </c>
      <c r="M345" s="3">
        <f t="shared" si="22"/>
        <v>0</v>
      </c>
      <c r="N345" s="3"/>
      <c r="O345" s="3"/>
      <c r="P345" s="3"/>
      <c r="Q345" s="3"/>
      <c r="R345" s="3"/>
    </row>
    <row r="346" spans="1:18" x14ac:dyDescent="0.25">
      <c r="A346" s="2">
        <v>46156</v>
      </c>
      <c r="B346" s="3" t="s">
        <v>48</v>
      </c>
      <c r="C346" s="3" t="s">
        <v>49</v>
      </c>
      <c r="D346" s="11" t="s">
        <v>647</v>
      </c>
      <c r="E346" s="216">
        <v>109.53</v>
      </c>
      <c r="F346" s="3">
        <f t="shared" si="23"/>
        <v>5.4765000000000006</v>
      </c>
      <c r="G346" s="187">
        <f t="shared" si="20"/>
        <v>115.0065</v>
      </c>
      <c r="H346" s="3"/>
      <c r="I346" s="3"/>
      <c r="J346" s="3"/>
      <c r="K346" s="3"/>
      <c r="L346" s="3">
        <f t="shared" si="21"/>
        <v>0</v>
      </c>
      <c r="M346" s="3">
        <f t="shared" si="22"/>
        <v>0</v>
      </c>
      <c r="N346" s="3"/>
      <c r="O346" s="3"/>
      <c r="P346" s="3"/>
      <c r="Q346" s="3"/>
      <c r="R346" s="3"/>
    </row>
    <row r="347" spans="1:18" x14ac:dyDescent="0.25">
      <c r="A347" s="2">
        <v>46156</v>
      </c>
      <c r="B347" s="3" t="s">
        <v>48</v>
      </c>
      <c r="C347" s="3" t="s">
        <v>49</v>
      </c>
      <c r="D347" s="11" t="s">
        <v>648</v>
      </c>
      <c r="E347" s="216">
        <v>52.38</v>
      </c>
      <c r="F347" s="3">
        <f t="shared" si="23"/>
        <v>2.6190000000000002</v>
      </c>
      <c r="G347" s="4">
        <f t="shared" si="20"/>
        <v>54.999000000000002</v>
      </c>
      <c r="H347" s="3"/>
      <c r="I347" s="3"/>
      <c r="J347" s="3"/>
      <c r="K347" s="3"/>
      <c r="L347" s="3">
        <f t="shared" si="21"/>
        <v>0</v>
      </c>
      <c r="M347" s="3">
        <f t="shared" si="22"/>
        <v>0</v>
      </c>
      <c r="N347" s="3"/>
      <c r="O347" s="3"/>
      <c r="P347" s="3"/>
      <c r="Q347" s="3"/>
      <c r="R347" s="3"/>
    </row>
    <row r="348" spans="1:18" x14ac:dyDescent="0.25">
      <c r="A348" s="2">
        <v>46156</v>
      </c>
      <c r="B348" s="3" t="s">
        <v>48</v>
      </c>
      <c r="C348" s="3" t="s">
        <v>49</v>
      </c>
      <c r="D348" s="11" t="s">
        <v>649</v>
      </c>
      <c r="E348" s="216">
        <v>2</v>
      </c>
      <c r="F348" s="3" t="s">
        <v>172</v>
      </c>
      <c r="G348" s="4">
        <f t="shared" si="20"/>
        <v>2</v>
      </c>
      <c r="H348" s="3"/>
      <c r="I348" s="3"/>
      <c r="J348" s="3"/>
      <c r="K348" s="3"/>
      <c r="L348" s="3">
        <f t="shared" si="21"/>
        <v>0</v>
      </c>
      <c r="M348" s="3">
        <f t="shared" si="22"/>
        <v>0</v>
      </c>
      <c r="N348" s="3"/>
      <c r="O348" s="3"/>
      <c r="P348" s="3"/>
      <c r="Q348" s="3"/>
      <c r="R348" s="3"/>
    </row>
    <row r="349" spans="1:18" x14ac:dyDescent="0.25">
      <c r="A349" s="2">
        <v>46157</v>
      </c>
      <c r="B349" s="3" t="s">
        <v>48</v>
      </c>
      <c r="C349" s="3" t="s">
        <v>92</v>
      </c>
      <c r="D349" s="11" t="s">
        <v>650</v>
      </c>
      <c r="E349" s="3"/>
      <c r="F349" s="3">
        <f t="shared" si="23"/>
        <v>0</v>
      </c>
      <c r="G349" s="4">
        <f t="shared" si="20"/>
        <v>0</v>
      </c>
      <c r="H349" s="216">
        <v>1000</v>
      </c>
      <c r="I349" s="3"/>
      <c r="J349" s="3"/>
      <c r="K349" s="3"/>
      <c r="L349" s="3">
        <f t="shared" si="21"/>
        <v>0</v>
      </c>
      <c r="M349" s="3">
        <f t="shared" si="22"/>
        <v>0</v>
      </c>
      <c r="N349" s="3"/>
      <c r="O349" s="3"/>
      <c r="P349" s="3"/>
      <c r="Q349" s="3"/>
      <c r="R349" s="3"/>
    </row>
    <row r="350" spans="1:18" x14ac:dyDescent="0.25">
      <c r="A350" s="2">
        <v>46157</v>
      </c>
      <c r="B350" s="3" t="s">
        <v>48</v>
      </c>
      <c r="C350" s="3" t="s">
        <v>92</v>
      </c>
      <c r="D350" s="11" t="s">
        <v>651</v>
      </c>
      <c r="E350" s="3"/>
      <c r="F350" s="3">
        <f t="shared" si="23"/>
        <v>0</v>
      </c>
      <c r="G350" s="4">
        <f t="shared" si="20"/>
        <v>0</v>
      </c>
      <c r="H350" s="216">
        <v>50</v>
      </c>
      <c r="I350" s="3"/>
      <c r="J350" s="3"/>
      <c r="K350" s="3"/>
      <c r="L350" s="3">
        <f t="shared" si="21"/>
        <v>0</v>
      </c>
      <c r="M350" s="3">
        <f t="shared" si="22"/>
        <v>0</v>
      </c>
      <c r="N350" s="3"/>
      <c r="O350" s="3"/>
      <c r="P350" s="3"/>
      <c r="Q350" s="3"/>
      <c r="R350" s="3"/>
    </row>
    <row r="351" spans="1:18" x14ac:dyDescent="0.25">
      <c r="A351" s="2">
        <v>46157</v>
      </c>
      <c r="B351" s="3" t="s">
        <v>48</v>
      </c>
      <c r="C351" s="3" t="s">
        <v>92</v>
      </c>
      <c r="D351" s="11" t="s">
        <v>652</v>
      </c>
      <c r="E351" s="3"/>
      <c r="F351" s="3">
        <f t="shared" si="23"/>
        <v>0</v>
      </c>
      <c r="G351" s="4">
        <f t="shared" si="20"/>
        <v>0</v>
      </c>
      <c r="H351" s="216">
        <v>100</v>
      </c>
      <c r="I351" s="3"/>
      <c r="J351" s="3"/>
      <c r="K351" s="3"/>
      <c r="L351" s="3">
        <f t="shared" si="21"/>
        <v>0</v>
      </c>
      <c r="M351" s="3">
        <f t="shared" si="22"/>
        <v>0</v>
      </c>
      <c r="N351" s="3"/>
      <c r="O351" s="3"/>
      <c r="P351" s="3"/>
      <c r="Q351" s="3"/>
      <c r="R351" s="3"/>
    </row>
    <row r="352" spans="1:18" x14ac:dyDescent="0.25">
      <c r="A352" s="2">
        <v>46157</v>
      </c>
      <c r="B352" s="3" t="s">
        <v>48</v>
      </c>
      <c r="C352" s="3" t="s">
        <v>92</v>
      </c>
      <c r="D352" s="11" t="s">
        <v>653</v>
      </c>
      <c r="E352" s="3"/>
      <c r="F352" s="3">
        <f t="shared" si="23"/>
        <v>0</v>
      </c>
      <c r="G352" s="4">
        <f t="shared" si="20"/>
        <v>0</v>
      </c>
      <c r="H352" s="216">
        <v>500</v>
      </c>
      <c r="I352" s="3"/>
      <c r="J352" s="3"/>
      <c r="K352" s="3"/>
      <c r="L352" s="3">
        <f t="shared" si="21"/>
        <v>0</v>
      </c>
      <c r="M352" s="3">
        <f t="shared" si="22"/>
        <v>0</v>
      </c>
      <c r="N352" s="3"/>
      <c r="O352" s="3"/>
      <c r="P352" s="3"/>
      <c r="Q352" s="3"/>
      <c r="R352" s="3"/>
    </row>
    <row r="353" spans="1:18" x14ac:dyDescent="0.25">
      <c r="A353" s="2">
        <v>46157</v>
      </c>
      <c r="B353" s="3" t="s">
        <v>48</v>
      </c>
      <c r="C353" s="3" t="s">
        <v>92</v>
      </c>
      <c r="D353" s="11" t="s">
        <v>654</v>
      </c>
      <c r="E353" s="3"/>
      <c r="F353" s="3">
        <f t="shared" si="23"/>
        <v>0</v>
      </c>
      <c r="G353" s="4">
        <f t="shared" si="20"/>
        <v>0</v>
      </c>
      <c r="H353" s="216">
        <v>200</v>
      </c>
      <c r="I353" s="3"/>
      <c r="J353" s="3"/>
      <c r="K353" s="3"/>
      <c r="L353" s="3">
        <f t="shared" si="21"/>
        <v>0</v>
      </c>
      <c r="M353" s="3">
        <f t="shared" si="22"/>
        <v>0</v>
      </c>
      <c r="N353" s="3"/>
      <c r="O353" s="3"/>
      <c r="P353" s="3"/>
      <c r="Q353" s="3"/>
      <c r="R353" s="3"/>
    </row>
    <row r="354" spans="1:18" x14ac:dyDescent="0.25">
      <c r="A354" s="2">
        <v>46157</v>
      </c>
      <c r="B354" s="3" t="s">
        <v>48</v>
      </c>
      <c r="C354" s="3" t="s">
        <v>68</v>
      </c>
      <c r="D354" s="11" t="s">
        <v>655</v>
      </c>
      <c r="E354" s="3">
        <v>11.43</v>
      </c>
      <c r="F354" s="3">
        <f t="shared" si="23"/>
        <v>0.57150000000000001</v>
      </c>
      <c r="G354" s="4">
        <f t="shared" si="20"/>
        <v>12.0015</v>
      </c>
      <c r="H354" s="3"/>
      <c r="I354" s="3"/>
      <c r="J354" s="3"/>
      <c r="K354" s="3"/>
      <c r="L354" s="3">
        <f t="shared" si="21"/>
        <v>0</v>
      </c>
      <c r="M354" s="3">
        <f t="shared" si="22"/>
        <v>0</v>
      </c>
      <c r="N354" s="3"/>
      <c r="O354" s="3"/>
      <c r="P354" s="3"/>
      <c r="Q354" s="3"/>
      <c r="R354" s="3"/>
    </row>
    <row r="355" spans="1:18" x14ac:dyDescent="0.25">
      <c r="A355" s="2">
        <v>46157</v>
      </c>
      <c r="B355" s="3" t="s">
        <v>48</v>
      </c>
      <c r="C355" s="3" t="s">
        <v>58</v>
      </c>
      <c r="D355" s="11" t="s">
        <v>656</v>
      </c>
      <c r="E355" s="3">
        <v>25</v>
      </c>
      <c r="F355" s="3" t="s">
        <v>172</v>
      </c>
      <c r="G355" s="4">
        <f t="shared" si="20"/>
        <v>25</v>
      </c>
      <c r="H355" s="3"/>
      <c r="I355" s="3"/>
      <c r="J355" s="3"/>
      <c r="K355" s="3"/>
      <c r="L355" s="3">
        <f t="shared" si="21"/>
        <v>0</v>
      </c>
      <c r="M355" s="3">
        <f t="shared" si="22"/>
        <v>0</v>
      </c>
      <c r="N355" s="3"/>
      <c r="O355" s="3"/>
      <c r="P355" s="3"/>
      <c r="Q355" s="3"/>
      <c r="R355" s="3"/>
    </row>
    <row r="356" spans="1:18" x14ac:dyDescent="0.25">
      <c r="A356" s="2">
        <v>46157</v>
      </c>
      <c r="B356" s="2" t="s">
        <v>292</v>
      </c>
      <c r="C356" s="3" t="s">
        <v>59</v>
      </c>
      <c r="D356" s="11" t="s">
        <v>657</v>
      </c>
      <c r="E356" s="3">
        <v>759.17</v>
      </c>
      <c r="F356" s="3" t="s">
        <v>172</v>
      </c>
      <c r="G356" s="4">
        <f t="shared" si="20"/>
        <v>759.17</v>
      </c>
      <c r="H356" s="3"/>
      <c r="I356" s="3"/>
      <c r="J356" s="3"/>
      <c r="K356" s="3"/>
      <c r="L356" s="3">
        <f t="shared" si="21"/>
        <v>0</v>
      </c>
      <c r="M356" s="3">
        <f t="shared" si="22"/>
        <v>0</v>
      </c>
      <c r="N356" s="3"/>
      <c r="O356" s="3"/>
      <c r="P356" s="3"/>
      <c r="Q356" s="3"/>
      <c r="R356" s="3"/>
    </row>
    <row r="357" spans="1:18" x14ac:dyDescent="0.25">
      <c r="A357" s="2">
        <v>46158</v>
      </c>
      <c r="B357" s="3" t="s">
        <v>48</v>
      </c>
      <c r="C357" s="3" t="s">
        <v>49</v>
      </c>
      <c r="D357" s="11" t="s">
        <v>658</v>
      </c>
      <c r="E357" s="3">
        <v>5714.29</v>
      </c>
      <c r="F357" s="3">
        <f t="shared" si="23"/>
        <v>285.71449999999999</v>
      </c>
      <c r="G357" s="187">
        <f t="shared" si="20"/>
        <v>6000.0045</v>
      </c>
      <c r="H357" s="3"/>
      <c r="I357" s="3"/>
      <c r="J357" s="3"/>
      <c r="K357" s="3"/>
      <c r="L357" s="3">
        <f t="shared" si="21"/>
        <v>0</v>
      </c>
      <c r="M357" s="3">
        <f t="shared" si="22"/>
        <v>0</v>
      </c>
      <c r="N357" s="3"/>
      <c r="O357" s="3"/>
      <c r="P357" s="3"/>
      <c r="Q357" s="3"/>
      <c r="R357" s="3"/>
    </row>
    <row r="358" spans="1:18" x14ac:dyDescent="0.25">
      <c r="A358" s="2">
        <v>46158</v>
      </c>
      <c r="B358" s="3" t="s">
        <v>48</v>
      </c>
      <c r="C358" s="3" t="s">
        <v>93</v>
      </c>
      <c r="D358" s="11" t="s">
        <v>659</v>
      </c>
      <c r="E358" s="3">
        <v>1500</v>
      </c>
      <c r="F358" s="3" t="s">
        <v>172</v>
      </c>
      <c r="G358" s="4">
        <f t="shared" si="20"/>
        <v>1500</v>
      </c>
      <c r="H358" s="3"/>
      <c r="I358" s="3"/>
      <c r="J358" s="3"/>
      <c r="K358" s="3"/>
      <c r="L358" s="3">
        <f t="shared" si="21"/>
        <v>0</v>
      </c>
      <c r="M358" s="3">
        <f t="shared" si="22"/>
        <v>0</v>
      </c>
      <c r="N358" s="3"/>
      <c r="O358" s="3"/>
      <c r="P358" s="3"/>
      <c r="Q358" s="3"/>
      <c r="R358" s="3"/>
    </row>
    <row r="359" spans="1:18" x14ac:dyDescent="0.25">
      <c r="A359" s="2">
        <v>46158</v>
      </c>
      <c r="B359" s="3" t="s">
        <v>48</v>
      </c>
      <c r="C359" s="3" t="s">
        <v>49</v>
      </c>
      <c r="D359" s="11" t="s">
        <v>660</v>
      </c>
      <c r="E359" s="3">
        <v>1335</v>
      </c>
      <c r="F359" s="3">
        <f t="shared" si="23"/>
        <v>66.75</v>
      </c>
      <c r="G359" s="4">
        <f t="shared" si="20"/>
        <v>1401.75</v>
      </c>
      <c r="H359" s="3"/>
      <c r="I359" s="3"/>
      <c r="J359" s="3"/>
      <c r="K359" s="3"/>
      <c r="L359" s="3">
        <f t="shared" si="21"/>
        <v>0</v>
      </c>
      <c r="M359" s="3">
        <f t="shared" si="22"/>
        <v>0</v>
      </c>
      <c r="N359" s="3"/>
      <c r="O359" s="3"/>
      <c r="P359" s="3"/>
      <c r="Q359" s="3"/>
      <c r="R359" s="3"/>
    </row>
    <row r="360" spans="1:18" x14ac:dyDescent="0.25">
      <c r="A360" s="2">
        <v>46158</v>
      </c>
      <c r="B360" s="3" t="s">
        <v>48</v>
      </c>
      <c r="C360" s="3" t="s">
        <v>91</v>
      </c>
      <c r="D360" s="11" t="s">
        <v>661</v>
      </c>
      <c r="E360" s="3">
        <v>520</v>
      </c>
      <c r="F360" s="3" t="s">
        <v>172</v>
      </c>
      <c r="G360" s="4">
        <f t="shared" si="20"/>
        <v>520</v>
      </c>
      <c r="H360" s="3"/>
      <c r="I360" s="3"/>
      <c r="J360" s="3"/>
      <c r="K360" s="3"/>
      <c r="L360" s="3">
        <f t="shared" si="21"/>
        <v>0</v>
      </c>
      <c r="M360" s="3">
        <f t="shared" si="22"/>
        <v>0</v>
      </c>
      <c r="N360" s="3"/>
      <c r="O360" s="3"/>
      <c r="P360" s="3"/>
      <c r="Q360" s="3"/>
      <c r="R360" s="3"/>
    </row>
    <row r="361" spans="1:18" x14ac:dyDescent="0.25">
      <c r="A361" s="2">
        <v>46158</v>
      </c>
      <c r="B361" s="3" t="s">
        <v>48</v>
      </c>
      <c r="C361" s="3" t="s">
        <v>76</v>
      </c>
      <c r="D361" s="11" t="s">
        <v>662</v>
      </c>
      <c r="E361" s="3">
        <v>80</v>
      </c>
      <c r="F361" s="3" t="s">
        <v>172</v>
      </c>
      <c r="G361" s="4">
        <f t="shared" si="20"/>
        <v>80</v>
      </c>
      <c r="H361" s="3"/>
      <c r="I361" s="3"/>
      <c r="J361" s="3"/>
      <c r="K361" s="3"/>
      <c r="L361" s="3">
        <f t="shared" si="21"/>
        <v>0</v>
      </c>
      <c r="M361" s="3">
        <f t="shared" si="22"/>
        <v>0</v>
      </c>
      <c r="N361" s="3"/>
      <c r="O361" s="3"/>
      <c r="P361" s="3"/>
      <c r="Q361" s="3"/>
      <c r="R361" s="3"/>
    </row>
    <row r="362" spans="1:18" x14ac:dyDescent="0.25">
      <c r="A362" s="2">
        <v>46158</v>
      </c>
      <c r="B362" s="3" t="s">
        <v>48</v>
      </c>
      <c r="C362" s="3" t="s">
        <v>92</v>
      </c>
      <c r="D362" s="11" t="s">
        <v>663</v>
      </c>
      <c r="E362" s="3"/>
      <c r="F362" s="3">
        <f t="shared" si="23"/>
        <v>0</v>
      </c>
      <c r="G362" s="4">
        <f t="shared" si="20"/>
        <v>0</v>
      </c>
      <c r="H362" s="3">
        <v>100</v>
      </c>
      <c r="I362" s="3"/>
      <c r="J362" s="3"/>
      <c r="K362" s="3"/>
      <c r="L362" s="3">
        <f t="shared" si="21"/>
        <v>0</v>
      </c>
      <c r="M362" s="3">
        <f t="shared" si="22"/>
        <v>0</v>
      </c>
      <c r="N362" s="3"/>
      <c r="O362" s="3"/>
      <c r="P362" s="3"/>
      <c r="Q362" s="3"/>
      <c r="R362" s="3"/>
    </row>
    <row r="363" spans="1:18" x14ac:dyDescent="0.25">
      <c r="A363" s="2">
        <v>46158</v>
      </c>
      <c r="B363" s="3" t="s">
        <v>48</v>
      </c>
      <c r="C363" s="3" t="s">
        <v>70</v>
      </c>
      <c r="D363" s="11" t="s">
        <v>664</v>
      </c>
      <c r="E363" s="3">
        <v>9</v>
      </c>
      <c r="F363" s="3" t="s">
        <v>172</v>
      </c>
      <c r="G363" s="4">
        <f t="shared" si="20"/>
        <v>9</v>
      </c>
      <c r="H363" s="3"/>
      <c r="I363" s="3"/>
      <c r="J363" s="3"/>
      <c r="K363" s="3"/>
      <c r="L363" s="3">
        <f t="shared" si="21"/>
        <v>0</v>
      </c>
      <c r="M363" s="3">
        <f t="shared" si="22"/>
        <v>0</v>
      </c>
      <c r="N363" s="3"/>
      <c r="O363" s="3"/>
      <c r="P363" s="3"/>
      <c r="Q363" s="3"/>
      <c r="R363" s="3"/>
    </row>
    <row r="364" spans="1:18" x14ac:dyDescent="0.25">
      <c r="A364" s="2">
        <v>46158</v>
      </c>
      <c r="B364" s="3" t="s">
        <v>48</v>
      </c>
      <c r="C364" s="3" t="s">
        <v>66</v>
      </c>
      <c r="D364" s="11" t="s">
        <v>665</v>
      </c>
      <c r="E364" s="3">
        <v>50</v>
      </c>
      <c r="F364" s="3" t="s">
        <v>172</v>
      </c>
      <c r="G364" s="4">
        <f t="shared" si="20"/>
        <v>50</v>
      </c>
      <c r="H364" s="3"/>
      <c r="I364" s="3"/>
      <c r="J364" s="3"/>
      <c r="K364" s="3"/>
      <c r="L364" s="3">
        <f t="shared" si="21"/>
        <v>0</v>
      </c>
      <c r="M364" s="3">
        <f t="shared" si="22"/>
        <v>0</v>
      </c>
      <c r="N364" s="3"/>
      <c r="O364" s="3"/>
      <c r="P364" s="3"/>
      <c r="Q364" s="3"/>
      <c r="R364" s="3"/>
    </row>
    <row r="365" spans="1:18" x14ac:dyDescent="0.25">
      <c r="A365" s="2">
        <v>46158</v>
      </c>
      <c r="B365" s="3" t="s">
        <v>48</v>
      </c>
      <c r="C365" s="3" t="s">
        <v>66</v>
      </c>
      <c r="D365" s="11" t="s">
        <v>666</v>
      </c>
      <c r="E365" s="3">
        <v>58</v>
      </c>
      <c r="F365" s="3" t="s">
        <v>172</v>
      </c>
      <c r="G365" s="4">
        <f t="shared" si="20"/>
        <v>58</v>
      </c>
      <c r="H365" s="3"/>
      <c r="I365" s="3"/>
      <c r="J365" s="3"/>
      <c r="K365" s="3"/>
      <c r="L365" s="3">
        <f t="shared" si="21"/>
        <v>0</v>
      </c>
      <c r="M365" s="3">
        <f t="shared" si="22"/>
        <v>0</v>
      </c>
      <c r="N365" s="3"/>
      <c r="O365" s="3"/>
      <c r="P365" s="3"/>
      <c r="Q365" s="3"/>
      <c r="R365" s="3"/>
    </row>
    <row r="366" spans="1:18" x14ac:dyDescent="0.25">
      <c r="A366" s="2">
        <v>46158</v>
      </c>
      <c r="B366" s="3" t="s">
        <v>48</v>
      </c>
      <c r="C366" s="3" t="s">
        <v>66</v>
      </c>
      <c r="D366" s="11" t="s">
        <v>667</v>
      </c>
      <c r="E366" s="3">
        <v>50</v>
      </c>
      <c r="F366" s="3" t="s">
        <v>172</v>
      </c>
      <c r="G366" s="4">
        <f t="shared" si="20"/>
        <v>50</v>
      </c>
      <c r="H366" s="3"/>
      <c r="I366" s="3"/>
      <c r="J366" s="3"/>
      <c r="K366" s="3"/>
      <c r="L366" s="3">
        <f t="shared" si="21"/>
        <v>0</v>
      </c>
      <c r="M366" s="3">
        <f t="shared" si="22"/>
        <v>0</v>
      </c>
      <c r="N366" s="3"/>
      <c r="O366" s="3"/>
      <c r="P366" s="3"/>
      <c r="Q366" s="3"/>
      <c r="R366" s="3"/>
    </row>
    <row r="367" spans="1:18" x14ac:dyDescent="0.25">
      <c r="A367" s="2">
        <v>46158</v>
      </c>
      <c r="B367" s="3" t="s">
        <v>48</v>
      </c>
      <c r="C367" s="3" t="s">
        <v>92</v>
      </c>
      <c r="D367" s="11" t="s">
        <v>668</v>
      </c>
      <c r="E367" s="3"/>
      <c r="F367" s="3">
        <f t="shared" si="23"/>
        <v>0</v>
      </c>
      <c r="G367" s="4">
        <f t="shared" si="20"/>
        <v>0</v>
      </c>
      <c r="H367" s="3">
        <v>1050</v>
      </c>
      <c r="I367" s="3"/>
      <c r="J367" s="3"/>
      <c r="K367" s="3"/>
      <c r="L367" s="3">
        <f t="shared" si="21"/>
        <v>0</v>
      </c>
      <c r="M367" s="3">
        <f t="shared" si="22"/>
        <v>0</v>
      </c>
      <c r="N367" s="3"/>
      <c r="O367" s="3"/>
      <c r="P367" s="3"/>
      <c r="Q367" s="3"/>
      <c r="R367" s="3"/>
    </row>
    <row r="368" spans="1:18" x14ac:dyDescent="0.25">
      <c r="A368" s="2">
        <v>46158</v>
      </c>
      <c r="B368" s="3" t="s">
        <v>48</v>
      </c>
      <c r="C368" s="3" t="s">
        <v>64</v>
      </c>
      <c r="D368" s="11" t="s">
        <v>669</v>
      </c>
      <c r="E368" s="3">
        <v>100</v>
      </c>
      <c r="F368" s="3" t="s">
        <v>172</v>
      </c>
      <c r="G368" s="4">
        <f t="shared" si="20"/>
        <v>100</v>
      </c>
      <c r="H368" s="3"/>
      <c r="I368" s="3"/>
      <c r="J368" s="3"/>
      <c r="K368" s="3"/>
      <c r="L368" s="3">
        <f t="shared" si="21"/>
        <v>0</v>
      </c>
      <c r="M368" s="3">
        <f t="shared" si="22"/>
        <v>0</v>
      </c>
      <c r="N368" s="3"/>
      <c r="O368" s="3"/>
      <c r="P368" s="3"/>
      <c r="Q368" s="3"/>
      <c r="R368" s="3"/>
    </row>
    <row r="369" spans="1:18" x14ac:dyDescent="0.25">
      <c r="A369" s="2">
        <v>46158</v>
      </c>
      <c r="B369" s="3" t="s">
        <v>48</v>
      </c>
      <c r="C369" s="3" t="s">
        <v>58</v>
      </c>
      <c r="D369" s="11" t="s">
        <v>670</v>
      </c>
      <c r="E369" s="3">
        <v>25</v>
      </c>
      <c r="F369" s="3" t="s">
        <v>172</v>
      </c>
      <c r="G369" s="4">
        <f t="shared" si="20"/>
        <v>25</v>
      </c>
      <c r="H369" s="3"/>
      <c r="I369" s="3"/>
      <c r="J369" s="3"/>
      <c r="K369" s="3"/>
      <c r="L369" s="3">
        <f t="shared" si="21"/>
        <v>0</v>
      </c>
      <c r="M369" s="3">
        <f t="shared" si="22"/>
        <v>0</v>
      </c>
      <c r="N369" s="3"/>
      <c r="O369" s="3"/>
      <c r="P369" s="3"/>
      <c r="Q369" s="3"/>
      <c r="R369" s="3"/>
    </row>
    <row r="370" spans="1:18" x14ac:dyDescent="0.25">
      <c r="A370" s="2">
        <v>46158</v>
      </c>
      <c r="B370" s="3" t="s">
        <v>48</v>
      </c>
      <c r="C370" s="3" t="s">
        <v>92</v>
      </c>
      <c r="D370" s="11" t="s">
        <v>671</v>
      </c>
      <c r="E370" s="3"/>
      <c r="F370" s="3">
        <f t="shared" si="23"/>
        <v>0</v>
      </c>
      <c r="G370" s="4">
        <f t="shared" si="20"/>
        <v>0</v>
      </c>
      <c r="H370" s="3">
        <v>5440</v>
      </c>
      <c r="I370" s="3"/>
      <c r="J370" s="3"/>
      <c r="K370" s="3"/>
      <c r="L370" s="3">
        <f t="shared" si="21"/>
        <v>0</v>
      </c>
      <c r="M370" s="3">
        <f t="shared" si="22"/>
        <v>0</v>
      </c>
      <c r="N370" s="3"/>
      <c r="O370" s="3"/>
      <c r="P370" s="3"/>
      <c r="Q370" s="3"/>
      <c r="R370" s="3"/>
    </row>
    <row r="371" spans="1:18" x14ac:dyDescent="0.25">
      <c r="A371" s="2">
        <v>46160</v>
      </c>
      <c r="B371" s="3" t="s">
        <v>48</v>
      </c>
      <c r="C371" s="3" t="s">
        <v>92</v>
      </c>
      <c r="D371" s="11" t="s">
        <v>672</v>
      </c>
      <c r="E371" s="3"/>
      <c r="F371" s="3">
        <f t="shared" si="23"/>
        <v>0</v>
      </c>
      <c r="G371" s="4">
        <f t="shared" si="20"/>
        <v>0</v>
      </c>
      <c r="H371" s="3">
        <v>50</v>
      </c>
      <c r="I371" s="3"/>
      <c r="J371" s="3"/>
      <c r="K371" s="3"/>
      <c r="L371" s="3">
        <f t="shared" si="21"/>
        <v>0</v>
      </c>
      <c r="M371" s="3">
        <f t="shared" si="22"/>
        <v>0</v>
      </c>
      <c r="N371" s="3"/>
      <c r="O371" s="3"/>
      <c r="P371" s="3"/>
      <c r="Q371" s="3"/>
      <c r="R371" s="3"/>
    </row>
    <row r="372" spans="1:18" x14ac:dyDescent="0.25">
      <c r="A372" s="2">
        <v>46160</v>
      </c>
      <c r="B372" s="3" t="s">
        <v>48</v>
      </c>
      <c r="C372" s="3" t="s">
        <v>92</v>
      </c>
      <c r="D372" s="11" t="s">
        <v>673</v>
      </c>
      <c r="E372" s="3"/>
      <c r="F372" s="3">
        <f t="shared" si="23"/>
        <v>0</v>
      </c>
      <c r="G372" s="4">
        <f t="shared" si="20"/>
        <v>0</v>
      </c>
      <c r="H372" s="3">
        <v>400</v>
      </c>
      <c r="I372" s="3"/>
      <c r="J372" s="3"/>
      <c r="K372" s="3"/>
      <c r="L372" s="3">
        <f t="shared" si="21"/>
        <v>0</v>
      </c>
      <c r="M372" s="3">
        <f t="shared" si="22"/>
        <v>0</v>
      </c>
      <c r="N372" s="3"/>
      <c r="O372" s="3"/>
      <c r="P372" s="3"/>
      <c r="Q372" s="3"/>
      <c r="R372" s="3"/>
    </row>
    <row r="373" spans="1:18" x14ac:dyDescent="0.25">
      <c r="A373" s="2">
        <v>46160</v>
      </c>
      <c r="B373" s="3" t="s">
        <v>48</v>
      </c>
      <c r="C373" s="3" t="s">
        <v>73</v>
      </c>
      <c r="D373" s="11" t="s">
        <v>674</v>
      </c>
      <c r="E373" s="3">
        <v>21</v>
      </c>
      <c r="F373" s="3" t="s">
        <v>172</v>
      </c>
      <c r="G373" s="4">
        <f t="shared" si="20"/>
        <v>21</v>
      </c>
      <c r="H373" s="3"/>
      <c r="I373" s="3"/>
      <c r="J373" s="3"/>
      <c r="K373" s="3"/>
      <c r="L373" s="3">
        <f t="shared" si="21"/>
        <v>0</v>
      </c>
      <c r="M373" s="3">
        <f t="shared" si="22"/>
        <v>0</v>
      </c>
      <c r="N373" s="3"/>
      <c r="O373" s="3"/>
      <c r="P373" s="3"/>
      <c r="Q373" s="3"/>
      <c r="R373" s="3"/>
    </row>
    <row r="374" spans="1:18" x14ac:dyDescent="0.25">
      <c r="A374" s="2">
        <v>46160</v>
      </c>
      <c r="B374" s="3" t="s">
        <v>48</v>
      </c>
      <c r="C374" s="3" t="s">
        <v>92</v>
      </c>
      <c r="D374" s="11" t="s">
        <v>675</v>
      </c>
      <c r="E374" s="3"/>
      <c r="F374" s="3">
        <f t="shared" si="23"/>
        <v>0</v>
      </c>
      <c r="G374" s="4">
        <f t="shared" si="20"/>
        <v>0</v>
      </c>
      <c r="H374" s="3">
        <v>4200</v>
      </c>
      <c r="I374" s="3"/>
      <c r="J374" s="3"/>
      <c r="K374" s="3"/>
      <c r="L374" s="3">
        <f t="shared" si="21"/>
        <v>0</v>
      </c>
      <c r="M374" s="3">
        <f t="shared" si="22"/>
        <v>0</v>
      </c>
      <c r="N374" s="3"/>
      <c r="O374" s="3"/>
      <c r="P374" s="3"/>
      <c r="Q374" s="3"/>
      <c r="R374" s="3"/>
    </row>
    <row r="375" spans="1:18" x14ac:dyDescent="0.25">
      <c r="A375" s="2">
        <v>46160</v>
      </c>
      <c r="B375" s="3" t="s">
        <v>48</v>
      </c>
      <c r="C375" s="3" t="s">
        <v>92</v>
      </c>
      <c r="D375" s="11" t="s">
        <v>676</v>
      </c>
      <c r="E375" s="3"/>
      <c r="F375" s="3">
        <f t="shared" si="23"/>
        <v>0</v>
      </c>
      <c r="G375" s="4">
        <f t="shared" ref="G375:G438" si="24">IF(F375="NO TAX",E375,E375+F375)</f>
        <v>0</v>
      </c>
      <c r="H375" s="3">
        <v>2000</v>
      </c>
      <c r="I375" s="3"/>
      <c r="J375" s="3"/>
      <c r="K375" s="3"/>
      <c r="L375" s="3">
        <f t="shared" ref="L375:L438" si="25">K375*5%</f>
        <v>0</v>
      </c>
      <c r="M375" s="3">
        <f t="shared" ref="M375:M438" si="26">IF(L375="NO TAX",K375,K375+L375)</f>
        <v>0</v>
      </c>
      <c r="N375" s="3"/>
      <c r="O375" s="3"/>
      <c r="P375" s="3"/>
      <c r="Q375" s="3"/>
      <c r="R375" s="3"/>
    </row>
    <row r="376" spans="1:18" x14ac:dyDescent="0.25">
      <c r="A376" s="2">
        <v>46160</v>
      </c>
      <c r="B376" s="3" t="s">
        <v>48</v>
      </c>
      <c r="C376" s="3" t="s">
        <v>73</v>
      </c>
      <c r="D376" s="11" t="s">
        <v>677</v>
      </c>
      <c r="E376" s="3">
        <v>58</v>
      </c>
      <c r="F376" s="3" t="s">
        <v>172</v>
      </c>
      <c r="G376" s="4">
        <f t="shared" si="24"/>
        <v>58</v>
      </c>
      <c r="H376" s="3"/>
      <c r="I376" s="3"/>
      <c r="J376" s="3"/>
      <c r="K376" s="3"/>
      <c r="L376" s="3">
        <f t="shared" si="25"/>
        <v>0</v>
      </c>
      <c r="M376" s="3">
        <f t="shared" si="26"/>
        <v>0</v>
      </c>
      <c r="N376" s="3"/>
      <c r="O376" s="3"/>
      <c r="P376" s="3"/>
      <c r="Q376" s="3"/>
      <c r="R376" s="3"/>
    </row>
    <row r="377" spans="1:18" x14ac:dyDescent="0.25">
      <c r="A377" s="2">
        <v>46160</v>
      </c>
      <c r="B377" s="3" t="s">
        <v>48</v>
      </c>
      <c r="C377" s="3" t="s">
        <v>92</v>
      </c>
      <c r="D377" s="11" t="s">
        <v>678</v>
      </c>
      <c r="E377" s="3"/>
      <c r="F377" s="3">
        <f t="shared" si="23"/>
        <v>0</v>
      </c>
      <c r="G377" s="4">
        <f t="shared" si="24"/>
        <v>0</v>
      </c>
      <c r="H377" s="3">
        <v>100</v>
      </c>
      <c r="I377" s="3"/>
      <c r="J377" s="3"/>
      <c r="K377" s="3"/>
      <c r="L377" s="3">
        <f t="shared" si="25"/>
        <v>0</v>
      </c>
      <c r="M377" s="3">
        <f t="shared" si="26"/>
        <v>0</v>
      </c>
      <c r="N377" s="3"/>
      <c r="O377" s="3"/>
      <c r="P377" s="3"/>
      <c r="Q377" s="3"/>
      <c r="R377" s="3"/>
    </row>
    <row r="378" spans="1:18" x14ac:dyDescent="0.25">
      <c r="A378" s="2">
        <v>46160</v>
      </c>
      <c r="B378" s="3" t="s">
        <v>48</v>
      </c>
      <c r="C378" s="3" t="s">
        <v>56</v>
      </c>
      <c r="D378" s="11" t="s">
        <v>679</v>
      </c>
      <c r="E378" s="3">
        <v>1800</v>
      </c>
      <c r="F378" s="3" t="s">
        <v>172</v>
      </c>
      <c r="G378" s="4">
        <f t="shared" si="24"/>
        <v>1800</v>
      </c>
      <c r="H378" s="3"/>
      <c r="I378" s="3"/>
      <c r="J378" s="3"/>
      <c r="K378" s="3"/>
      <c r="L378" s="3">
        <f t="shared" si="25"/>
        <v>0</v>
      </c>
      <c r="M378" s="3">
        <f t="shared" si="26"/>
        <v>0</v>
      </c>
      <c r="N378" s="3"/>
      <c r="O378" s="3"/>
      <c r="P378" s="3"/>
      <c r="Q378" s="3"/>
      <c r="R378" s="3"/>
    </row>
    <row r="379" spans="1:18" x14ac:dyDescent="0.25">
      <c r="A379" s="2">
        <v>46161</v>
      </c>
      <c r="B379" s="3" t="s">
        <v>48</v>
      </c>
      <c r="C379" s="3" t="s">
        <v>49</v>
      </c>
      <c r="D379" s="11" t="s">
        <v>680</v>
      </c>
      <c r="E379" s="3">
        <v>3950.1</v>
      </c>
      <c r="F379" s="3">
        <f t="shared" ref="F379:F438" si="27">E379*5%</f>
        <v>197.505</v>
      </c>
      <c r="G379" s="187">
        <f t="shared" si="24"/>
        <v>4147.6049999999996</v>
      </c>
      <c r="H379" s="3"/>
      <c r="I379" s="3"/>
      <c r="J379" s="3"/>
      <c r="K379" s="3"/>
      <c r="L379" s="3">
        <f t="shared" si="25"/>
        <v>0</v>
      </c>
      <c r="M379" s="3">
        <f t="shared" si="26"/>
        <v>0</v>
      </c>
      <c r="N379" s="3"/>
      <c r="O379" s="3"/>
      <c r="P379" s="3"/>
      <c r="Q379" s="3"/>
      <c r="R379" s="3"/>
    </row>
    <row r="380" spans="1:18" x14ac:dyDescent="0.25">
      <c r="A380" s="2">
        <v>46161</v>
      </c>
      <c r="B380" s="3" t="s">
        <v>48</v>
      </c>
      <c r="C380" s="3" t="s">
        <v>92</v>
      </c>
      <c r="D380" s="11" t="s">
        <v>681</v>
      </c>
      <c r="E380" s="3"/>
      <c r="F380" s="3">
        <f t="shared" si="27"/>
        <v>0</v>
      </c>
      <c r="G380" s="4">
        <f t="shared" si="24"/>
        <v>0</v>
      </c>
      <c r="H380" s="3">
        <v>100</v>
      </c>
      <c r="I380" s="3"/>
      <c r="J380" s="3"/>
      <c r="K380" s="3"/>
      <c r="L380" s="3">
        <f t="shared" si="25"/>
        <v>0</v>
      </c>
      <c r="M380" s="3">
        <f t="shared" si="26"/>
        <v>0</v>
      </c>
      <c r="N380" s="3"/>
      <c r="O380" s="3"/>
      <c r="P380" s="3"/>
      <c r="Q380" s="3"/>
      <c r="R380" s="3"/>
    </row>
    <row r="381" spans="1:18" x14ac:dyDescent="0.25">
      <c r="A381" s="2">
        <v>46161</v>
      </c>
      <c r="B381" s="3" t="s">
        <v>48</v>
      </c>
      <c r="C381" s="3" t="s">
        <v>92</v>
      </c>
      <c r="D381" s="11" t="s">
        <v>682</v>
      </c>
      <c r="E381" s="3"/>
      <c r="F381" s="3">
        <f t="shared" si="27"/>
        <v>0</v>
      </c>
      <c r="G381" s="4">
        <f t="shared" si="24"/>
        <v>0</v>
      </c>
      <c r="H381" s="3">
        <v>100</v>
      </c>
      <c r="I381" s="3"/>
      <c r="J381" s="3"/>
      <c r="K381" s="3"/>
      <c r="L381" s="3">
        <f t="shared" si="25"/>
        <v>0</v>
      </c>
      <c r="M381" s="3">
        <f t="shared" si="26"/>
        <v>0</v>
      </c>
      <c r="N381" s="3"/>
      <c r="O381" s="3"/>
      <c r="P381" s="3"/>
      <c r="Q381" s="3"/>
      <c r="R381" s="3"/>
    </row>
    <row r="382" spans="1:18" x14ac:dyDescent="0.25">
      <c r="A382" s="2">
        <v>46161</v>
      </c>
      <c r="B382" s="2" t="s">
        <v>287</v>
      </c>
      <c r="C382" s="3" t="s">
        <v>75</v>
      </c>
      <c r="D382" s="11" t="s">
        <v>683</v>
      </c>
      <c r="E382" s="3">
        <v>1630.18</v>
      </c>
      <c r="F382" s="3" t="s">
        <v>172</v>
      </c>
      <c r="G382" s="4">
        <f t="shared" si="24"/>
        <v>1630.18</v>
      </c>
      <c r="H382" s="3"/>
      <c r="I382" s="3"/>
      <c r="J382" s="3"/>
      <c r="K382" s="3"/>
      <c r="L382" s="3">
        <f t="shared" si="25"/>
        <v>0</v>
      </c>
      <c r="M382" s="3">
        <f t="shared" si="26"/>
        <v>0</v>
      </c>
      <c r="N382" s="3"/>
      <c r="O382" s="3"/>
      <c r="P382" s="3"/>
      <c r="Q382" s="3"/>
      <c r="R382" s="3"/>
    </row>
    <row r="383" spans="1:18" x14ac:dyDescent="0.25">
      <c r="A383" s="2">
        <v>46161</v>
      </c>
      <c r="B383" s="2" t="s">
        <v>287</v>
      </c>
      <c r="C383" s="3" t="s">
        <v>81</v>
      </c>
      <c r="D383" s="11" t="s">
        <v>684</v>
      </c>
      <c r="E383" s="3">
        <v>500</v>
      </c>
      <c r="F383" s="3" t="s">
        <v>172</v>
      </c>
      <c r="G383" s="4">
        <f t="shared" si="24"/>
        <v>500</v>
      </c>
      <c r="H383" s="3"/>
      <c r="I383" s="3"/>
      <c r="J383" s="3"/>
      <c r="K383" s="3"/>
      <c r="L383" s="3">
        <f t="shared" si="25"/>
        <v>0</v>
      </c>
      <c r="M383" s="3">
        <f t="shared" si="26"/>
        <v>0</v>
      </c>
      <c r="N383" s="3"/>
      <c r="O383" s="3"/>
      <c r="P383" s="3"/>
      <c r="Q383" s="3"/>
      <c r="R383" s="3"/>
    </row>
    <row r="384" spans="1:18" x14ac:dyDescent="0.25">
      <c r="A384" s="2">
        <v>46162</v>
      </c>
      <c r="B384" s="3" t="s">
        <v>48</v>
      </c>
      <c r="C384" s="3" t="s">
        <v>73</v>
      </c>
      <c r="D384" s="11" t="s">
        <v>685</v>
      </c>
      <c r="E384" s="3">
        <v>441.5</v>
      </c>
      <c r="F384" s="3" t="s">
        <v>172</v>
      </c>
      <c r="G384" s="4">
        <f t="shared" si="24"/>
        <v>441.5</v>
      </c>
      <c r="H384" s="3"/>
      <c r="I384" s="3"/>
      <c r="J384" s="3"/>
      <c r="K384" s="3"/>
      <c r="L384" s="3">
        <f t="shared" si="25"/>
        <v>0</v>
      </c>
      <c r="M384" s="3">
        <f t="shared" si="26"/>
        <v>0</v>
      </c>
      <c r="N384" s="3"/>
      <c r="O384" s="3"/>
      <c r="P384" s="3"/>
      <c r="Q384" s="3"/>
      <c r="R384" s="3"/>
    </row>
    <row r="385" spans="1:18" x14ac:dyDescent="0.25">
      <c r="A385" s="2">
        <v>46162</v>
      </c>
      <c r="B385" s="3" t="s">
        <v>48</v>
      </c>
      <c r="C385" s="3" t="s">
        <v>99</v>
      </c>
      <c r="D385" s="11" t="s">
        <v>686</v>
      </c>
      <c r="E385" s="3">
        <v>40221.96</v>
      </c>
      <c r="F385" s="3" t="s">
        <v>172</v>
      </c>
      <c r="G385" s="4">
        <f t="shared" si="24"/>
        <v>40221.96</v>
      </c>
      <c r="H385" s="3"/>
      <c r="I385" s="3"/>
      <c r="J385" s="3"/>
      <c r="K385" s="3"/>
      <c r="L385" s="3">
        <f t="shared" si="25"/>
        <v>0</v>
      </c>
      <c r="M385" s="3">
        <f t="shared" si="26"/>
        <v>0</v>
      </c>
      <c r="N385" s="3"/>
      <c r="O385" s="3"/>
      <c r="P385" s="3"/>
      <c r="Q385" s="3"/>
      <c r="R385" s="3"/>
    </row>
    <row r="386" spans="1:18" x14ac:dyDescent="0.25">
      <c r="A386" s="2">
        <v>46162</v>
      </c>
      <c r="B386" s="3" t="s">
        <v>48</v>
      </c>
      <c r="C386" s="3" t="s">
        <v>49</v>
      </c>
      <c r="D386" s="11" t="s">
        <v>687</v>
      </c>
      <c r="E386" s="3">
        <v>200</v>
      </c>
      <c r="F386" s="3">
        <f t="shared" si="27"/>
        <v>10</v>
      </c>
      <c r="G386" s="4">
        <f t="shared" si="24"/>
        <v>210</v>
      </c>
      <c r="H386" s="3"/>
      <c r="I386" s="3"/>
      <c r="J386" s="3"/>
      <c r="K386" s="3"/>
      <c r="L386" s="3">
        <f t="shared" si="25"/>
        <v>0</v>
      </c>
      <c r="M386" s="3">
        <f t="shared" si="26"/>
        <v>0</v>
      </c>
      <c r="N386" s="3"/>
      <c r="O386" s="3"/>
      <c r="P386" s="3"/>
      <c r="Q386" s="3"/>
      <c r="R386" s="3"/>
    </row>
    <row r="387" spans="1:18" x14ac:dyDescent="0.25">
      <c r="A387" s="2">
        <v>46162</v>
      </c>
      <c r="B387" s="3" t="s">
        <v>48</v>
      </c>
      <c r="C387" s="3" t="s">
        <v>64</v>
      </c>
      <c r="D387" s="11" t="s">
        <v>688</v>
      </c>
      <c r="E387" s="3">
        <v>165</v>
      </c>
      <c r="F387" s="3" t="s">
        <v>172</v>
      </c>
      <c r="G387" s="4">
        <f t="shared" si="24"/>
        <v>165</v>
      </c>
      <c r="H387" s="3"/>
      <c r="I387" s="3"/>
      <c r="J387" s="3"/>
      <c r="K387" s="3"/>
      <c r="L387" s="3">
        <f t="shared" si="25"/>
        <v>0</v>
      </c>
      <c r="M387" s="3">
        <f t="shared" si="26"/>
        <v>0</v>
      </c>
      <c r="N387" s="3"/>
      <c r="O387" s="3"/>
      <c r="P387" s="3"/>
      <c r="Q387" s="3"/>
      <c r="R387" s="3"/>
    </row>
    <row r="388" spans="1:18" x14ac:dyDescent="0.25">
      <c r="A388" s="2">
        <v>46162</v>
      </c>
      <c r="B388" s="2" t="s">
        <v>287</v>
      </c>
      <c r="C388" s="3" t="s">
        <v>75</v>
      </c>
      <c r="D388" s="11" t="s">
        <v>689</v>
      </c>
      <c r="E388" s="3">
        <v>3226.56</v>
      </c>
      <c r="F388" s="3" t="s">
        <v>172</v>
      </c>
      <c r="G388" s="4">
        <f t="shared" si="24"/>
        <v>3226.56</v>
      </c>
      <c r="H388" s="3"/>
      <c r="I388" s="4"/>
      <c r="J388" s="3"/>
      <c r="K388" s="3"/>
      <c r="L388" s="3">
        <f t="shared" si="25"/>
        <v>0</v>
      </c>
      <c r="M388" s="3">
        <f t="shared" si="26"/>
        <v>0</v>
      </c>
      <c r="N388" s="3"/>
      <c r="O388" s="3"/>
      <c r="P388" s="3"/>
      <c r="Q388" s="3"/>
      <c r="R388" s="3"/>
    </row>
    <row r="389" spans="1:18" x14ac:dyDescent="0.25">
      <c r="A389" s="2">
        <v>46162</v>
      </c>
      <c r="B389" s="3" t="s">
        <v>48</v>
      </c>
      <c r="C389" s="3" t="s">
        <v>82</v>
      </c>
      <c r="D389" s="11" t="s">
        <v>690</v>
      </c>
      <c r="E389" s="3">
        <v>24.26</v>
      </c>
      <c r="F389" s="3" t="s">
        <v>172</v>
      </c>
      <c r="G389" s="218">
        <f t="shared" si="24"/>
        <v>24.26</v>
      </c>
      <c r="H389" s="3"/>
      <c r="I389" s="3"/>
      <c r="J389" s="3"/>
      <c r="K389" s="3"/>
      <c r="L389" s="3">
        <f t="shared" si="25"/>
        <v>0</v>
      </c>
      <c r="M389" s="3">
        <f t="shared" si="26"/>
        <v>0</v>
      </c>
      <c r="N389" s="3"/>
      <c r="O389" s="3"/>
      <c r="P389" s="3"/>
      <c r="Q389" s="3"/>
      <c r="R389" s="3"/>
    </row>
    <row r="390" spans="1:18" x14ac:dyDescent="0.25">
      <c r="A390" s="2">
        <v>46162</v>
      </c>
      <c r="B390" s="2" t="s">
        <v>287</v>
      </c>
      <c r="C390" s="3" t="s">
        <v>92</v>
      </c>
      <c r="D390" s="11" t="s">
        <v>691</v>
      </c>
      <c r="E390" s="3"/>
      <c r="F390" s="3">
        <f t="shared" si="27"/>
        <v>0</v>
      </c>
      <c r="G390" s="4">
        <f t="shared" si="24"/>
        <v>0</v>
      </c>
      <c r="H390" s="3">
        <v>2151.04</v>
      </c>
      <c r="I390" s="3"/>
      <c r="J390" s="3"/>
      <c r="K390" s="3"/>
      <c r="L390" s="3">
        <f t="shared" si="25"/>
        <v>0</v>
      </c>
      <c r="M390" s="3">
        <f t="shared" si="26"/>
        <v>0</v>
      </c>
      <c r="N390" s="3"/>
      <c r="O390" s="3"/>
      <c r="P390" s="3"/>
      <c r="Q390" s="3"/>
      <c r="R390" s="3"/>
    </row>
    <row r="391" spans="1:18" x14ac:dyDescent="0.25">
      <c r="A391" s="2">
        <v>46163</v>
      </c>
      <c r="B391" s="3" t="s">
        <v>48</v>
      </c>
      <c r="C391" s="3" t="s">
        <v>49</v>
      </c>
      <c r="D391" s="11" t="s">
        <v>692</v>
      </c>
      <c r="E391" s="3">
        <v>76.2</v>
      </c>
      <c r="F391" s="3">
        <f t="shared" si="27"/>
        <v>3.8100000000000005</v>
      </c>
      <c r="G391" s="187">
        <f t="shared" si="24"/>
        <v>80.010000000000005</v>
      </c>
      <c r="H391" s="3"/>
      <c r="I391" s="3"/>
      <c r="J391" s="3"/>
      <c r="K391" s="3"/>
      <c r="L391" s="3">
        <f t="shared" si="25"/>
        <v>0</v>
      </c>
      <c r="M391" s="3">
        <f t="shared" si="26"/>
        <v>0</v>
      </c>
      <c r="N391" s="3"/>
      <c r="O391" s="3"/>
      <c r="P391" s="3"/>
      <c r="Q391" s="3"/>
      <c r="R391" s="3"/>
    </row>
    <row r="392" spans="1:18" x14ac:dyDescent="0.25">
      <c r="A392" s="2">
        <v>46163</v>
      </c>
      <c r="B392" s="3" t="s">
        <v>48</v>
      </c>
      <c r="C392" s="3" t="s">
        <v>49</v>
      </c>
      <c r="D392" s="11" t="s">
        <v>693</v>
      </c>
      <c r="E392" s="3">
        <v>238.1</v>
      </c>
      <c r="F392" s="3">
        <f t="shared" si="27"/>
        <v>11.905000000000001</v>
      </c>
      <c r="G392" s="187">
        <f t="shared" si="24"/>
        <v>250.005</v>
      </c>
      <c r="H392" s="3"/>
      <c r="I392" s="3"/>
      <c r="J392" s="3"/>
      <c r="K392" s="3"/>
      <c r="L392" s="3">
        <f t="shared" si="25"/>
        <v>0</v>
      </c>
      <c r="M392" s="3">
        <f t="shared" si="26"/>
        <v>0</v>
      </c>
      <c r="N392" s="3"/>
      <c r="O392" s="3"/>
      <c r="P392" s="3"/>
      <c r="Q392" s="3"/>
      <c r="R392" s="3"/>
    </row>
    <row r="393" spans="1:18" x14ac:dyDescent="0.25">
      <c r="A393" s="2">
        <v>46163</v>
      </c>
      <c r="B393" s="3" t="s">
        <v>48</v>
      </c>
      <c r="C393" s="3" t="s">
        <v>76</v>
      </c>
      <c r="D393" s="11" t="s">
        <v>694</v>
      </c>
      <c r="E393" s="3">
        <v>80</v>
      </c>
      <c r="F393" s="3" t="s">
        <v>172</v>
      </c>
      <c r="G393" s="4">
        <f t="shared" si="24"/>
        <v>80</v>
      </c>
      <c r="H393" s="3"/>
      <c r="I393" s="3"/>
      <c r="J393" s="3"/>
      <c r="K393" s="3"/>
      <c r="L393" s="3">
        <f t="shared" si="25"/>
        <v>0</v>
      </c>
      <c r="M393" s="3">
        <f t="shared" si="26"/>
        <v>0</v>
      </c>
      <c r="N393" s="3"/>
      <c r="O393" s="3"/>
      <c r="P393" s="3"/>
      <c r="Q393" s="3"/>
      <c r="R393" s="3"/>
    </row>
    <row r="394" spans="1:18" x14ac:dyDescent="0.25">
      <c r="A394" s="2">
        <v>46163</v>
      </c>
      <c r="B394" s="3" t="s">
        <v>48</v>
      </c>
      <c r="C394" s="3" t="s">
        <v>92</v>
      </c>
      <c r="D394" s="11" t="s">
        <v>695</v>
      </c>
      <c r="E394" s="3"/>
      <c r="F394" s="3">
        <f t="shared" si="27"/>
        <v>0</v>
      </c>
      <c r="G394" s="4">
        <f t="shared" si="24"/>
        <v>0</v>
      </c>
      <c r="H394" s="3">
        <v>200</v>
      </c>
      <c r="I394" s="3"/>
      <c r="J394" s="3"/>
      <c r="K394" s="3"/>
      <c r="L394" s="3">
        <f t="shared" si="25"/>
        <v>0</v>
      </c>
      <c r="M394" s="3">
        <f t="shared" si="26"/>
        <v>0</v>
      </c>
      <c r="N394" s="3"/>
      <c r="O394" s="3"/>
      <c r="P394" s="3"/>
      <c r="Q394" s="3"/>
      <c r="R394" s="3"/>
    </row>
    <row r="395" spans="1:18" x14ac:dyDescent="0.25">
      <c r="A395" s="2">
        <v>46163</v>
      </c>
      <c r="B395" s="3" t="s">
        <v>48</v>
      </c>
      <c r="C395" s="3" t="s">
        <v>92</v>
      </c>
      <c r="D395" s="11" t="s">
        <v>696</v>
      </c>
      <c r="E395" s="3"/>
      <c r="F395" s="3">
        <f t="shared" si="27"/>
        <v>0</v>
      </c>
      <c r="G395" s="4">
        <f t="shared" si="24"/>
        <v>0</v>
      </c>
      <c r="H395" s="3">
        <v>1300</v>
      </c>
      <c r="I395" s="3"/>
      <c r="J395" s="3"/>
      <c r="K395" s="3"/>
      <c r="L395" s="3">
        <f t="shared" si="25"/>
        <v>0</v>
      </c>
      <c r="M395" s="3">
        <f t="shared" si="26"/>
        <v>0</v>
      </c>
      <c r="N395" s="3"/>
      <c r="O395" s="3"/>
      <c r="P395" s="3"/>
      <c r="Q395" s="3"/>
      <c r="R395" s="3"/>
    </row>
    <row r="396" spans="1:18" x14ac:dyDescent="0.25">
      <c r="A396" s="2">
        <v>46163</v>
      </c>
      <c r="B396" s="3" t="s">
        <v>48</v>
      </c>
      <c r="C396" s="3" t="s">
        <v>73</v>
      </c>
      <c r="D396" s="11" t="s">
        <v>697</v>
      </c>
      <c r="E396" s="3">
        <v>58</v>
      </c>
      <c r="F396" s="3" t="s">
        <v>172</v>
      </c>
      <c r="G396" s="4">
        <f t="shared" si="24"/>
        <v>58</v>
      </c>
      <c r="H396" s="3"/>
      <c r="I396" s="3"/>
      <c r="J396" s="3"/>
      <c r="K396" s="3"/>
      <c r="L396" s="3">
        <f t="shared" si="25"/>
        <v>0</v>
      </c>
      <c r="M396" s="3">
        <f t="shared" si="26"/>
        <v>0</v>
      </c>
      <c r="N396" s="3"/>
      <c r="O396" s="3"/>
      <c r="P396" s="3"/>
      <c r="Q396" s="3"/>
      <c r="R396" s="3"/>
    </row>
    <row r="397" spans="1:18" x14ac:dyDescent="0.25">
      <c r="A397" s="2">
        <v>46163</v>
      </c>
      <c r="B397" s="3" t="s">
        <v>48</v>
      </c>
      <c r="C397" s="3" t="s">
        <v>92</v>
      </c>
      <c r="D397" s="11" t="s">
        <v>698</v>
      </c>
      <c r="E397" s="3"/>
      <c r="F397" s="3">
        <f t="shared" si="27"/>
        <v>0</v>
      </c>
      <c r="G397" s="4">
        <f t="shared" si="24"/>
        <v>0</v>
      </c>
      <c r="H397" s="3">
        <v>500</v>
      </c>
      <c r="I397" s="3"/>
      <c r="J397" s="3"/>
      <c r="K397" s="3"/>
      <c r="L397" s="3">
        <f t="shared" si="25"/>
        <v>0</v>
      </c>
      <c r="M397" s="3">
        <f t="shared" si="26"/>
        <v>0</v>
      </c>
      <c r="N397" s="3"/>
      <c r="O397" s="3"/>
      <c r="P397" s="3"/>
      <c r="Q397" s="3"/>
      <c r="R397" s="3"/>
    </row>
    <row r="398" spans="1:18" x14ac:dyDescent="0.25">
      <c r="A398" s="2">
        <v>46163</v>
      </c>
      <c r="B398" s="3" t="s">
        <v>48</v>
      </c>
      <c r="C398" s="3" t="s">
        <v>70</v>
      </c>
      <c r="D398" s="11" t="s">
        <v>699</v>
      </c>
      <c r="E398" s="3">
        <v>10</v>
      </c>
      <c r="F398" s="3" t="s">
        <v>172</v>
      </c>
      <c r="G398" s="4">
        <f t="shared" si="24"/>
        <v>10</v>
      </c>
      <c r="H398" s="3"/>
      <c r="I398" s="3"/>
      <c r="J398" s="3"/>
      <c r="K398" s="3"/>
      <c r="L398" s="3">
        <f t="shared" si="25"/>
        <v>0</v>
      </c>
      <c r="M398" s="3">
        <f t="shared" si="26"/>
        <v>0</v>
      </c>
      <c r="N398" s="3"/>
      <c r="O398" s="3"/>
      <c r="P398" s="3"/>
      <c r="Q398" s="3"/>
      <c r="R398" s="3"/>
    </row>
    <row r="399" spans="1:18" x14ac:dyDescent="0.25">
      <c r="A399" s="2">
        <v>46163</v>
      </c>
      <c r="B399" s="2" t="s">
        <v>287</v>
      </c>
      <c r="C399" s="3" t="s">
        <v>75</v>
      </c>
      <c r="D399" s="11" t="s">
        <v>700</v>
      </c>
      <c r="E399" s="3">
        <v>1072.75</v>
      </c>
      <c r="F399" s="3" t="s">
        <v>172</v>
      </c>
      <c r="G399" s="4">
        <f t="shared" si="24"/>
        <v>1072.75</v>
      </c>
      <c r="H399" s="3"/>
      <c r="I399" s="3"/>
      <c r="J399" s="3"/>
      <c r="K399" s="3"/>
      <c r="L399" s="3">
        <f t="shared" si="25"/>
        <v>0</v>
      </c>
      <c r="M399" s="3">
        <f t="shared" si="26"/>
        <v>0</v>
      </c>
      <c r="N399" s="3"/>
      <c r="O399" s="3"/>
      <c r="P399" s="3"/>
      <c r="Q399" s="3"/>
      <c r="R399" s="3"/>
    </row>
    <row r="400" spans="1:18" x14ac:dyDescent="0.25">
      <c r="A400" s="2">
        <v>46164</v>
      </c>
      <c r="B400" s="3" t="s">
        <v>48</v>
      </c>
      <c r="C400" s="3" t="s">
        <v>100</v>
      </c>
      <c r="D400" s="11" t="s">
        <v>701</v>
      </c>
      <c r="E400" s="3">
        <v>7875</v>
      </c>
      <c r="F400" s="3" t="s">
        <v>172</v>
      </c>
      <c r="G400" s="4">
        <f t="shared" si="24"/>
        <v>7875</v>
      </c>
      <c r="H400" s="3"/>
      <c r="I400" s="3"/>
      <c r="J400" s="3"/>
      <c r="K400" s="3"/>
      <c r="L400" s="3">
        <f t="shared" si="25"/>
        <v>0</v>
      </c>
      <c r="M400" s="3">
        <f t="shared" si="26"/>
        <v>0</v>
      </c>
      <c r="N400" s="3"/>
      <c r="O400" s="3"/>
      <c r="P400" s="3"/>
      <c r="Q400" s="3"/>
      <c r="R400" s="3"/>
    </row>
    <row r="401" spans="1:18" x14ac:dyDescent="0.25">
      <c r="A401" s="2">
        <v>46164</v>
      </c>
      <c r="B401" s="3" t="s">
        <v>48</v>
      </c>
      <c r="C401" s="3" t="s">
        <v>92</v>
      </c>
      <c r="D401" s="11" t="s">
        <v>702</v>
      </c>
      <c r="E401" s="3"/>
      <c r="F401" s="3">
        <f t="shared" si="27"/>
        <v>0</v>
      </c>
      <c r="G401" s="4">
        <f t="shared" si="24"/>
        <v>0</v>
      </c>
      <c r="H401" s="3">
        <v>500</v>
      </c>
      <c r="I401" s="3"/>
      <c r="J401" s="3"/>
      <c r="K401" s="3"/>
      <c r="L401" s="3">
        <f t="shared" si="25"/>
        <v>0</v>
      </c>
      <c r="M401" s="3">
        <f t="shared" si="26"/>
        <v>0</v>
      </c>
      <c r="N401" s="3"/>
      <c r="O401" s="3"/>
      <c r="P401" s="3"/>
      <c r="Q401" s="3"/>
      <c r="R401" s="3"/>
    </row>
    <row r="402" spans="1:18" x14ac:dyDescent="0.25">
      <c r="A402" s="2">
        <v>46164</v>
      </c>
      <c r="B402" s="3" t="s">
        <v>48</v>
      </c>
      <c r="C402" s="3" t="s">
        <v>78</v>
      </c>
      <c r="D402" s="11" t="s">
        <v>703</v>
      </c>
      <c r="E402" s="3">
        <v>37</v>
      </c>
      <c r="F402" s="3" t="s">
        <v>172</v>
      </c>
      <c r="G402" s="4">
        <f t="shared" si="24"/>
        <v>37</v>
      </c>
      <c r="H402" s="3"/>
      <c r="I402" s="3"/>
      <c r="J402" s="3"/>
      <c r="K402" s="3"/>
      <c r="L402" s="3">
        <f t="shared" si="25"/>
        <v>0</v>
      </c>
      <c r="M402" s="3">
        <f t="shared" si="26"/>
        <v>0</v>
      </c>
      <c r="N402" s="3"/>
      <c r="O402" s="3"/>
      <c r="P402" s="3"/>
      <c r="Q402" s="3"/>
      <c r="R402" s="3"/>
    </row>
    <row r="403" spans="1:18" x14ac:dyDescent="0.25">
      <c r="A403" s="2">
        <v>46164</v>
      </c>
      <c r="B403" s="3" t="s">
        <v>48</v>
      </c>
      <c r="C403" s="3" t="s">
        <v>95</v>
      </c>
      <c r="D403" s="11" t="s">
        <v>704</v>
      </c>
      <c r="E403" s="3"/>
      <c r="F403" s="3">
        <f t="shared" si="27"/>
        <v>0</v>
      </c>
      <c r="G403" s="4">
        <f t="shared" si="24"/>
        <v>0</v>
      </c>
      <c r="H403" s="3"/>
      <c r="I403" s="3"/>
      <c r="J403" s="3">
        <v>15000</v>
      </c>
      <c r="K403" s="3"/>
      <c r="L403" s="3">
        <f t="shared" si="25"/>
        <v>0</v>
      </c>
      <c r="M403" s="3">
        <f t="shared" si="26"/>
        <v>0</v>
      </c>
      <c r="N403" s="3"/>
      <c r="O403" s="3"/>
      <c r="P403" s="3"/>
      <c r="Q403" s="3"/>
      <c r="R403" s="3"/>
    </row>
    <row r="404" spans="1:18" x14ac:dyDescent="0.25">
      <c r="A404" s="2">
        <v>46164</v>
      </c>
      <c r="B404" s="3" t="s">
        <v>48</v>
      </c>
      <c r="C404" s="3" t="s">
        <v>75</v>
      </c>
      <c r="D404" s="11" t="s">
        <v>705</v>
      </c>
      <c r="E404" s="3">
        <v>200</v>
      </c>
      <c r="F404" s="3" t="s">
        <v>172</v>
      </c>
      <c r="G404" s="4">
        <f t="shared" si="24"/>
        <v>200</v>
      </c>
      <c r="H404" s="3"/>
      <c r="I404" s="3"/>
      <c r="J404" s="3"/>
      <c r="K404" s="3"/>
      <c r="L404" s="3">
        <f t="shared" si="25"/>
        <v>0</v>
      </c>
      <c r="M404" s="3">
        <f t="shared" si="26"/>
        <v>0</v>
      </c>
      <c r="N404" s="3"/>
      <c r="O404" s="3"/>
      <c r="P404" s="3"/>
      <c r="Q404" s="3"/>
      <c r="R404" s="3"/>
    </row>
    <row r="405" spans="1:18" x14ac:dyDescent="0.25">
      <c r="A405" s="2">
        <v>46164</v>
      </c>
      <c r="B405" s="3" t="s">
        <v>48</v>
      </c>
      <c r="C405" s="3" t="s">
        <v>73</v>
      </c>
      <c r="D405" s="11" t="s">
        <v>706</v>
      </c>
      <c r="E405" s="3">
        <v>58</v>
      </c>
      <c r="F405" s="3" t="s">
        <v>172</v>
      </c>
      <c r="G405" s="4">
        <f t="shared" si="24"/>
        <v>58</v>
      </c>
      <c r="H405" s="3"/>
      <c r="I405" s="3"/>
      <c r="J405" s="3"/>
      <c r="K405" s="3"/>
      <c r="L405" s="3">
        <f t="shared" si="25"/>
        <v>0</v>
      </c>
      <c r="M405" s="3">
        <f t="shared" si="26"/>
        <v>0</v>
      </c>
      <c r="N405" s="3"/>
      <c r="O405" s="3"/>
      <c r="P405" s="3"/>
      <c r="Q405" s="3"/>
      <c r="R405" s="3"/>
    </row>
    <row r="406" spans="1:18" x14ac:dyDescent="0.25">
      <c r="A406" s="2">
        <v>46164</v>
      </c>
      <c r="B406" s="3" t="s">
        <v>48</v>
      </c>
      <c r="C406" s="3" t="s">
        <v>66</v>
      </c>
      <c r="D406" s="11" t="s">
        <v>707</v>
      </c>
      <c r="E406" s="3">
        <v>126.5</v>
      </c>
      <c r="F406" s="3" t="s">
        <v>172</v>
      </c>
      <c r="G406" s="4">
        <f t="shared" si="24"/>
        <v>126.5</v>
      </c>
      <c r="H406" s="3"/>
      <c r="I406" s="3"/>
      <c r="J406" s="3"/>
      <c r="K406" s="3"/>
      <c r="L406" s="3">
        <f t="shared" si="25"/>
        <v>0</v>
      </c>
      <c r="M406" s="3">
        <f t="shared" si="26"/>
        <v>0</v>
      </c>
      <c r="N406" s="3"/>
      <c r="O406" s="3"/>
      <c r="P406" s="3"/>
      <c r="Q406" s="3"/>
      <c r="R406" s="3"/>
    </row>
    <row r="407" spans="1:18" x14ac:dyDescent="0.25">
      <c r="A407" s="2">
        <v>46164</v>
      </c>
      <c r="B407" s="3" t="s">
        <v>48</v>
      </c>
      <c r="C407" s="3" t="s">
        <v>73</v>
      </c>
      <c r="D407" s="11" t="s">
        <v>708</v>
      </c>
      <c r="E407" s="3">
        <v>58</v>
      </c>
      <c r="F407" s="3" t="s">
        <v>172</v>
      </c>
      <c r="G407" s="4">
        <f t="shared" si="24"/>
        <v>58</v>
      </c>
      <c r="H407" s="3"/>
      <c r="I407" s="3"/>
      <c r="J407" s="3"/>
      <c r="K407" s="3"/>
      <c r="L407" s="3">
        <f t="shared" si="25"/>
        <v>0</v>
      </c>
      <c r="M407" s="3">
        <f t="shared" si="26"/>
        <v>0</v>
      </c>
      <c r="N407" s="3"/>
      <c r="O407" s="3"/>
      <c r="P407" s="3"/>
      <c r="Q407" s="3"/>
      <c r="R407" s="3"/>
    </row>
    <row r="408" spans="1:18" x14ac:dyDescent="0.25">
      <c r="A408" s="2">
        <v>46164</v>
      </c>
      <c r="B408" s="3" t="s">
        <v>48</v>
      </c>
      <c r="C408" s="3" t="s">
        <v>73</v>
      </c>
      <c r="D408" s="11" t="s">
        <v>709</v>
      </c>
      <c r="E408" s="3">
        <v>58</v>
      </c>
      <c r="F408" s="3" t="s">
        <v>172</v>
      </c>
      <c r="G408" s="4">
        <f t="shared" si="24"/>
        <v>58</v>
      </c>
      <c r="H408" s="3"/>
      <c r="I408" s="3"/>
      <c r="J408" s="3"/>
      <c r="K408" s="3"/>
      <c r="L408" s="3">
        <f t="shared" si="25"/>
        <v>0</v>
      </c>
      <c r="M408" s="3">
        <f t="shared" si="26"/>
        <v>0</v>
      </c>
      <c r="N408" s="3"/>
      <c r="O408" s="3"/>
      <c r="P408" s="3"/>
      <c r="Q408" s="3"/>
      <c r="R408" s="3"/>
    </row>
    <row r="409" spans="1:18" x14ac:dyDescent="0.25">
      <c r="A409" s="2">
        <v>46165</v>
      </c>
      <c r="B409" s="2" t="s">
        <v>287</v>
      </c>
      <c r="C409" s="3" t="s">
        <v>49</v>
      </c>
      <c r="D409" s="11" t="s">
        <v>710</v>
      </c>
      <c r="E409" s="3">
        <v>10451.459999999999</v>
      </c>
      <c r="F409" s="3" t="s">
        <v>172</v>
      </c>
      <c r="G409" s="4">
        <f t="shared" si="24"/>
        <v>10451.459999999999</v>
      </c>
      <c r="H409" s="3"/>
      <c r="I409" s="3"/>
      <c r="J409" s="3"/>
      <c r="K409" s="3"/>
      <c r="L409" s="3">
        <f t="shared" si="25"/>
        <v>0</v>
      </c>
      <c r="M409" s="3">
        <f t="shared" si="26"/>
        <v>0</v>
      </c>
      <c r="N409" s="3"/>
      <c r="O409" s="3"/>
      <c r="P409" s="3"/>
      <c r="Q409" s="3"/>
      <c r="R409" s="3"/>
    </row>
    <row r="410" spans="1:18" x14ac:dyDescent="0.25">
      <c r="A410" s="2">
        <v>46162</v>
      </c>
      <c r="B410" s="3" t="s">
        <v>48</v>
      </c>
      <c r="C410" s="3" t="s">
        <v>95</v>
      </c>
      <c r="D410" s="11" t="s">
        <v>711</v>
      </c>
      <c r="E410" s="3"/>
      <c r="F410" s="3">
        <f t="shared" si="27"/>
        <v>0</v>
      </c>
      <c r="G410" s="4">
        <f t="shared" si="24"/>
        <v>0</v>
      </c>
      <c r="H410" s="3"/>
      <c r="I410" s="3"/>
      <c r="J410" s="3">
        <v>10000</v>
      </c>
      <c r="K410" s="3"/>
      <c r="L410" s="3">
        <f t="shared" si="25"/>
        <v>0</v>
      </c>
      <c r="M410" s="3">
        <f t="shared" si="26"/>
        <v>0</v>
      </c>
      <c r="N410" s="3"/>
      <c r="O410" s="3"/>
      <c r="P410" s="3"/>
      <c r="Q410" s="3"/>
      <c r="R410" s="3"/>
    </row>
    <row r="411" spans="1:18" x14ac:dyDescent="0.25">
      <c r="A411" s="2">
        <v>46164</v>
      </c>
      <c r="B411" s="2" t="s">
        <v>288</v>
      </c>
      <c r="C411" s="3" t="s">
        <v>53</v>
      </c>
      <c r="D411" s="11" t="s">
        <v>712</v>
      </c>
      <c r="E411" s="3">
        <v>26.25</v>
      </c>
      <c r="F411" s="3" t="s">
        <v>172</v>
      </c>
      <c r="G411" s="4">
        <f t="shared" si="24"/>
        <v>26.25</v>
      </c>
      <c r="H411" s="3"/>
      <c r="I411" s="3"/>
      <c r="J411" s="3"/>
      <c r="K411" s="3"/>
      <c r="L411" s="3">
        <f t="shared" si="25"/>
        <v>0</v>
      </c>
      <c r="M411" s="3">
        <f t="shared" si="26"/>
        <v>0</v>
      </c>
      <c r="N411" s="3"/>
      <c r="O411" s="3"/>
      <c r="P411" s="3"/>
      <c r="Q411" s="3"/>
      <c r="R411" s="3"/>
    </row>
    <row r="412" spans="1:18" x14ac:dyDescent="0.25">
      <c r="A412" s="2">
        <v>46164</v>
      </c>
      <c r="B412" s="3" t="s">
        <v>48</v>
      </c>
      <c r="C412" s="3" t="s">
        <v>101</v>
      </c>
      <c r="D412" s="11" t="s">
        <v>713</v>
      </c>
      <c r="E412" s="3"/>
      <c r="F412" s="3">
        <f t="shared" si="27"/>
        <v>0</v>
      </c>
      <c r="G412" s="4">
        <f t="shared" si="24"/>
        <v>0</v>
      </c>
      <c r="H412" s="3"/>
      <c r="I412" s="3"/>
      <c r="J412" s="3"/>
      <c r="K412" s="3"/>
      <c r="L412" s="3">
        <f t="shared" si="25"/>
        <v>0</v>
      </c>
      <c r="M412" s="3">
        <f t="shared" si="26"/>
        <v>0</v>
      </c>
      <c r="N412" s="3"/>
      <c r="O412" s="3"/>
      <c r="P412" s="3">
        <v>800</v>
      </c>
      <c r="Q412" s="3"/>
      <c r="R412" s="3"/>
    </row>
    <row r="413" spans="1:18" x14ac:dyDescent="0.25">
      <c r="A413" s="2">
        <v>46164</v>
      </c>
      <c r="B413" s="3" t="s">
        <v>48</v>
      </c>
      <c r="C413" s="3" t="s">
        <v>49</v>
      </c>
      <c r="D413" s="11" t="s">
        <v>714</v>
      </c>
      <c r="E413" s="3"/>
      <c r="F413" s="3">
        <f t="shared" si="27"/>
        <v>0</v>
      </c>
      <c r="G413" s="4">
        <f t="shared" si="24"/>
        <v>0</v>
      </c>
      <c r="H413" s="3"/>
      <c r="I413" s="3"/>
      <c r="J413" s="3"/>
      <c r="K413" s="3"/>
      <c r="L413" s="3">
        <f t="shared" si="25"/>
        <v>0</v>
      </c>
      <c r="M413" s="3">
        <f t="shared" si="26"/>
        <v>0</v>
      </c>
      <c r="N413" s="3">
        <v>1970</v>
      </c>
      <c r="O413" s="3"/>
      <c r="P413" s="3"/>
      <c r="Q413" s="3"/>
      <c r="R413" s="3"/>
    </row>
    <row r="414" spans="1:18" x14ac:dyDescent="0.25">
      <c r="A414" s="2">
        <v>46165</v>
      </c>
      <c r="B414" s="3" t="s">
        <v>48</v>
      </c>
      <c r="C414" s="3" t="s">
        <v>93</v>
      </c>
      <c r="D414" s="11" t="s">
        <v>715</v>
      </c>
      <c r="E414" s="3">
        <v>1000</v>
      </c>
      <c r="F414" s="3" t="s">
        <v>172</v>
      </c>
      <c r="G414" s="4">
        <f t="shared" si="24"/>
        <v>1000</v>
      </c>
      <c r="H414" s="3"/>
      <c r="I414" s="3"/>
      <c r="J414" s="3"/>
      <c r="K414" s="3"/>
      <c r="L414" s="3">
        <f t="shared" si="25"/>
        <v>0</v>
      </c>
      <c r="M414" s="3">
        <f t="shared" si="26"/>
        <v>0</v>
      </c>
      <c r="N414" s="3"/>
      <c r="O414" s="3"/>
      <c r="P414" s="3"/>
      <c r="Q414" s="3"/>
      <c r="R414" s="3"/>
    </row>
    <row r="415" spans="1:18" x14ac:dyDescent="0.25">
      <c r="A415" s="2">
        <v>46165</v>
      </c>
      <c r="B415" s="3" t="s">
        <v>48</v>
      </c>
      <c r="C415" s="3" t="s">
        <v>49</v>
      </c>
      <c r="D415" s="11" t="s">
        <v>716</v>
      </c>
      <c r="E415" s="3">
        <v>1030.48</v>
      </c>
      <c r="F415" s="3">
        <f t="shared" si="27"/>
        <v>51.524000000000001</v>
      </c>
      <c r="G415" s="4">
        <f t="shared" si="24"/>
        <v>1082.0039999999999</v>
      </c>
      <c r="H415" s="3"/>
      <c r="I415" s="3"/>
      <c r="J415" s="3"/>
      <c r="K415" s="3"/>
      <c r="L415" s="3">
        <f t="shared" si="25"/>
        <v>0</v>
      </c>
      <c r="M415" s="3">
        <f t="shared" si="26"/>
        <v>0</v>
      </c>
      <c r="N415" s="3"/>
      <c r="O415" s="3"/>
      <c r="P415" s="3"/>
      <c r="Q415" s="3"/>
      <c r="R415" s="3"/>
    </row>
    <row r="416" spans="1:18" x14ac:dyDescent="0.25">
      <c r="A416" s="2">
        <v>46165</v>
      </c>
      <c r="B416" s="3" t="s">
        <v>48</v>
      </c>
      <c r="C416" s="3" t="s">
        <v>102</v>
      </c>
      <c r="D416" s="11" t="s">
        <v>717</v>
      </c>
      <c r="E416" s="3">
        <v>160</v>
      </c>
      <c r="F416" s="3" t="s">
        <v>172</v>
      </c>
      <c r="G416" s="4">
        <f t="shared" si="24"/>
        <v>160</v>
      </c>
      <c r="H416" s="3"/>
      <c r="I416" s="3"/>
      <c r="J416" s="3"/>
      <c r="K416" s="3"/>
      <c r="L416" s="3">
        <f t="shared" si="25"/>
        <v>0</v>
      </c>
      <c r="M416" s="3">
        <f t="shared" si="26"/>
        <v>0</v>
      </c>
      <c r="N416" s="3"/>
      <c r="O416" s="3"/>
      <c r="P416" s="3"/>
      <c r="Q416" s="3"/>
      <c r="R416" s="3"/>
    </row>
    <row r="417" spans="1:18" x14ac:dyDescent="0.25">
      <c r="A417" s="2">
        <v>46165</v>
      </c>
      <c r="B417" s="3" t="s">
        <v>48</v>
      </c>
      <c r="C417" s="3" t="s">
        <v>80</v>
      </c>
      <c r="D417" s="11" t="s">
        <v>718</v>
      </c>
      <c r="E417" s="3">
        <v>250</v>
      </c>
      <c r="F417" s="3" t="s">
        <v>172</v>
      </c>
      <c r="G417" s="4">
        <f t="shared" si="24"/>
        <v>250</v>
      </c>
      <c r="H417" s="3"/>
      <c r="I417" s="3"/>
      <c r="J417" s="3"/>
      <c r="K417" s="3"/>
      <c r="L417" s="3">
        <f t="shared" si="25"/>
        <v>0</v>
      </c>
      <c r="M417" s="3">
        <f t="shared" si="26"/>
        <v>0</v>
      </c>
      <c r="N417" s="3"/>
      <c r="O417" s="3"/>
      <c r="P417" s="3"/>
      <c r="Q417" s="3"/>
      <c r="R417" s="3"/>
    </row>
    <row r="418" spans="1:18" x14ac:dyDescent="0.25">
      <c r="A418" s="2">
        <v>46165</v>
      </c>
      <c r="B418" s="3" t="s">
        <v>48</v>
      </c>
      <c r="C418" s="3" t="s">
        <v>92</v>
      </c>
      <c r="D418" s="11" t="s">
        <v>719</v>
      </c>
      <c r="E418" s="3"/>
      <c r="F418" s="3">
        <f t="shared" si="27"/>
        <v>0</v>
      </c>
      <c r="G418" s="4">
        <f t="shared" si="24"/>
        <v>0</v>
      </c>
      <c r="H418" s="3">
        <v>500</v>
      </c>
      <c r="I418" s="3"/>
      <c r="J418" s="3"/>
      <c r="K418" s="3"/>
      <c r="L418" s="3">
        <f t="shared" si="25"/>
        <v>0</v>
      </c>
      <c r="M418" s="3">
        <f t="shared" si="26"/>
        <v>0</v>
      </c>
      <c r="N418" s="3"/>
      <c r="O418" s="3"/>
      <c r="P418" s="3"/>
      <c r="Q418" s="3"/>
      <c r="R418" s="3"/>
    </row>
    <row r="419" spans="1:18" x14ac:dyDescent="0.25">
      <c r="A419" s="2">
        <v>46165</v>
      </c>
      <c r="B419" s="3" t="s">
        <v>48</v>
      </c>
      <c r="C419" s="3" t="s">
        <v>92</v>
      </c>
      <c r="D419" s="11" t="s">
        <v>720</v>
      </c>
      <c r="E419" s="3"/>
      <c r="F419" s="3">
        <f t="shared" si="27"/>
        <v>0</v>
      </c>
      <c r="G419" s="4">
        <f t="shared" si="24"/>
        <v>0</v>
      </c>
      <c r="H419" s="3">
        <v>250</v>
      </c>
      <c r="I419" s="3"/>
      <c r="J419" s="3"/>
      <c r="K419" s="3"/>
      <c r="L419" s="3">
        <f t="shared" si="25"/>
        <v>0</v>
      </c>
      <c r="M419" s="3">
        <f t="shared" si="26"/>
        <v>0</v>
      </c>
      <c r="N419" s="3"/>
      <c r="O419" s="3"/>
      <c r="P419" s="3"/>
      <c r="Q419" s="3"/>
      <c r="R419" s="3"/>
    </row>
    <row r="420" spans="1:18" x14ac:dyDescent="0.25">
      <c r="A420" s="2">
        <v>46165</v>
      </c>
      <c r="B420" s="3" t="s">
        <v>48</v>
      </c>
      <c r="C420" s="3" t="s">
        <v>92</v>
      </c>
      <c r="D420" s="11" t="s">
        <v>721</v>
      </c>
      <c r="E420" s="3"/>
      <c r="F420" s="3">
        <f t="shared" si="27"/>
        <v>0</v>
      </c>
      <c r="G420" s="4">
        <f t="shared" si="24"/>
        <v>0</v>
      </c>
      <c r="H420" s="3">
        <v>1250</v>
      </c>
      <c r="I420" s="3"/>
      <c r="J420" s="3"/>
      <c r="K420" s="3"/>
      <c r="L420" s="3">
        <f t="shared" si="25"/>
        <v>0</v>
      </c>
      <c r="M420" s="3">
        <f t="shared" si="26"/>
        <v>0</v>
      </c>
      <c r="N420" s="3"/>
      <c r="O420" s="3"/>
      <c r="P420" s="3"/>
      <c r="Q420" s="3"/>
      <c r="R420" s="3"/>
    </row>
    <row r="421" spans="1:18" x14ac:dyDescent="0.25">
      <c r="A421" s="2">
        <v>46165</v>
      </c>
      <c r="B421" s="3" t="s">
        <v>48</v>
      </c>
      <c r="C421" s="3" t="s">
        <v>73</v>
      </c>
      <c r="D421" s="11" t="s">
        <v>722</v>
      </c>
      <c r="E421" s="3">
        <v>58</v>
      </c>
      <c r="F421" s="3" t="s">
        <v>172</v>
      </c>
      <c r="G421" s="4">
        <f t="shared" si="24"/>
        <v>58</v>
      </c>
      <c r="H421" s="3"/>
      <c r="I421" s="3"/>
      <c r="J421" s="3"/>
      <c r="K421" s="3"/>
      <c r="L421" s="3">
        <f t="shared" si="25"/>
        <v>0</v>
      </c>
      <c r="M421" s="3">
        <f t="shared" si="26"/>
        <v>0</v>
      </c>
      <c r="N421" s="3"/>
      <c r="O421" s="3"/>
      <c r="P421" s="3"/>
      <c r="Q421" s="3"/>
      <c r="R421" s="3"/>
    </row>
    <row r="422" spans="1:18" x14ac:dyDescent="0.25">
      <c r="A422" s="2">
        <v>46165</v>
      </c>
      <c r="B422" s="3" t="s">
        <v>48</v>
      </c>
      <c r="C422" s="3" t="s">
        <v>64</v>
      </c>
      <c r="D422" s="11" t="s">
        <v>723</v>
      </c>
      <c r="E422" s="3">
        <v>160</v>
      </c>
      <c r="F422" s="3" t="s">
        <v>172</v>
      </c>
      <c r="G422" s="4">
        <f t="shared" si="24"/>
        <v>160</v>
      </c>
      <c r="H422" s="3"/>
      <c r="I422" s="3"/>
      <c r="J422" s="3"/>
      <c r="K422" s="3"/>
      <c r="L422" s="3">
        <f t="shared" si="25"/>
        <v>0</v>
      </c>
      <c r="M422" s="3">
        <f t="shared" si="26"/>
        <v>0</v>
      </c>
      <c r="N422" s="3"/>
      <c r="O422" s="3"/>
      <c r="P422" s="3"/>
      <c r="Q422" s="3"/>
      <c r="R422" s="3"/>
    </row>
    <row r="423" spans="1:18" x14ac:dyDescent="0.25">
      <c r="A423" s="2">
        <v>46165</v>
      </c>
      <c r="B423" s="3" t="s">
        <v>48</v>
      </c>
      <c r="C423" s="3" t="s">
        <v>78</v>
      </c>
      <c r="D423" s="11" t="s">
        <v>724</v>
      </c>
      <c r="E423" s="3">
        <v>30</v>
      </c>
      <c r="F423" s="3">
        <f t="shared" si="27"/>
        <v>1.5</v>
      </c>
      <c r="G423" s="4">
        <f t="shared" si="24"/>
        <v>31.5</v>
      </c>
      <c r="H423" s="3"/>
      <c r="I423" s="3"/>
      <c r="J423" s="3"/>
      <c r="K423" s="3"/>
      <c r="L423" s="3">
        <f t="shared" si="25"/>
        <v>0</v>
      </c>
      <c r="M423" s="3">
        <f t="shared" si="26"/>
        <v>0</v>
      </c>
      <c r="N423" s="3"/>
      <c r="O423" s="3"/>
      <c r="P423" s="3"/>
      <c r="Q423" s="3"/>
      <c r="R423" s="3"/>
    </row>
    <row r="424" spans="1:18" x14ac:dyDescent="0.25">
      <c r="A424" s="2">
        <v>46165</v>
      </c>
      <c r="B424" s="3" t="s">
        <v>48</v>
      </c>
      <c r="C424" s="3" t="s">
        <v>73</v>
      </c>
      <c r="D424" s="11" t="s">
        <v>725</v>
      </c>
      <c r="E424" s="3">
        <v>58</v>
      </c>
      <c r="F424" s="3" t="s">
        <v>172</v>
      </c>
      <c r="G424" s="4">
        <f t="shared" si="24"/>
        <v>58</v>
      </c>
      <c r="H424" s="3"/>
      <c r="I424" s="3"/>
      <c r="J424" s="3"/>
      <c r="K424" s="3"/>
      <c r="L424" s="3">
        <f t="shared" si="25"/>
        <v>0</v>
      </c>
      <c r="M424" s="3">
        <f t="shared" si="26"/>
        <v>0</v>
      </c>
      <c r="N424" s="3"/>
      <c r="O424" s="3"/>
      <c r="P424" s="3"/>
      <c r="Q424" s="3"/>
      <c r="R424" s="3"/>
    </row>
    <row r="425" spans="1:18" x14ac:dyDescent="0.25">
      <c r="A425" s="2">
        <v>46165</v>
      </c>
      <c r="B425" s="3" t="s">
        <v>48</v>
      </c>
      <c r="C425" s="3" t="s">
        <v>95</v>
      </c>
      <c r="D425" s="11" t="s">
        <v>726</v>
      </c>
      <c r="E425" s="3"/>
      <c r="F425" s="3">
        <f t="shared" si="27"/>
        <v>0</v>
      </c>
      <c r="G425" s="4">
        <f t="shared" si="24"/>
        <v>0</v>
      </c>
      <c r="H425" s="3"/>
      <c r="I425" s="3"/>
      <c r="J425" s="3">
        <v>1000</v>
      </c>
      <c r="K425" s="3"/>
      <c r="L425" s="3">
        <f t="shared" si="25"/>
        <v>0</v>
      </c>
      <c r="M425" s="3">
        <f t="shared" si="26"/>
        <v>0</v>
      </c>
      <c r="N425" s="3"/>
      <c r="O425" s="3"/>
      <c r="P425" s="3"/>
      <c r="Q425" s="3"/>
      <c r="R425" s="3"/>
    </row>
    <row r="426" spans="1:18" x14ac:dyDescent="0.25">
      <c r="A426" s="2">
        <v>46165</v>
      </c>
      <c r="B426" s="3" t="s">
        <v>48</v>
      </c>
      <c r="C426" s="3" t="s">
        <v>70</v>
      </c>
      <c r="D426" s="11" t="s">
        <v>727</v>
      </c>
      <c r="E426" s="3">
        <v>10</v>
      </c>
      <c r="F426" s="3" t="s">
        <v>172</v>
      </c>
      <c r="G426" s="4">
        <f t="shared" si="24"/>
        <v>10</v>
      </c>
      <c r="H426" s="3"/>
      <c r="I426" s="3"/>
      <c r="J426" s="3"/>
      <c r="K426" s="3"/>
      <c r="L426" s="3">
        <f t="shared" si="25"/>
        <v>0</v>
      </c>
      <c r="M426" s="3">
        <f t="shared" si="26"/>
        <v>0</v>
      </c>
      <c r="N426" s="3"/>
      <c r="O426" s="3"/>
      <c r="P426" s="3"/>
      <c r="Q426" s="3"/>
      <c r="R426" s="3"/>
    </row>
    <row r="427" spans="1:18" x14ac:dyDescent="0.25">
      <c r="A427" s="2">
        <v>46165</v>
      </c>
      <c r="B427" s="3" t="s">
        <v>48</v>
      </c>
      <c r="C427" s="3" t="s">
        <v>73</v>
      </c>
      <c r="D427" s="11" t="s">
        <v>728</v>
      </c>
      <c r="E427" s="3">
        <v>200</v>
      </c>
      <c r="F427" s="3" t="s">
        <v>172</v>
      </c>
      <c r="G427" s="4">
        <f t="shared" si="24"/>
        <v>200</v>
      </c>
      <c r="H427" s="3"/>
      <c r="I427" s="3"/>
      <c r="J427" s="3"/>
      <c r="K427" s="3"/>
      <c r="L427" s="3">
        <f t="shared" si="25"/>
        <v>0</v>
      </c>
      <c r="M427" s="3">
        <f t="shared" si="26"/>
        <v>0</v>
      </c>
      <c r="N427" s="3"/>
      <c r="O427" s="3"/>
      <c r="P427" s="3"/>
      <c r="Q427" s="3"/>
      <c r="R427" s="3"/>
    </row>
    <row r="428" spans="1:18" x14ac:dyDescent="0.25">
      <c r="A428" s="2">
        <v>46167</v>
      </c>
      <c r="B428" s="3" t="s">
        <v>48</v>
      </c>
      <c r="C428" s="3" t="s">
        <v>49</v>
      </c>
      <c r="D428" s="11" t="s">
        <v>729</v>
      </c>
      <c r="E428" s="3">
        <v>29.5</v>
      </c>
      <c r="F428" s="3">
        <f t="shared" si="27"/>
        <v>1.4750000000000001</v>
      </c>
      <c r="G428" s="218">
        <f t="shared" si="24"/>
        <v>30.975000000000001</v>
      </c>
      <c r="H428" s="3"/>
      <c r="I428" s="3"/>
      <c r="J428" s="3"/>
      <c r="K428" s="3"/>
      <c r="L428" s="3">
        <f t="shared" si="25"/>
        <v>0</v>
      </c>
      <c r="M428" s="3">
        <f t="shared" si="26"/>
        <v>0</v>
      </c>
      <c r="N428" s="3"/>
      <c r="O428" s="3"/>
      <c r="P428" s="3"/>
      <c r="Q428" s="3"/>
      <c r="R428" s="3"/>
    </row>
    <row r="429" spans="1:18" x14ac:dyDescent="0.25">
      <c r="A429" s="2">
        <v>46167</v>
      </c>
      <c r="B429" s="3" t="s">
        <v>48</v>
      </c>
      <c r="C429" s="3" t="s">
        <v>78</v>
      </c>
      <c r="D429" s="11" t="s">
        <v>730</v>
      </c>
      <c r="E429" s="3">
        <v>14</v>
      </c>
      <c r="F429" s="3" t="s">
        <v>172</v>
      </c>
      <c r="G429" s="4">
        <f t="shared" si="24"/>
        <v>14</v>
      </c>
      <c r="H429" s="3"/>
      <c r="I429" s="3"/>
      <c r="J429" s="3"/>
      <c r="K429" s="3"/>
      <c r="L429" s="3">
        <f t="shared" si="25"/>
        <v>0</v>
      </c>
      <c r="M429" s="3">
        <f t="shared" si="26"/>
        <v>0</v>
      </c>
      <c r="N429" s="3"/>
      <c r="O429" s="3"/>
      <c r="P429" s="3"/>
      <c r="Q429" s="3"/>
      <c r="R429" s="3"/>
    </row>
    <row r="430" spans="1:18" x14ac:dyDescent="0.25">
      <c r="A430" s="2">
        <v>46167</v>
      </c>
      <c r="B430" s="3" t="s">
        <v>48</v>
      </c>
      <c r="C430" s="3" t="s">
        <v>73</v>
      </c>
      <c r="D430" s="11" t="s">
        <v>731</v>
      </c>
      <c r="E430" s="3">
        <v>58</v>
      </c>
      <c r="F430" s="3" t="s">
        <v>172</v>
      </c>
      <c r="G430" s="4">
        <f t="shared" si="24"/>
        <v>58</v>
      </c>
      <c r="H430" s="3"/>
      <c r="I430" s="3"/>
      <c r="J430" s="3"/>
      <c r="K430" s="3"/>
      <c r="L430" s="3">
        <f t="shared" si="25"/>
        <v>0</v>
      </c>
      <c r="M430" s="3">
        <f t="shared" si="26"/>
        <v>0</v>
      </c>
      <c r="N430" s="3"/>
      <c r="O430" s="3"/>
      <c r="P430" s="3"/>
      <c r="Q430" s="3"/>
      <c r="R430" s="3"/>
    </row>
    <row r="431" spans="1:18" x14ac:dyDescent="0.25">
      <c r="A431" s="2">
        <v>46167</v>
      </c>
      <c r="B431" s="3" t="s">
        <v>48</v>
      </c>
      <c r="C431" s="3" t="s">
        <v>92</v>
      </c>
      <c r="D431" s="11" t="s">
        <v>732</v>
      </c>
      <c r="E431" s="3"/>
      <c r="F431" s="3">
        <f t="shared" si="27"/>
        <v>0</v>
      </c>
      <c r="G431" s="4">
        <f t="shared" si="24"/>
        <v>0</v>
      </c>
      <c r="H431" s="3">
        <v>100</v>
      </c>
      <c r="I431" s="3"/>
      <c r="J431" s="3"/>
      <c r="K431" s="3"/>
      <c r="L431" s="3">
        <f t="shared" si="25"/>
        <v>0</v>
      </c>
      <c r="M431" s="3">
        <f t="shared" si="26"/>
        <v>0</v>
      </c>
      <c r="N431" s="3"/>
      <c r="O431" s="3"/>
      <c r="P431" s="3"/>
      <c r="Q431" s="3"/>
      <c r="R431" s="3"/>
    </row>
    <row r="432" spans="1:18" x14ac:dyDescent="0.25">
      <c r="A432" s="2">
        <v>46167</v>
      </c>
      <c r="B432" s="3" t="s">
        <v>48</v>
      </c>
      <c r="C432" s="3" t="s">
        <v>70</v>
      </c>
      <c r="D432" s="11" t="s">
        <v>733</v>
      </c>
      <c r="E432" s="3">
        <v>7</v>
      </c>
      <c r="F432" s="3" t="s">
        <v>172</v>
      </c>
      <c r="G432" s="4">
        <f t="shared" si="24"/>
        <v>7</v>
      </c>
      <c r="H432" s="3"/>
      <c r="I432" s="3"/>
      <c r="J432" s="3"/>
      <c r="K432" s="3"/>
      <c r="L432" s="3">
        <f t="shared" si="25"/>
        <v>0</v>
      </c>
      <c r="M432" s="3">
        <f t="shared" si="26"/>
        <v>0</v>
      </c>
      <c r="N432" s="3"/>
      <c r="O432" s="3"/>
      <c r="P432" s="3"/>
      <c r="Q432" s="3"/>
      <c r="R432" s="3"/>
    </row>
    <row r="433" spans="1:18" x14ac:dyDescent="0.25">
      <c r="A433" s="2">
        <v>46168</v>
      </c>
      <c r="B433" s="3" t="s">
        <v>48</v>
      </c>
      <c r="C433" s="3" t="s">
        <v>52</v>
      </c>
      <c r="D433" s="11" t="s">
        <v>734</v>
      </c>
      <c r="E433" s="3">
        <v>385</v>
      </c>
      <c r="F433" s="3" t="s">
        <v>172</v>
      </c>
      <c r="G433" s="4">
        <f t="shared" si="24"/>
        <v>385</v>
      </c>
      <c r="H433" s="3"/>
      <c r="I433" s="3"/>
      <c r="J433" s="3"/>
      <c r="K433" s="3"/>
      <c r="L433" s="3">
        <f t="shared" si="25"/>
        <v>0</v>
      </c>
      <c r="M433" s="3">
        <f t="shared" si="26"/>
        <v>0</v>
      </c>
      <c r="N433" s="3"/>
      <c r="O433" s="3"/>
      <c r="P433" s="3"/>
      <c r="Q433" s="3"/>
      <c r="R433" s="3"/>
    </row>
    <row r="434" spans="1:18" x14ac:dyDescent="0.25">
      <c r="A434" s="2">
        <v>46168</v>
      </c>
      <c r="B434" s="3" t="s">
        <v>48</v>
      </c>
      <c r="C434" s="3" t="s">
        <v>65</v>
      </c>
      <c r="D434" s="11" t="s">
        <v>735</v>
      </c>
      <c r="E434" s="3">
        <v>5000</v>
      </c>
      <c r="F434" s="3" t="s">
        <v>172</v>
      </c>
      <c r="G434" s="4">
        <f t="shared" si="24"/>
        <v>5000</v>
      </c>
      <c r="H434" s="3"/>
      <c r="I434" s="3"/>
      <c r="J434" s="3"/>
      <c r="K434" s="3"/>
      <c r="L434" s="3">
        <f t="shared" si="25"/>
        <v>0</v>
      </c>
      <c r="M434" s="3">
        <f t="shared" si="26"/>
        <v>0</v>
      </c>
      <c r="N434" s="3"/>
      <c r="O434" s="3"/>
      <c r="P434" s="3"/>
      <c r="Q434" s="3"/>
      <c r="R434" s="3"/>
    </row>
    <row r="435" spans="1:18" x14ac:dyDescent="0.25">
      <c r="A435" s="2">
        <v>46168</v>
      </c>
      <c r="B435" s="3" t="s">
        <v>48</v>
      </c>
      <c r="C435" s="3" t="s">
        <v>49</v>
      </c>
      <c r="D435" s="11" t="s">
        <v>736</v>
      </c>
      <c r="E435" s="3">
        <v>527.4</v>
      </c>
      <c r="F435" s="3">
        <f t="shared" si="27"/>
        <v>26.37</v>
      </c>
      <c r="G435" s="218">
        <f t="shared" si="24"/>
        <v>553.77</v>
      </c>
      <c r="H435" s="3"/>
      <c r="I435" s="3"/>
      <c r="J435" s="3"/>
      <c r="K435" s="3"/>
      <c r="L435" s="3">
        <f t="shared" si="25"/>
        <v>0</v>
      </c>
      <c r="M435" s="3">
        <f t="shared" si="26"/>
        <v>0</v>
      </c>
      <c r="N435" s="3"/>
      <c r="O435" s="3"/>
      <c r="P435" s="3"/>
      <c r="Q435" s="3"/>
      <c r="R435" s="3"/>
    </row>
    <row r="436" spans="1:18" x14ac:dyDescent="0.25">
      <c r="A436" s="2">
        <v>46168</v>
      </c>
      <c r="B436" s="3" t="s">
        <v>48</v>
      </c>
      <c r="C436" s="3" t="s">
        <v>78</v>
      </c>
      <c r="D436" s="11" t="s">
        <v>737</v>
      </c>
      <c r="E436" s="3">
        <v>1000</v>
      </c>
      <c r="F436" s="3">
        <f t="shared" si="27"/>
        <v>50</v>
      </c>
      <c r="G436" s="4">
        <f t="shared" si="24"/>
        <v>1050</v>
      </c>
      <c r="H436" s="3"/>
      <c r="I436" s="3"/>
      <c r="J436" s="3"/>
      <c r="K436" s="3"/>
      <c r="L436" s="3">
        <f t="shared" si="25"/>
        <v>0</v>
      </c>
      <c r="M436" s="3">
        <f t="shared" si="26"/>
        <v>0</v>
      </c>
      <c r="N436" s="3"/>
      <c r="O436" s="3"/>
      <c r="P436" s="3"/>
      <c r="Q436" s="3"/>
      <c r="R436" s="3"/>
    </row>
    <row r="437" spans="1:18" x14ac:dyDescent="0.25">
      <c r="A437" s="2">
        <v>46168</v>
      </c>
      <c r="B437" s="3" t="s">
        <v>48</v>
      </c>
      <c r="C437" s="3" t="s">
        <v>66</v>
      </c>
      <c r="D437" s="11" t="s">
        <v>738</v>
      </c>
      <c r="E437" s="3">
        <v>42</v>
      </c>
      <c r="F437" s="3" t="s">
        <v>172</v>
      </c>
      <c r="G437" s="4">
        <f t="shared" si="24"/>
        <v>42</v>
      </c>
      <c r="H437" s="3"/>
      <c r="I437" s="3"/>
      <c r="J437" s="3"/>
      <c r="K437" s="3"/>
      <c r="L437" s="3">
        <f t="shared" si="25"/>
        <v>0</v>
      </c>
      <c r="M437" s="3">
        <f t="shared" si="26"/>
        <v>0</v>
      </c>
      <c r="N437" s="3"/>
      <c r="O437" s="3"/>
      <c r="P437" s="3"/>
      <c r="Q437" s="3"/>
      <c r="R437" s="3"/>
    </row>
    <row r="438" spans="1:18" x14ac:dyDescent="0.25">
      <c r="A438" s="2">
        <v>46168</v>
      </c>
      <c r="B438" s="3" t="s">
        <v>48</v>
      </c>
      <c r="C438" s="3" t="s">
        <v>95</v>
      </c>
      <c r="D438" s="11" t="s">
        <v>739</v>
      </c>
      <c r="E438" s="3"/>
      <c r="F438" s="3">
        <f t="shared" si="27"/>
        <v>0</v>
      </c>
      <c r="G438" s="4">
        <f t="shared" si="24"/>
        <v>0</v>
      </c>
      <c r="H438" s="3"/>
      <c r="I438" s="3"/>
      <c r="J438" s="3">
        <v>1000</v>
      </c>
      <c r="K438" s="3"/>
      <c r="L438" s="3">
        <f t="shared" si="25"/>
        <v>0</v>
      </c>
      <c r="M438" s="3">
        <f t="shared" si="26"/>
        <v>0</v>
      </c>
      <c r="N438" s="3"/>
      <c r="O438" s="3"/>
      <c r="P438" s="3"/>
      <c r="Q438" s="3"/>
      <c r="R438" s="3"/>
    </row>
    <row r="439" spans="1:18" x14ac:dyDescent="0.25">
      <c r="A439" s="2">
        <v>46168</v>
      </c>
      <c r="B439" s="3" t="s">
        <v>48</v>
      </c>
      <c r="C439" s="3" t="s">
        <v>73</v>
      </c>
      <c r="D439" s="11" t="s">
        <v>740</v>
      </c>
      <c r="E439" s="3">
        <v>9000</v>
      </c>
      <c r="F439" s="3" t="s">
        <v>172</v>
      </c>
      <c r="G439" s="4">
        <f t="shared" ref="G439:G502" si="28">IF(F439="NO TAX",E439,E439+F439)</f>
        <v>9000</v>
      </c>
      <c r="H439" s="3"/>
      <c r="I439" s="3"/>
      <c r="J439" s="3"/>
      <c r="K439" s="3"/>
      <c r="L439" s="3">
        <f t="shared" ref="L439:L502" si="29">K439*5%</f>
        <v>0</v>
      </c>
      <c r="M439" s="3">
        <f t="shared" ref="M439:M502" si="30">IF(L439="NO TAX",K439,K439+L439)</f>
        <v>0</v>
      </c>
      <c r="N439" s="3"/>
      <c r="O439" s="3"/>
      <c r="P439" s="3"/>
      <c r="Q439" s="3"/>
      <c r="R439" s="3"/>
    </row>
    <row r="440" spans="1:18" x14ac:dyDescent="0.25">
      <c r="A440" s="2">
        <v>46168</v>
      </c>
      <c r="B440" s="3" t="s">
        <v>48</v>
      </c>
      <c r="C440" s="3" t="s">
        <v>91</v>
      </c>
      <c r="D440" s="11" t="s">
        <v>741</v>
      </c>
      <c r="E440" s="3">
        <v>1800</v>
      </c>
      <c r="F440" s="3" t="s">
        <v>172</v>
      </c>
      <c r="G440" s="4">
        <f t="shared" si="28"/>
        <v>1800</v>
      </c>
      <c r="H440" s="3"/>
      <c r="I440" s="3"/>
      <c r="J440" s="3"/>
      <c r="K440" s="3"/>
      <c r="L440" s="3">
        <f t="shared" si="29"/>
        <v>0</v>
      </c>
      <c r="M440" s="3">
        <f t="shared" si="30"/>
        <v>0</v>
      </c>
      <c r="N440" s="3"/>
      <c r="O440" s="3"/>
      <c r="P440" s="3"/>
      <c r="Q440" s="3"/>
      <c r="R440" s="3"/>
    </row>
    <row r="441" spans="1:18" x14ac:dyDescent="0.25">
      <c r="A441" s="2">
        <v>46168</v>
      </c>
      <c r="B441" s="3" t="s">
        <v>48</v>
      </c>
      <c r="C441" s="3" t="s">
        <v>73</v>
      </c>
      <c r="D441" s="11" t="s">
        <v>742</v>
      </c>
      <c r="E441" s="3">
        <v>100</v>
      </c>
      <c r="F441" s="3" t="s">
        <v>172</v>
      </c>
      <c r="G441" s="4">
        <f t="shared" si="28"/>
        <v>100</v>
      </c>
      <c r="H441" s="3"/>
      <c r="I441" s="3"/>
      <c r="J441" s="3"/>
      <c r="K441" s="3"/>
      <c r="L441" s="3">
        <f t="shared" si="29"/>
        <v>0</v>
      </c>
      <c r="M441" s="3">
        <f t="shared" si="30"/>
        <v>0</v>
      </c>
      <c r="N441" s="3"/>
      <c r="O441" s="3"/>
      <c r="P441" s="3"/>
      <c r="Q441" s="3"/>
      <c r="R441" s="3"/>
    </row>
    <row r="442" spans="1:18" x14ac:dyDescent="0.25">
      <c r="A442" s="2">
        <v>46168</v>
      </c>
      <c r="B442" s="3" t="s">
        <v>48</v>
      </c>
      <c r="C442" s="3" t="s">
        <v>73</v>
      </c>
      <c r="D442" s="11" t="s">
        <v>743</v>
      </c>
      <c r="E442" s="3">
        <v>56</v>
      </c>
      <c r="F442" s="3" t="s">
        <v>172</v>
      </c>
      <c r="G442" s="4">
        <f t="shared" si="28"/>
        <v>56</v>
      </c>
      <c r="H442" s="3"/>
      <c r="I442" s="3"/>
      <c r="J442" s="3"/>
      <c r="K442" s="3"/>
      <c r="L442" s="3">
        <f t="shared" si="29"/>
        <v>0</v>
      </c>
      <c r="M442" s="3">
        <f t="shared" si="30"/>
        <v>0</v>
      </c>
      <c r="N442" s="3"/>
      <c r="O442" s="3"/>
      <c r="P442" s="3"/>
      <c r="Q442" s="3"/>
      <c r="R442" s="3"/>
    </row>
    <row r="443" spans="1:18" x14ac:dyDescent="0.25">
      <c r="A443" s="2">
        <v>46168</v>
      </c>
      <c r="B443" s="3" t="s">
        <v>48</v>
      </c>
      <c r="C443" s="3" t="s">
        <v>71</v>
      </c>
      <c r="D443" s="11" t="s">
        <v>744</v>
      </c>
      <c r="E443" s="3">
        <v>160</v>
      </c>
      <c r="F443" s="3" t="s">
        <v>172</v>
      </c>
      <c r="G443" s="4">
        <f t="shared" si="28"/>
        <v>160</v>
      </c>
      <c r="H443" s="3"/>
      <c r="I443" s="3"/>
      <c r="J443" s="3"/>
      <c r="K443" s="3"/>
      <c r="L443" s="3">
        <f t="shared" si="29"/>
        <v>0</v>
      </c>
      <c r="M443" s="3">
        <f t="shared" si="30"/>
        <v>0</v>
      </c>
      <c r="N443" s="3"/>
      <c r="O443" s="3"/>
      <c r="P443" s="3"/>
      <c r="Q443" s="3"/>
      <c r="R443" s="3"/>
    </row>
    <row r="444" spans="1:18" x14ac:dyDescent="0.25">
      <c r="A444" s="2">
        <v>46168</v>
      </c>
      <c r="B444" s="3" t="s">
        <v>48</v>
      </c>
      <c r="C444" s="3" t="s">
        <v>64</v>
      </c>
      <c r="D444" s="11" t="s">
        <v>745</v>
      </c>
      <c r="E444" s="3">
        <v>120</v>
      </c>
      <c r="F444" s="3" t="s">
        <v>172</v>
      </c>
      <c r="G444" s="4">
        <f t="shared" si="28"/>
        <v>120</v>
      </c>
      <c r="H444" s="3"/>
      <c r="I444" s="3"/>
      <c r="J444" s="3"/>
      <c r="K444" s="3"/>
      <c r="L444" s="3">
        <f t="shared" si="29"/>
        <v>0</v>
      </c>
      <c r="M444" s="3">
        <f t="shared" si="30"/>
        <v>0</v>
      </c>
      <c r="N444" s="3"/>
      <c r="O444" s="3"/>
      <c r="P444" s="3"/>
      <c r="Q444" s="3"/>
      <c r="R444" s="3"/>
    </row>
    <row r="445" spans="1:18" x14ac:dyDescent="0.25">
      <c r="A445" s="2">
        <v>46168</v>
      </c>
      <c r="B445" s="3" t="s">
        <v>48</v>
      </c>
      <c r="C445" s="3" t="s">
        <v>92</v>
      </c>
      <c r="D445" s="11" t="s">
        <v>746</v>
      </c>
      <c r="E445" s="3"/>
      <c r="F445" s="3">
        <f t="shared" ref="F445:F464" si="31">E445*5%</f>
        <v>0</v>
      </c>
      <c r="G445" s="4">
        <f t="shared" si="28"/>
        <v>0</v>
      </c>
      <c r="H445" s="3">
        <v>500</v>
      </c>
      <c r="I445" s="3"/>
      <c r="J445" s="3"/>
      <c r="K445" s="3"/>
      <c r="L445" s="3">
        <f t="shared" si="29"/>
        <v>0</v>
      </c>
      <c r="M445" s="3">
        <f t="shared" si="30"/>
        <v>0</v>
      </c>
      <c r="N445" s="3"/>
      <c r="O445" s="3"/>
      <c r="P445" s="3"/>
      <c r="Q445" s="3"/>
      <c r="R445" s="3"/>
    </row>
    <row r="446" spans="1:18" x14ac:dyDescent="0.25">
      <c r="A446" s="2">
        <v>46168</v>
      </c>
      <c r="B446" s="3" t="s">
        <v>48</v>
      </c>
      <c r="C446" s="3" t="s">
        <v>70</v>
      </c>
      <c r="D446" s="11" t="s">
        <v>747</v>
      </c>
      <c r="E446" s="3">
        <v>27</v>
      </c>
      <c r="F446" s="3" t="s">
        <v>172</v>
      </c>
      <c r="G446" s="4">
        <f t="shared" si="28"/>
        <v>27</v>
      </c>
      <c r="H446" s="3"/>
      <c r="I446" s="3"/>
      <c r="J446" s="3"/>
      <c r="K446" s="3"/>
      <c r="L446" s="3">
        <f t="shared" si="29"/>
        <v>0</v>
      </c>
      <c r="M446" s="3">
        <f t="shared" si="30"/>
        <v>0</v>
      </c>
      <c r="N446" s="3"/>
      <c r="O446" s="3"/>
      <c r="P446" s="3"/>
      <c r="Q446" s="3"/>
      <c r="R446" s="3"/>
    </row>
    <row r="447" spans="1:18" x14ac:dyDescent="0.25">
      <c r="A447" s="2">
        <v>46171</v>
      </c>
      <c r="B447" s="3" t="s">
        <v>48</v>
      </c>
      <c r="C447" s="3" t="s">
        <v>49</v>
      </c>
      <c r="D447" s="11" t="s">
        <v>748</v>
      </c>
      <c r="E447" s="3">
        <v>200</v>
      </c>
      <c r="F447" s="3">
        <f t="shared" si="31"/>
        <v>10</v>
      </c>
      <c r="G447" s="4">
        <f t="shared" si="28"/>
        <v>210</v>
      </c>
      <c r="H447" s="3"/>
      <c r="I447" s="3"/>
      <c r="J447" s="3"/>
      <c r="K447" s="3"/>
      <c r="L447" s="3">
        <f t="shared" si="29"/>
        <v>0</v>
      </c>
      <c r="M447" s="3">
        <f t="shared" si="30"/>
        <v>0</v>
      </c>
      <c r="N447" s="3"/>
      <c r="O447" s="3"/>
      <c r="P447" s="3"/>
      <c r="Q447" s="3"/>
      <c r="R447" s="3"/>
    </row>
    <row r="448" spans="1:18" x14ac:dyDescent="0.25">
      <c r="A448" s="2">
        <v>46171</v>
      </c>
      <c r="B448" s="3" t="s">
        <v>48</v>
      </c>
      <c r="C448" s="3" t="s">
        <v>64</v>
      </c>
      <c r="D448" s="11" t="s">
        <v>749</v>
      </c>
      <c r="E448" s="3">
        <v>140</v>
      </c>
      <c r="F448" s="3" t="s">
        <v>172</v>
      </c>
      <c r="G448" s="4">
        <f t="shared" si="28"/>
        <v>140</v>
      </c>
      <c r="H448" s="3"/>
      <c r="I448" s="3"/>
      <c r="J448" s="3"/>
      <c r="K448" s="3"/>
      <c r="L448" s="3">
        <f t="shared" si="29"/>
        <v>0</v>
      </c>
      <c r="M448" s="3">
        <f t="shared" si="30"/>
        <v>0</v>
      </c>
      <c r="N448" s="3"/>
      <c r="O448" s="3"/>
      <c r="P448" s="3"/>
      <c r="Q448" s="3"/>
      <c r="R448" s="3"/>
    </row>
    <row r="449" spans="1:18" x14ac:dyDescent="0.25">
      <c r="A449" s="2">
        <v>46171</v>
      </c>
      <c r="B449" s="3" t="s">
        <v>48</v>
      </c>
      <c r="C449" s="3" t="s">
        <v>73</v>
      </c>
      <c r="D449" s="11" t="s">
        <v>750</v>
      </c>
      <c r="E449" s="3">
        <v>20</v>
      </c>
      <c r="F449" s="3" t="s">
        <v>172</v>
      </c>
      <c r="G449" s="4">
        <f t="shared" si="28"/>
        <v>20</v>
      </c>
      <c r="H449" s="3"/>
      <c r="I449" s="3"/>
      <c r="J449" s="3"/>
      <c r="K449" s="3"/>
      <c r="L449" s="3">
        <f t="shared" si="29"/>
        <v>0</v>
      </c>
      <c r="M449" s="3">
        <f t="shared" si="30"/>
        <v>0</v>
      </c>
      <c r="N449" s="3"/>
      <c r="O449" s="3"/>
      <c r="P449" s="3"/>
      <c r="Q449" s="3"/>
      <c r="R449" s="3"/>
    </row>
    <row r="450" spans="1:18" x14ac:dyDescent="0.25">
      <c r="A450" s="2">
        <v>46171</v>
      </c>
      <c r="B450" s="3" t="s">
        <v>48</v>
      </c>
      <c r="C450" s="3" t="s">
        <v>70</v>
      </c>
      <c r="D450" s="11" t="s">
        <v>751</v>
      </c>
      <c r="E450" s="3">
        <v>7</v>
      </c>
      <c r="F450" s="3" t="s">
        <v>172</v>
      </c>
      <c r="G450" s="4">
        <f t="shared" si="28"/>
        <v>7</v>
      </c>
      <c r="H450" s="3"/>
      <c r="I450" s="3"/>
      <c r="J450" s="3"/>
      <c r="K450" s="3"/>
      <c r="L450" s="3">
        <f t="shared" si="29"/>
        <v>0</v>
      </c>
      <c r="M450" s="3">
        <f t="shared" si="30"/>
        <v>0</v>
      </c>
      <c r="N450" s="3"/>
      <c r="O450" s="3"/>
      <c r="P450" s="3"/>
      <c r="Q450" s="3"/>
      <c r="R450" s="3"/>
    </row>
    <row r="451" spans="1:18" x14ac:dyDescent="0.25">
      <c r="A451" s="2">
        <v>46172</v>
      </c>
      <c r="B451" s="3" t="s">
        <v>289</v>
      </c>
      <c r="C451" s="3" t="s">
        <v>73</v>
      </c>
      <c r="D451" s="11" t="s">
        <v>752</v>
      </c>
      <c r="E451" s="3">
        <v>7500</v>
      </c>
      <c r="F451" s="3" t="s">
        <v>172</v>
      </c>
      <c r="G451" s="4">
        <f t="shared" si="28"/>
        <v>7500</v>
      </c>
      <c r="H451" s="3"/>
      <c r="I451" s="3"/>
      <c r="J451" s="3"/>
      <c r="K451" s="3"/>
      <c r="L451" s="3">
        <f t="shared" si="29"/>
        <v>0</v>
      </c>
      <c r="M451" s="3">
        <f t="shared" si="30"/>
        <v>0</v>
      </c>
      <c r="N451" s="3"/>
      <c r="O451" s="3"/>
      <c r="P451" s="3"/>
      <c r="Q451" s="3"/>
      <c r="R451" s="3"/>
    </row>
    <row r="452" spans="1:18" x14ac:dyDescent="0.25">
      <c r="A452" s="2">
        <v>46150</v>
      </c>
      <c r="B452" s="3" t="s">
        <v>290</v>
      </c>
      <c r="C452" s="3" t="s">
        <v>56</v>
      </c>
      <c r="D452" s="11" t="s">
        <v>753</v>
      </c>
      <c r="E452" s="3">
        <v>591</v>
      </c>
      <c r="F452" s="3" t="s">
        <v>172</v>
      </c>
      <c r="G452" s="4">
        <f t="shared" si="28"/>
        <v>591</v>
      </c>
      <c r="H452" s="3"/>
      <c r="I452" s="3"/>
      <c r="J452" s="3"/>
      <c r="K452" s="3"/>
      <c r="L452" s="3">
        <f t="shared" si="29"/>
        <v>0</v>
      </c>
      <c r="M452" s="3">
        <f t="shared" si="30"/>
        <v>0</v>
      </c>
      <c r="N452" s="3"/>
      <c r="O452" s="3"/>
      <c r="P452" s="3"/>
      <c r="Q452" s="3"/>
      <c r="R452" s="3"/>
    </row>
    <row r="453" spans="1:18" x14ac:dyDescent="0.25">
      <c r="A453" s="175">
        <v>46154</v>
      </c>
      <c r="B453" s="3" t="s">
        <v>290</v>
      </c>
      <c r="C453" s="3" t="s">
        <v>56</v>
      </c>
      <c r="D453" s="11" t="s">
        <v>754</v>
      </c>
      <c r="E453" s="3">
        <v>323.25</v>
      </c>
      <c r="F453" s="3" t="s">
        <v>172</v>
      </c>
      <c r="G453" s="4">
        <f t="shared" si="28"/>
        <v>323.25</v>
      </c>
      <c r="H453" s="3"/>
      <c r="I453" s="3"/>
      <c r="J453" s="3"/>
      <c r="K453" s="3"/>
      <c r="L453" s="3">
        <f t="shared" si="29"/>
        <v>0</v>
      </c>
      <c r="M453" s="3">
        <f t="shared" si="30"/>
        <v>0</v>
      </c>
      <c r="N453" s="3"/>
      <c r="O453" s="3"/>
      <c r="P453" s="3"/>
      <c r="Q453" s="3"/>
      <c r="R453" s="3"/>
    </row>
    <row r="454" spans="1:18" x14ac:dyDescent="0.25">
      <c r="A454" s="175">
        <v>46154</v>
      </c>
      <c r="B454" s="3" t="s">
        <v>290</v>
      </c>
      <c r="C454" s="3" t="s">
        <v>56</v>
      </c>
      <c r="D454" s="11" t="s">
        <v>755</v>
      </c>
      <c r="E454" s="3">
        <v>591.5</v>
      </c>
      <c r="F454" s="3" t="s">
        <v>172</v>
      </c>
      <c r="G454" s="4">
        <f t="shared" si="28"/>
        <v>591.5</v>
      </c>
      <c r="H454" s="3"/>
      <c r="I454" s="3"/>
      <c r="J454" s="3"/>
      <c r="K454" s="3"/>
      <c r="L454" s="3">
        <f t="shared" si="29"/>
        <v>0</v>
      </c>
      <c r="M454" s="3">
        <f t="shared" si="30"/>
        <v>0</v>
      </c>
      <c r="N454" s="3"/>
      <c r="O454" s="3"/>
      <c r="P454" s="3"/>
      <c r="Q454" s="3"/>
      <c r="R454" s="3"/>
    </row>
    <row r="455" spans="1:18" x14ac:dyDescent="0.25">
      <c r="A455" s="175">
        <v>46155</v>
      </c>
      <c r="B455" s="3" t="s">
        <v>290</v>
      </c>
      <c r="C455" s="3" t="s">
        <v>56</v>
      </c>
      <c r="D455" s="11" t="s">
        <v>756</v>
      </c>
      <c r="E455" s="3">
        <v>1451.5</v>
      </c>
      <c r="F455" s="3" t="s">
        <v>172</v>
      </c>
      <c r="G455" s="4">
        <f t="shared" si="28"/>
        <v>1451.5</v>
      </c>
      <c r="H455" s="3"/>
      <c r="I455" s="3"/>
      <c r="J455" s="3"/>
      <c r="K455" s="3"/>
      <c r="L455" s="3">
        <f t="shared" si="29"/>
        <v>0</v>
      </c>
      <c r="M455" s="3">
        <f t="shared" si="30"/>
        <v>0</v>
      </c>
      <c r="N455" s="3"/>
      <c r="O455" s="3"/>
      <c r="P455" s="3"/>
      <c r="Q455" s="3"/>
      <c r="R455" s="3"/>
    </row>
    <row r="456" spans="1:18" x14ac:dyDescent="0.25">
      <c r="A456" s="175">
        <v>46162</v>
      </c>
      <c r="B456" s="3" t="s">
        <v>290</v>
      </c>
      <c r="C456" s="3" t="s">
        <v>56</v>
      </c>
      <c r="D456" s="11" t="s">
        <v>757</v>
      </c>
      <c r="E456" s="3">
        <v>295.75</v>
      </c>
      <c r="F456" s="3" t="s">
        <v>172</v>
      </c>
      <c r="G456" s="4">
        <f t="shared" si="28"/>
        <v>295.75</v>
      </c>
      <c r="H456" s="3"/>
      <c r="I456" s="3"/>
      <c r="J456" s="3"/>
      <c r="K456" s="3"/>
      <c r="L456" s="3">
        <f t="shared" si="29"/>
        <v>0</v>
      </c>
      <c r="M456" s="3">
        <f t="shared" si="30"/>
        <v>0</v>
      </c>
      <c r="N456" s="3"/>
      <c r="O456" s="3"/>
      <c r="P456" s="3"/>
      <c r="Q456" s="3"/>
      <c r="R456" s="3"/>
    </row>
    <row r="457" spans="1:18" x14ac:dyDescent="0.25">
      <c r="A457" s="175">
        <v>46163</v>
      </c>
      <c r="B457" s="3" t="s">
        <v>290</v>
      </c>
      <c r="C457" s="3" t="s">
        <v>56</v>
      </c>
      <c r="D457" s="11" t="s">
        <v>758</v>
      </c>
      <c r="E457" s="3">
        <v>652</v>
      </c>
      <c r="F457" s="3" t="s">
        <v>172</v>
      </c>
      <c r="G457" s="4">
        <f t="shared" si="28"/>
        <v>652</v>
      </c>
      <c r="H457" s="3"/>
      <c r="I457" s="3"/>
      <c r="J457" s="3"/>
      <c r="K457" s="3"/>
      <c r="L457" s="3">
        <f t="shared" si="29"/>
        <v>0</v>
      </c>
      <c r="M457" s="3">
        <f t="shared" si="30"/>
        <v>0</v>
      </c>
      <c r="N457" s="3"/>
      <c r="O457" s="3"/>
      <c r="P457" s="3"/>
      <c r="Q457" s="3"/>
      <c r="R457" s="3"/>
    </row>
    <row r="458" spans="1:18" x14ac:dyDescent="0.25">
      <c r="A458" s="175">
        <v>46172</v>
      </c>
      <c r="B458" s="3" t="s">
        <v>290</v>
      </c>
      <c r="C458" s="3" t="s">
        <v>55</v>
      </c>
      <c r="D458" s="11" t="s">
        <v>759</v>
      </c>
      <c r="E458" s="3">
        <v>564</v>
      </c>
      <c r="F458" s="3" t="s">
        <v>172</v>
      </c>
      <c r="G458" s="4">
        <f t="shared" si="28"/>
        <v>564</v>
      </c>
      <c r="H458" s="3"/>
      <c r="I458" s="3"/>
      <c r="J458" s="3"/>
      <c r="K458" s="3"/>
      <c r="L458" s="3">
        <f t="shared" si="29"/>
        <v>0</v>
      </c>
      <c r="M458" s="3">
        <f t="shared" si="30"/>
        <v>0</v>
      </c>
      <c r="N458" s="3"/>
      <c r="O458" s="3"/>
      <c r="P458" s="3"/>
      <c r="Q458" s="3"/>
      <c r="R458" s="3"/>
    </row>
    <row r="459" spans="1:18" x14ac:dyDescent="0.25">
      <c r="A459" s="175">
        <v>46172</v>
      </c>
      <c r="B459" s="3" t="s">
        <v>48</v>
      </c>
      <c r="C459" s="3" t="s">
        <v>93</v>
      </c>
      <c r="D459" s="11" t="s">
        <v>760</v>
      </c>
      <c r="E459" s="3">
        <v>546</v>
      </c>
      <c r="F459" s="3" t="s">
        <v>172</v>
      </c>
      <c r="G459" s="4">
        <f t="shared" si="28"/>
        <v>546</v>
      </c>
      <c r="H459" s="3"/>
      <c r="I459" s="3"/>
      <c r="J459" s="3"/>
      <c r="K459" s="3"/>
      <c r="L459" s="3">
        <f t="shared" si="29"/>
        <v>0</v>
      </c>
      <c r="M459" s="3">
        <f t="shared" si="30"/>
        <v>0</v>
      </c>
      <c r="N459" s="3"/>
      <c r="O459" s="3"/>
      <c r="P459" s="3"/>
      <c r="Q459" s="3"/>
      <c r="R459" s="3"/>
    </row>
    <row r="460" spans="1:18" x14ac:dyDescent="0.25">
      <c r="A460" s="175">
        <v>46172</v>
      </c>
      <c r="B460" s="3" t="s">
        <v>48</v>
      </c>
      <c r="C460" s="3" t="s">
        <v>91</v>
      </c>
      <c r="D460" s="11" t="s">
        <v>761</v>
      </c>
      <c r="E460" s="3">
        <v>655656</v>
      </c>
      <c r="F460" s="3" t="s">
        <v>172</v>
      </c>
      <c r="G460" s="4">
        <f t="shared" si="28"/>
        <v>655656</v>
      </c>
      <c r="H460" s="3"/>
      <c r="I460" s="3"/>
      <c r="J460" s="3"/>
      <c r="K460" s="3"/>
      <c r="L460" s="3">
        <f t="shared" si="29"/>
        <v>0</v>
      </c>
      <c r="M460" s="3">
        <f t="shared" si="30"/>
        <v>0</v>
      </c>
      <c r="N460" s="3"/>
      <c r="O460" s="3"/>
      <c r="P460" s="3"/>
      <c r="Q460" s="3"/>
      <c r="R460" s="3"/>
    </row>
    <row r="461" spans="1:18" x14ac:dyDescent="0.25">
      <c r="A461" s="175">
        <v>46172</v>
      </c>
      <c r="B461" s="3" t="s">
        <v>48</v>
      </c>
      <c r="C461" s="3" t="s">
        <v>82</v>
      </c>
      <c r="D461" s="11" t="s">
        <v>762</v>
      </c>
      <c r="E461" s="3">
        <v>467.25</v>
      </c>
      <c r="F461" s="3" t="s">
        <v>172</v>
      </c>
      <c r="G461" s="4">
        <f t="shared" si="28"/>
        <v>467.25</v>
      </c>
      <c r="H461" s="3"/>
      <c r="I461" s="3"/>
      <c r="J461" s="3"/>
      <c r="K461" s="3"/>
      <c r="L461" s="3">
        <f t="shared" si="29"/>
        <v>0</v>
      </c>
      <c r="M461" s="3">
        <f t="shared" si="30"/>
        <v>0</v>
      </c>
      <c r="N461" s="3"/>
      <c r="O461" s="3"/>
      <c r="P461" s="3"/>
      <c r="Q461" s="3"/>
      <c r="R461" s="3"/>
    </row>
    <row r="462" spans="1:18" x14ac:dyDescent="0.25">
      <c r="A462" s="175">
        <v>46172</v>
      </c>
      <c r="B462" s="3" t="s">
        <v>48</v>
      </c>
      <c r="C462" s="3" t="s">
        <v>64</v>
      </c>
      <c r="D462" s="11" t="s">
        <v>763</v>
      </c>
      <c r="E462" s="3">
        <v>140</v>
      </c>
      <c r="F462" s="3" t="s">
        <v>172</v>
      </c>
      <c r="G462" s="4">
        <f t="shared" si="28"/>
        <v>140</v>
      </c>
      <c r="H462" s="3"/>
      <c r="I462" s="3"/>
      <c r="J462" s="3"/>
      <c r="K462" s="3"/>
      <c r="L462" s="3">
        <f t="shared" si="29"/>
        <v>0</v>
      </c>
      <c r="M462" s="3">
        <f t="shared" si="30"/>
        <v>0</v>
      </c>
      <c r="N462" s="3"/>
      <c r="O462" s="3"/>
      <c r="P462" s="3"/>
      <c r="Q462" s="3"/>
      <c r="R462" s="3"/>
    </row>
    <row r="463" spans="1:18" x14ac:dyDescent="0.25">
      <c r="A463" s="175">
        <v>46172</v>
      </c>
      <c r="B463" s="3" t="s">
        <v>48</v>
      </c>
      <c r="C463" s="3" t="s">
        <v>73</v>
      </c>
      <c r="D463" s="11" t="s">
        <v>764</v>
      </c>
      <c r="E463" s="3">
        <v>21</v>
      </c>
      <c r="F463" s="3" t="s">
        <v>172</v>
      </c>
      <c r="G463" s="4">
        <f t="shared" si="28"/>
        <v>21</v>
      </c>
      <c r="H463" s="3"/>
      <c r="I463" s="3"/>
      <c r="J463" s="3"/>
      <c r="K463" s="3"/>
      <c r="L463" s="3">
        <f t="shared" si="29"/>
        <v>0</v>
      </c>
      <c r="M463" s="3">
        <f t="shared" si="30"/>
        <v>0</v>
      </c>
      <c r="N463" s="3"/>
      <c r="O463" s="3"/>
      <c r="P463" s="3"/>
      <c r="Q463" s="3"/>
      <c r="R463" s="3"/>
    </row>
    <row r="464" spans="1:18" x14ac:dyDescent="0.25">
      <c r="A464" s="175">
        <v>46172</v>
      </c>
      <c r="B464" s="3" t="s">
        <v>48</v>
      </c>
      <c r="C464" s="3" t="s">
        <v>80</v>
      </c>
      <c r="D464" s="11" t="s">
        <v>765</v>
      </c>
      <c r="E464" s="3">
        <v>84.76</v>
      </c>
      <c r="F464" s="3">
        <f t="shared" si="31"/>
        <v>4.2380000000000004</v>
      </c>
      <c r="G464" s="4">
        <f t="shared" si="28"/>
        <v>88.998000000000005</v>
      </c>
      <c r="H464" s="3"/>
      <c r="I464" s="3"/>
      <c r="J464" s="3"/>
      <c r="K464" s="3"/>
      <c r="L464" s="3">
        <f t="shared" si="29"/>
        <v>0</v>
      </c>
      <c r="M464" s="3">
        <f t="shared" si="30"/>
        <v>0</v>
      </c>
      <c r="N464" s="3"/>
      <c r="O464" s="3"/>
      <c r="P464" s="3"/>
      <c r="Q464" s="3"/>
      <c r="R464" s="3"/>
    </row>
    <row r="465" spans="1:18" x14ac:dyDescent="0.25">
      <c r="A465" s="175">
        <v>46172</v>
      </c>
      <c r="B465" s="3" t="s">
        <v>48</v>
      </c>
      <c r="C465" s="3" t="s">
        <v>73</v>
      </c>
      <c r="D465" s="11" t="s">
        <v>766</v>
      </c>
      <c r="E465" s="3">
        <v>57</v>
      </c>
      <c r="F465" s="3" t="s">
        <v>172</v>
      </c>
      <c r="G465" s="4">
        <f t="shared" si="28"/>
        <v>57</v>
      </c>
      <c r="H465" s="3"/>
      <c r="I465" s="3"/>
      <c r="J465" s="3"/>
      <c r="K465" s="3"/>
      <c r="L465" s="3">
        <f t="shared" si="29"/>
        <v>0</v>
      </c>
      <c r="M465" s="3">
        <f t="shared" si="30"/>
        <v>0</v>
      </c>
      <c r="N465" s="3"/>
      <c r="O465" s="3"/>
      <c r="P465" s="3"/>
      <c r="Q465" s="3"/>
      <c r="R465" s="3"/>
    </row>
    <row r="466" spans="1:18" x14ac:dyDescent="0.25">
      <c r="A466" s="175">
        <v>46172</v>
      </c>
      <c r="B466" s="3" t="s">
        <v>48</v>
      </c>
      <c r="C466" s="3" t="s">
        <v>91</v>
      </c>
      <c r="D466" s="11" t="s">
        <v>767</v>
      </c>
      <c r="E466" s="3">
        <v>420</v>
      </c>
      <c r="F466" s="3" t="s">
        <v>172</v>
      </c>
      <c r="G466" s="4">
        <f t="shared" si="28"/>
        <v>420</v>
      </c>
      <c r="H466" s="3"/>
      <c r="I466" s="3"/>
      <c r="J466" s="3"/>
      <c r="K466" s="3"/>
      <c r="L466" s="3">
        <f t="shared" si="29"/>
        <v>0</v>
      </c>
      <c r="M466" s="3">
        <f t="shared" si="30"/>
        <v>0</v>
      </c>
      <c r="N466" s="3"/>
      <c r="O466" s="3"/>
      <c r="P466" s="3"/>
      <c r="Q466" s="3"/>
      <c r="R466" s="3"/>
    </row>
    <row r="467" spans="1:18" x14ac:dyDescent="0.25">
      <c r="A467" s="175">
        <v>46172</v>
      </c>
      <c r="B467" s="3" t="s">
        <v>48</v>
      </c>
      <c r="C467" s="3" t="s">
        <v>71</v>
      </c>
      <c r="D467" s="11" t="s">
        <v>768</v>
      </c>
      <c r="E467" s="3">
        <v>345</v>
      </c>
      <c r="F467" s="3" t="s">
        <v>172</v>
      </c>
      <c r="G467" s="4">
        <f t="shared" si="28"/>
        <v>345</v>
      </c>
      <c r="H467" s="3"/>
      <c r="I467" s="3"/>
      <c r="J467" s="3"/>
      <c r="K467" s="3"/>
      <c r="L467" s="3">
        <f t="shared" si="29"/>
        <v>0</v>
      </c>
      <c r="M467" s="3">
        <f t="shared" si="30"/>
        <v>0</v>
      </c>
      <c r="N467" s="3"/>
      <c r="O467" s="3"/>
      <c r="P467" s="3"/>
      <c r="Q467" s="3"/>
      <c r="R467" s="3"/>
    </row>
    <row r="468" spans="1:18" x14ac:dyDescent="0.25">
      <c r="A468" s="175">
        <v>46172</v>
      </c>
      <c r="B468" s="3" t="s">
        <v>48</v>
      </c>
      <c r="C468" s="3" t="s">
        <v>70</v>
      </c>
      <c r="D468" s="11" t="s">
        <v>769</v>
      </c>
      <c r="E468" s="3">
        <v>12</v>
      </c>
      <c r="F468" s="3" t="s">
        <v>172</v>
      </c>
      <c r="G468" s="4">
        <f t="shared" si="28"/>
        <v>12</v>
      </c>
      <c r="H468" s="3"/>
      <c r="I468" s="3"/>
      <c r="J468" s="3"/>
      <c r="K468" s="3"/>
      <c r="L468" s="3">
        <f t="shared" si="29"/>
        <v>0</v>
      </c>
      <c r="M468" s="3">
        <f t="shared" si="30"/>
        <v>0</v>
      </c>
      <c r="N468" s="3"/>
      <c r="O468" s="3"/>
      <c r="P468" s="3"/>
      <c r="Q468" s="3"/>
      <c r="R468" s="3"/>
    </row>
    <row r="469" spans="1:18" x14ac:dyDescent="0.25">
      <c r="A469" s="2">
        <v>46113</v>
      </c>
      <c r="B469" s="2" t="s">
        <v>48</v>
      </c>
      <c r="C469" s="3" t="s">
        <v>93</v>
      </c>
      <c r="D469" s="11" t="s">
        <v>770</v>
      </c>
      <c r="E469" s="3">
        <v>1800</v>
      </c>
      <c r="F469" s="3" t="s">
        <v>172</v>
      </c>
      <c r="G469" s="4">
        <f t="shared" si="28"/>
        <v>1800</v>
      </c>
      <c r="H469" s="3"/>
      <c r="I469" s="3"/>
      <c r="J469" s="3"/>
      <c r="K469" s="3"/>
      <c r="L469" s="3">
        <f t="shared" si="29"/>
        <v>0</v>
      </c>
      <c r="M469" s="3">
        <f t="shared" si="30"/>
        <v>0</v>
      </c>
      <c r="N469" s="3"/>
      <c r="O469" s="3"/>
      <c r="P469" s="3"/>
      <c r="Q469" s="3"/>
      <c r="R469" s="3"/>
    </row>
    <row r="470" spans="1:18" x14ac:dyDescent="0.25">
      <c r="A470" s="2">
        <v>46113</v>
      </c>
      <c r="B470" s="2" t="s">
        <v>48</v>
      </c>
      <c r="C470" s="3" t="s">
        <v>71</v>
      </c>
      <c r="D470" s="11" t="s">
        <v>771</v>
      </c>
      <c r="E470" s="3">
        <v>50</v>
      </c>
      <c r="F470" s="3" t="s">
        <v>172</v>
      </c>
      <c r="G470" s="4">
        <f t="shared" si="28"/>
        <v>50</v>
      </c>
      <c r="H470" s="3"/>
      <c r="I470" s="3"/>
      <c r="J470" s="3"/>
      <c r="K470" s="3"/>
      <c r="L470" s="3">
        <f t="shared" si="29"/>
        <v>0</v>
      </c>
      <c r="M470" s="3">
        <f t="shared" si="30"/>
        <v>0</v>
      </c>
      <c r="N470" s="3"/>
      <c r="O470" s="3"/>
      <c r="P470" s="3"/>
      <c r="Q470" s="3"/>
      <c r="R470" s="3"/>
    </row>
    <row r="471" spans="1:18" x14ac:dyDescent="0.25">
      <c r="A471" s="2">
        <v>46113</v>
      </c>
      <c r="B471" s="2" t="s">
        <v>48</v>
      </c>
      <c r="C471" s="3" t="s">
        <v>73</v>
      </c>
      <c r="D471" s="11" t="s">
        <v>772</v>
      </c>
      <c r="E471" s="3">
        <v>234</v>
      </c>
      <c r="F471" s="3" t="s">
        <v>172</v>
      </c>
      <c r="G471" s="4">
        <f t="shared" si="28"/>
        <v>234</v>
      </c>
      <c r="H471" s="3"/>
      <c r="I471" s="3"/>
      <c r="J471" s="3"/>
      <c r="K471" s="3"/>
      <c r="L471" s="3">
        <f t="shared" si="29"/>
        <v>0</v>
      </c>
      <c r="M471" s="3">
        <f t="shared" si="30"/>
        <v>0</v>
      </c>
      <c r="N471" s="3"/>
      <c r="O471" s="3"/>
      <c r="P471" s="3"/>
      <c r="Q471" s="3"/>
      <c r="R471" s="3"/>
    </row>
    <row r="472" spans="1:18" x14ac:dyDescent="0.25">
      <c r="A472" s="2">
        <v>46113</v>
      </c>
      <c r="B472" s="2" t="s">
        <v>48</v>
      </c>
      <c r="C472" s="3" t="s">
        <v>73</v>
      </c>
      <c r="D472" s="11" t="s">
        <v>773</v>
      </c>
      <c r="E472" s="3">
        <v>16060</v>
      </c>
      <c r="F472" s="3" t="s">
        <v>172</v>
      </c>
      <c r="G472" s="4">
        <f t="shared" si="28"/>
        <v>16060</v>
      </c>
      <c r="H472" s="3"/>
      <c r="I472" s="3"/>
      <c r="J472" s="3"/>
      <c r="K472" s="3"/>
      <c r="L472" s="3">
        <f t="shared" si="29"/>
        <v>0</v>
      </c>
      <c r="M472" s="3">
        <f t="shared" si="30"/>
        <v>0</v>
      </c>
      <c r="N472" s="3"/>
      <c r="O472" s="3"/>
      <c r="P472" s="3"/>
      <c r="Q472" s="3"/>
      <c r="R472" s="3"/>
    </row>
    <row r="473" spans="1:18" x14ac:dyDescent="0.25">
      <c r="A473" s="2">
        <v>46113</v>
      </c>
      <c r="B473" s="2" t="s">
        <v>48</v>
      </c>
      <c r="C473" s="3" t="s">
        <v>220</v>
      </c>
      <c r="D473" s="11" t="s">
        <v>774</v>
      </c>
      <c r="E473" s="3">
        <v>100000</v>
      </c>
      <c r="F473" s="3" t="s">
        <v>172</v>
      </c>
      <c r="G473" s="4">
        <f t="shared" si="28"/>
        <v>100000</v>
      </c>
      <c r="H473" s="3"/>
      <c r="I473" s="3"/>
      <c r="J473" s="3"/>
      <c r="K473" s="3"/>
      <c r="L473" s="3">
        <f t="shared" si="29"/>
        <v>0</v>
      </c>
      <c r="M473" s="3">
        <f t="shared" si="30"/>
        <v>0</v>
      </c>
      <c r="N473" s="3"/>
      <c r="O473" s="3"/>
      <c r="P473" s="3"/>
      <c r="Q473" s="3"/>
      <c r="R473" s="3"/>
    </row>
    <row r="474" spans="1:18" x14ac:dyDescent="0.25">
      <c r="A474" s="2">
        <v>46113</v>
      </c>
      <c r="B474" s="3" t="s">
        <v>48</v>
      </c>
      <c r="C474" s="3" t="s">
        <v>49</v>
      </c>
      <c r="D474" s="11" t="s">
        <v>775</v>
      </c>
      <c r="E474" s="3"/>
      <c r="F474" s="3">
        <f>E474*5%</f>
        <v>0</v>
      </c>
      <c r="G474" s="4">
        <f t="shared" si="28"/>
        <v>0</v>
      </c>
      <c r="H474" s="3"/>
      <c r="I474" s="3"/>
      <c r="J474" s="3"/>
      <c r="K474" s="3"/>
      <c r="L474" s="3">
        <f t="shared" si="29"/>
        <v>0</v>
      </c>
      <c r="M474" s="3">
        <f t="shared" si="30"/>
        <v>0</v>
      </c>
      <c r="N474" s="3">
        <v>2500</v>
      </c>
      <c r="O474" s="3"/>
      <c r="P474" s="3"/>
      <c r="Q474" s="3"/>
      <c r="R474" s="3"/>
    </row>
    <row r="475" spans="1:18" x14ac:dyDescent="0.25">
      <c r="A475" s="2">
        <v>46114</v>
      </c>
      <c r="B475" s="2" t="s">
        <v>48</v>
      </c>
      <c r="C475" s="3" t="s">
        <v>91</v>
      </c>
      <c r="D475" s="11" t="s">
        <v>776</v>
      </c>
      <c r="E475" s="3">
        <v>1100</v>
      </c>
      <c r="F475" s="3" t="s">
        <v>172</v>
      </c>
      <c r="G475" s="4">
        <f t="shared" si="28"/>
        <v>1100</v>
      </c>
      <c r="H475" s="3"/>
      <c r="I475" s="3"/>
      <c r="J475" s="3"/>
      <c r="K475" s="3"/>
      <c r="L475" s="3">
        <f t="shared" si="29"/>
        <v>0</v>
      </c>
      <c r="M475" s="3">
        <f t="shared" si="30"/>
        <v>0</v>
      </c>
      <c r="N475" s="3"/>
      <c r="O475" s="3"/>
      <c r="P475" s="3"/>
      <c r="Q475" s="3"/>
      <c r="R475" s="3"/>
    </row>
    <row r="476" spans="1:18" x14ac:dyDescent="0.25">
      <c r="A476" s="2">
        <v>46114</v>
      </c>
      <c r="B476" s="2" t="s">
        <v>48</v>
      </c>
      <c r="C476" s="3" t="s">
        <v>70</v>
      </c>
      <c r="D476" s="11" t="s">
        <v>777</v>
      </c>
      <c r="E476" s="3">
        <v>15</v>
      </c>
      <c r="F476" s="3" t="s">
        <v>172</v>
      </c>
      <c r="G476" s="4">
        <f t="shared" si="28"/>
        <v>15</v>
      </c>
      <c r="H476" s="3"/>
      <c r="I476" s="3"/>
      <c r="J476" s="3"/>
      <c r="K476" s="3"/>
      <c r="L476" s="3">
        <f t="shared" si="29"/>
        <v>0</v>
      </c>
      <c r="M476" s="3">
        <f t="shared" si="30"/>
        <v>0</v>
      </c>
      <c r="N476" s="3"/>
      <c r="O476" s="3"/>
      <c r="P476" s="3"/>
      <c r="Q476" s="3"/>
      <c r="R476" s="3"/>
    </row>
    <row r="477" spans="1:18" x14ac:dyDescent="0.25">
      <c r="A477" s="2">
        <v>46114</v>
      </c>
      <c r="B477" s="2" t="s">
        <v>48</v>
      </c>
      <c r="C477" s="3" t="s">
        <v>92</v>
      </c>
      <c r="D477" s="11" t="s">
        <v>778</v>
      </c>
      <c r="E477" s="3"/>
      <c r="F477" s="3">
        <f>E477*5%</f>
        <v>0</v>
      </c>
      <c r="G477" s="4">
        <f t="shared" si="28"/>
        <v>0</v>
      </c>
      <c r="H477" s="3"/>
      <c r="I477" s="3">
        <v>10020</v>
      </c>
      <c r="J477" s="3"/>
      <c r="K477" s="3"/>
      <c r="L477" s="3">
        <f t="shared" si="29"/>
        <v>0</v>
      </c>
      <c r="M477" s="3">
        <f t="shared" si="30"/>
        <v>0</v>
      </c>
      <c r="N477" s="3"/>
      <c r="O477" s="3"/>
      <c r="P477" s="3"/>
      <c r="Q477" s="3"/>
      <c r="R477" s="3"/>
    </row>
    <row r="478" spans="1:18" x14ac:dyDescent="0.25">
      <c r="A478" s="2">
        <v>46115</v>
      </c>
      <c r="B478" s="2" t="s">
        <v>48</v>
      </c>
      <c r="C478" s="3" t="s">
        <v>70</v>
      </c>
      <c r="D478" s="11" t="s">
        <v>779</v>
      </c>
      <c r="E478" s="3">
        <v>14</v>
      </c>
      <c r="F478" s="3" t="s">
        <v>172</v>
      </c>
      <c r="G478" s="4">
        <f t="shared" si="28"/>
        <v>14</v>
      </c>
      <c r="H478" s="3"/>
      <c r="I478" s="3"/>
      <c r="J478" s="3"/>
      <c r="K478" s="3"/>
      <c r="L478" s="3">
        <f t="shared" si="29"/>
        <v>0</v>
      </c>
      <c r="M478" s="3">
        <f t="shared" si="30"/>
        <v>0</v>
      </c>
      <c r="N478" s="3"/>
      <c r="O478" s="3"/>
      <c r="P478" s="3"/>
      <c r="Q478" s="3"/>
      <c r="R478" s="3"/>
    </row>
    <row r="479" spans="1:18" x14ac:dyDescent="0.25">
      <c r="A479" s="2">
        <v>46115</v>
      </c>
      <c r="B479" s="2" t="s">
        <v>48</v>
      </c>
      <c r="C479" s="3" t="s">
        <v>91</v>
      </c>
      <c r="D479" s="11" t="s">
        <v>780</v>
      </c>
      <c r="E479" s="3">
        <v>153019</v>
      </c>
      <c r="F479" s="3" t="s">
        <v>172</v>
      </c>
      <c r="G479" s="4">
        <f t="shared" si="28"/>
        <v>153019</v>
      </c>
      <c r="H479" s="3"/>
      <c r="I479" s="3"/>
      <c r="J479" s="3"/>
      <c r="K479" s="3"/>
      <c r="L479" s="3">
        <f t="shared" si="29"/>
        <v>0</v>
      </c>
      <c r="M479" s="3">
        <f t="shared" si="30"/>
        <v>0</v>
      </c>
      <c r="N479" s="3"/>
      <c r="O479" s="3"/>
      <c r="P479" s="3"/>
      <c r="Q479" s="3"/>
      <c r="R479" s="3"/>
    </row>
    <row r="480" spans="1:18" x14ac:dyDescent="0.25">
      <c r="A480" s="2">
        <v>46115</v>
      </c>
      <c r="B480" s="2" t="s">
        <v>48</v>
      </c>
      <c r="C480" s="3" t="s">
        <v>82</v>
      </c>
      <c r="D480" s="11" t="s">
        <v>781</v>
      </c>
      <c r="E480" s="3">
        <v>451.5</v>
      </c>
      <c r="F480" s="3" t="s">
        <v>172</v>
      </c>
      <c r="G480" s="4">
        <f t="shared" si="28"/>
        <v>451.5</v>
      </c>
      <c r="H480" s="3"/>
      <c r="I480" s="3"/>
      <c r="J480" s="3"/>
      <c r="K480" s="3"/>
      <c r="L480" s="3">
        <f t="shared" si="29"/>
        <v>0</v>
      </c>
      <c r="M480" s="3">
        <f t="shared" si="30"/>
        <v>0</v>
      </c>
      <c r="N480" s="3"/>
      <c r="O480" s="3"/>
      <c r="P480" s="3"/>
      <c r="Q480" s="3"/>
      <c r="R480" s="3"/>
    </row>
    <row r="481" spans="1:18" x14ac:dyDescent="0.25">
      <c r="A481" s="2">
        <v>46116</v>
      </c>
      <c r="B481" s="2" t="s">
        <v>48</v>
      </c>
      <c r="C481" s="3" t="s">
        <v>64</v>
      </c>
      <c r="D481" s="11" t="s">
        <v>782</v>
      </c>
      <c r="E481" s="3">
        <v>100</v>
      </c>
      <c r="F481" s="3" t="s">
        <v>172</v>
      </c>
      <c r="G481" s="4">
        <f t="shared" si="28"/>
        <v>100</v>
      </c>
      <c r="H481" s="3"/>
      <c r="I481" s="3"/>
      <c r="J481" s="3"/>
      <c r="K481" s="3"/>
      <c r="L481" s="3">
        <f t="shared" si="29"/>
        <v>0</v>
      </c>
      <c r="M481" s="3">
        <f t="shared" si="30"/>
        <v>0</v>
      </c>
      <c r="N481" s="3"/>
      <c r="O481" s="3"/>
      <c r="P481" s="3"/>
      <c r="Q481" s="3"/>
      <c r="R481" s="3"/>
    </row>
    <row r="482" spans="1:18" x14ac:dyDescent="0.25">
      <c r="A482" s="2">
        <v>46116</v>
      </c>
      <c r="B482" s="3" t="s">
        <v>48</v>
      </c>
      <c r="C482" s="3" t="s">
        <v>71</v>
      </c>
      <c r="D482" s="11" t="s">
        <v>783</v>
      </c>
      <c r="E482" s="3">
        <v>350</v>
      </c>
      <c r="F482" s="3" t="s">
        <v>172</v>
      </c>
      <c r="G482" s="4">
        <f t="shared" si="28"/>
        <v>350</v>
      </c>
      <c r="H482" s="3"/>
      <c r="I482" s="3"/>
      <c r="J482" s="3"/>
      <c r="K482" s="3"/>
      <c r="L482" s="3">
        <f t="shared" si="29"/>
        <v>0</v>
      </c>
      <c r="M482" s="3">
        <f t="shared" si="30"/>
        <v>0</v>
      </c>
      <c r="N482" s="3"/>
      <c r="O482" s="3"/>
      <c r="P482" s="3"/>
      <c r="Q482" s="3"/>
      <c r="R482" s="3"/>
    </row>
    <row r="483" spans="1:18" x14ac:dyDescent="0.25">
      <c r="A483" s="2">
        <v>46116</v>
      </c>
      <c r="B483" s="3" t="s">
        <v>48</v>
      </c>
      <c r="C483" s="3" t="s">
        <v>81</v>
      </c>
      <c r="D483" s="11" t="s">
        <v>784</v>
      </c>
      <c r="E483" s="3">
        <v>500</v>
      </c>
      <c r="F483" s="3" t="s">
        <v>172</v>
      </c>
      <c r="G483" s="4">
        <f t="shared" si="28"/>
        <v>500</v>
      </c>
      <c r="H483" s="3"/>
      <c r="I483" s="3"/>
      <c r="J483" s="3"/>
      <c r="K483" s="3"/>
      <c r="L483" s="3">
        <f t="shared" si="29"/>
        <v>0</v>
      </c>
      <c r="M483" s="3">
        <f t="shared" si="30"/>
        <v>0</v>
      </c>
      <c r="N483" s="3"/>
      <c r="O483" s="3"/>
      <c r="P483" s="3"/>
      <c r="Q483" s="3"/>
      <c r="R483" s="3"/>
    </row>
    <row r="484" spans="1:18" x14ac:dyDescent="0.25">
      <c r="A484" s="2">
        <v>46116</v>
      </c>
      <c r="B484" s="3" t="s">
        <v>48</v>
      </c>
      <c r="C484" s="3" t="s">
        <v>90</v>
      </c>
      <c r="D484" s="11" t="s">
        <v>785</v>
      </c>
      <c r="E484" s="3"/>
      <c r="F484" s="3">
        <f>E484*5%</f>
        <v>0</v>
      </c>
      <c r="G484" s="4">
        <f t="shared" si="28"/>
        <v>0</v>
      </c>
      <c r="H484" s="3"/>
      <c r="I484" s="3"/>
      <c r="J484" s="3">
        <v>1000</v>
      </c>
      <c r="K484" s="3"/>
      <c r="L484" s="3">
        <f t="shared" si="29"/>
        <v>0</v>
      </c>
      <c r="M484" s="3">
        <f t="shared" si="30"/>
        <v>0</v>
      </c>
      <c r="N484" s="3"/>
      <c r="O484" s="3"/>
      <c r="P484" s="3"/>
      <c r="Q484" s="3"/>
      <c r="R484" s="3"/>
    </row>
    <row r="485" spans="1:18" x14ac:dyDescent="0.25">
      <c r="A485" s="2">
        <v>46116</v>
      </c>
      <c r="B485" s="2" t="s">
        <v>285</v>
      </c>
      <c r="C485" s="3" t="s">
        <v>81</v>
      </c>
      <c r="D485" s="11" t="s">
        <v>786</v>
      </c>
      <c r="E485" s="3">
        <v>500</v>
      </c>
      <c r="F485" s="3" t="s">
        <v>172</v>
      </c>
      <c r="G485" s="4">
        <f t="shared" si="28"/>
        <v>500</v>
      </c>
      <c r="H485" s="3"/>
      <c r="I485" s="3"/>
      <c r="J485" s="3"/>
      <c r="K485" s="3"/>
      <c r="L485" s="3">
        <f t="shared" si="29"/>
        <v>0</v>
      </c>
      <c r="M485" s="3">
        <f t="shared" si="30"/>
        <v>0</v>
      </c>
      <c r="N485" s="3"/>
      <c r="O485" s="3"/>
      <c r="P485" s="3"/>
      <c r="Q485" s="3"/>
      <c r="R485" s="3"/>
    </row>
    <row r="486" spans="1:18" x14ac:dyDescent="0.25">
      <c r="A486" s="2">
        <v>46116</v>
      </c>
      <c r="B486" s="3" t="s">
        <v>48</v>
      </c>
      <c r="C486" s="3" t="s">
        <v>64</v>
      </c>
      <c r="D486" s="11" t="s">
        <v>787</v>
      </c>
      <c r="E486" s="3">
        <v>100</v>
      </c>
      <c r="F486" s="3" t="s">
        <v>172</v>
      </c>
      <c r="G486" s="4">
        <f t="shared" si="28"/>
        <v>100</v>
      </c>
      <c r="H486" s="3"/>
      <c r="I486" s="3"/>
      <c r="J486" s="3"/>
      <c r="K486" s="3"/>
      <c r="L486" s="3">
        <f t="shared" si="29"/>
        <v>0</v>
      </c>
      <c r="M486" s="3">
        <f t="shared" si="30"/>
        <v>0</v>
      </c>
      <c r="N486" s="3"/>
      <c r="O486" s="3"/>
      <c r="P486" s="3"/>
      <c r="Q486" s="3"/>
      <c r="R486" s="3"/>
    </row>
    <row r="487" spans="1:18" x14ac:dyDescent="0.25">
      <c r="A487" s="2">
        <v>46116</v>
      </c>
      <c r="B487" s="3" t="s">
        <v>48</v>
      </c>
      <c r="C487" s="3" t="s">
        <v>71</v>
      </c>
      <c r="D487" s="11" t="s">
        <v>788</v>
      </c>
      <c r="E487" s="3">
        <v>30</v>
      </c>
      <c r="F487" s="3" t="s">
        <v>172</v>
      </c>
      <c r="G487" s="4">
        <f t="shared" si="28"/>
        <v>30</v>
      </c>
      <c r="H487" s="3"/>
      <c r="I487" s="3"/>
      <c r="J487" s="3"/>
      <c r="K487" s="3"/>
      <c r="L487" s="3">
        <f t="shared" si="29"/>
        <v>0</v>
      </c>
      <c r="M487" s="3">
        <f t="shared" si="30"/>
        <v>0</v>
      </c>
      <c r="N487" s="3"/>
      <c r="O487" s="3"/>
      <c r="P487" s="3"/>
      <c r="Q487" s="3"/>
      <c r="R487" s="3"/>
    </row>
    <row r="488" spans="1:18" x14ac:dyDescent="0.25">
      <c r="A488" s="2">
        <v>46118</v>
      </c>
      <c r="B488" s="2" t="s">
        <v>285</v>
      </c>
      <c r="C488" s="3" t="s">
        <v>75</v>
      </c>
      <c r="D488" s="11" t="s">
        <v>789</v>
      </c>
      <c r="E488" s="3">
        <v>685</v>
      </c>
      <c r="F488" s="3" t="s">
        <v>172</v>
      </c>
      <c r="G488" s="4">
        <f t="shared" si="28"/>
        <v>685</v>
      </c>
      <c r="H488" s="3"/>
      <c r="I488" s="3"/>
      <c r="J488" s="3"/>
      <c r="K488" s="3"/>
      <c r="L488" s="3">
        <f t="shared" si="29"/>
        <v>0</v>
      </c>
      <c r="M488" s="3">
        <f t="shared" si="30"/>
        <v>0</v>
      </c>
      <c r="N488" s="3"/>
      <c r="O488" s="3"/>
      <c r="P488" s="3"/>
      <c r="Q488" s="3"/>
      <c r="R488" s="3"/>
    </row>
    <row r="489" spans="1:18" x14ac:dyDescent="0.25">
      <c r="A489" s="2">
        <v>46118</v>
      </c>
      <c r="B489" s="3" t="s">
        <v>48</v>
      </c>
      <c r="C489" s="3" t="s">
        <v>70</v>
      </c>
      <c r="D489" s="11" t="s">
        <v>790</v>
      </c>
      <c r="E489" s="3">
        <v>27.75</v>
      </c>
      <c r="F489" s="3" t="s">
        <v>172</v>
      </c>
      <c r="G489" s="4">
        <f t="shared" si="28"/>
        <v>27.75</v>
      </c>
      <c r="H489" s="3"/>
      <c r="I489" s="3"/>
      <c r="J489" s="3"/>
      <c r="K489" s="3"/>
      <c r="L489" s="3">
        <f t="shared" si="29"/>
        <v>0</v>
      </c>
      <c r="M489" s="3">
        <f t="shared" si="30"/>
        <v>0</v>
      </c>
      <c r="N489" s="3"/>
      <c r="O489" s="3"/>
      <c r="P489" s="3"/>
      <c r="Q489" s="3"/>
      <c r="R489" s="3"/>
    </row>
    <row r="490" spans="1:18" x14ac:dyDescent="0.25">
      <c r="A490" s="2">
        <v>46118</v>
      </c>
      <c r="B490" s="3" t="s">
        <v>48</v>
      </c>
      <c r="C490" s="3" t="s">
        <v>49</v>
      </c>
      <c r="D490" s="11" t="s">
        <v>791</v>
      </c>
      <c r="E490" s="3">
        <v>18</v>
      </c>
      <c r="F490" s="3">
        <f>E490*5%</f>
        <v>0.9</v>
      </c>
      <c r="G490" s="234">
        <f t="shared" si="28"/>
        <v>18.899999999999999</v>
      </c>
      <c r="H490" s="3"/>
      <c r="I490" s="3"/>
      <c r="J490" s="3"/>
      <c r="K490" s="3"/>
      <c r="L490" s="3">
        <f t="shared" si="29"/>
        <v>0</v>
      </c>
      <c r="M490" s="3">
        <f t="shared" si="30"/>
        <v>0</v>
      </c>
      <c r="N490" s="3"/>
      <c r="O490" s="3"/>
      <c r="P490" s="3"/>
      <c r="Q490" s="3"/>
      <c r="R490" s="3"/>
    </row>
    <row r="491" spans="1:18" x14ac:dyDescent="0.25">
      <c r="A491" s="2">
        <v>46119</v>
      </c>
      <c r="B491" s="3" t="s">
        <v>48</v>
      </c>
      <c r="C491" s="3" t="s">
        <v>70</v>
      </c>
      <c r="D491" s="11" t="s">
        <v>792</v>
      </c>
      <c r="E491" s="3">
        <v>70</v>
      </c>
      <c r="F491" s="3" t="s">
        <v>172</v>
      </c>
      <c r="G491" s="4">
        <f t="shared" si="28"/>
        <v>70</v>
      </c>
      <c r="H491" s="3"/>
      <c r="I491" s="3"/>
      <c r="J491" s="3"/>
      <c r="K491" s="3"/>
      <c r="L491" s="3">
        <f t="shared" si="29"/>
        <v>0</v>
      </c>
      <c r="M491" s="3">
        <f t="shared" si="30"/>
        <v>0</v>
      </c>
      <c r="N491" s="3"/>
      <c r="O491" s="3"/>
      <c r="P491" s="3"/>
      <c r="Q491" s="3"/>
      <c r="R491" s="3"/>
    </row>
    <row r="492" spans="1:18" x14ac:dyDescent="0.25">
      <c r="A492" s="2">
        <v>46119</v>
      </c>
      <c r="B492" s="3" t="s">
        <v>48</v>
      </c>
      <c r="C492" s="3" t="s">
        <v>91</v>
      </c>
      <c r="D492" s="11" t="s">
        <v>793</v>
      </c>
      <c r="E492" s="3">
        <v>2000</v>
      </c>
      <c r="F492" s="3" t="s">
        <v>172</v>
      </c>
      <c r="G492" s="4">
        <f t="shared" si="28"/>
        <v>2000</v>
      </c>
      <c r="H492" s="3"/>
      <c r="I492" s="3"/>
      <c r="J492" s="3"/>
      <c r="K492" s="3"/>
      <c r="L492" s="3">
        <f t="shared" si="29"/>
        <v>0</v>
      </c>
      <c r="M492" s="3">
        <f t="shared" si="30"/>
        <v>0</v>
      </c>
      <c r="N492" s="3"/>
      <c r="O492" s="3"/>
      <c r="P492" s="3"/>
      <c r="Q492" s="3"/>
      <c r="R492" s="3"/>
    </row>
    <row r="493" spans="1:18" x14ac:dyDescent="0.25">
      <c r="A493" s="2">
        <v>46119</v>
      </c>
      <c r="B493" s="3" t="s">
        <v>48</v>
      </c>
      <c r="C493" s="3" t="s">
        <v>73</v>
      </c>
      <c r="D493" s="11" t="s">
        <v>794</v>
      </c>
      <c r="E493" s="3">
        <v>21</v>
      </c>
      <c r="F493" s="3" t="s">
        <v>172</v>
      </c>
      <c r="G493" s="4">
        <f t="shared" si="28"/>
        <v>21</v>
      </c>
      <c r="H493" s="3"/>
      <c r="I493" s="3"/>
      <c r="J493" s="3"/>
      <c r="K493" s="3"/>
      <c r="L493" s="3">
        <f t="shared" si="29"/>
        <v>0</v>
      </c>
      <c r="M493" s="3">
        <f t="shared" si="30"/>
        <v>0</v>
      </c>
      <c r="N493" s="3"/>
      <c r="O493" s="3"/>
      <c r="P493" s="3"/>
      <c r="Q493" s="3"/>
      <c r="R493" s="3"/>
    </row>
    <row r="494" spans="1:18" x14ac:dyDescent="0.25">
      <c r="A494" s="2">
        <v>46119</v>
      </c>
      <c r="B494" s="3" t="s">
        <v>48</v>
      </c>
      <c r="C494" s="3" t="s">
        <v>68</v>
      </c>
      <c r="D494" s="11" t="s">
        <v>795</v>
      </c>
      <c r="E494" s="3">
        <v>14.29</v>
      </c>
      <c r="F494" s="3">
        <f>E494*5%</f>
        <v>0.71450000000000002</v>
      </c>
      <c r="G494" s="4">
        <f t="shared" si="28"/>
        <v>15.004499999999998</v>
      </c>
      <c r="H494" s="3"/>
      <c r="I494" s="3"/>
      <c r="J494" s="3"/>
      <c r="K494" s="3"/>
      <c r="L494" s="3">
        <f t="shared" si="29"/>
        <v>0</v>
      </c>
      <c r="M494" s="3">
        <f t="shared" si="30"/>
        <v>0</v>
      </c>
      <c r="N494" s="3"/>
      <c r="O494" s="3"/>
      <c r="P494" s="3"/>
      <c r="Q494" s="3"/>
      <c r="R494" s="3"/>
    </row>
    <row r="495" spans="1:18" x14ac:dyDescent="0.25">
      <c r="A495" s="2">
        <v>46120</v>
      </c>
      <c r="B495" s="3" t="s">
        <v>48</v>
      </c>
      <c r="C495" s="3" t="s">
        <v>70</v>
      </c>
      <c r="D495" s="11" t="s">
        <v>796</v>
      </c>
      <c r="E495" s="3">
        <v>21</v>
      </c>
      <c r="F495" s="3" t="s">
        <v>172</v>
      </c>
      <c r="G495" s="4">
        <f t="shared" si="28"/>
        <v>21</v>
      </c>
      <c r="H495" s="3"/>
      <c r="I495" s="3"/>
      <c r="J495" s="3"/>
      <c r="K495" s="3"/>
      <c r="L495" s="3">
        <f t="shared" si="29"/>
        <v>0</v>
      </c>
      <c r="M495" s="3">
        <f t="shared" si="30"/>
        <v>0</v>
      </c>
      <c r="N495" s="3"/>
      <c r="O495" s="3"/>
      <c r="P495" s="3"/>
      <c r="Q495" s="3"/>
      <c r="R495" s="3"/>
    </row>
    <row r="496" spans="1:18" x14ac:dyDescent="0.25">
      <c r="A496" s="2">
        <v>46120</v>
      </c>
      <c r="B496" s="3" t="s">
        <v>48</v>
      </c>
      <c r="C496" s="3" t="s">
        <v>77</v>
      </c>
      <c r="D496" s="11" t="s">
        <v>797</v>
      </c>
      <c r="E496" s="3">
        <v>6979.73</v>
      </c>
      <c r="F496" s="3">
        <f>E496*5%</f>
        <v>348.98649999999998</v>
      </c>
      <c r="G496" s="234">
        <f t="shared" si="28"/>
        <v>7328.7164999999995</v>
      </c>
      <c r="H496" s="3"/>
      <c r="I496" s="3"/>
      <c r="J496" s="3"/>
      <c r="K496" s="3"/>
      <c r="L496" s="3">
        <f t="shared" si="29"/>
        <v>0</v>
      </c>
      <c r="M496" s="3">
        <f t="shared" si="30"/>
        <v>0</v>
      </c>
      <c r="N496" s="3"/>
      <c r="O496" s="3"/>
      <c r="P496" s="3"/>
      <c r="Q496" s="3"/>
      <c r="R496" s="3"/>
    </row>
    <row r="497" spans="1:18" x14ac:dyDescent="0.25">
      <c r="A497" s="2">
        <v>46120</v>
      </c>
      <c r="B497" s="3" t="s">
        <v>48</v>
      </c>
      <c r="C497" s="3" t="s">
        <v>70</v>
      </c>
      <c r="D497" s="11" t="s">
        <v>798</v>
      </c>
      <c r="E497" s="3">
        <v>41</v>
      </c>
      <c r="F497" s="3" t="s">
        <v>172</v>
      </c>
      <c r="G497" s="4">
        <f t="shared" si="28"/>
        <v>41</v>
      </c>
      <c r="H497" s="3"/>
      <c r="I497" s="4"/>
      <c r="J497" s="3"/>
      <c r="K497" s="3"/>
      <c r="L497" s="3">
        <f t="shared" si="29"/>
        <v>0</v>
      </c>
      <c r="M497" s="3">
        <f t="shared" si="30"/>
        <v>0</v>
      </c>
      <c r="N497" s="3"/>
      <c r="O497" s="3"/>
      <c r="P497" s="3"/>
      <c r="Q497" s="3"/>
      <c r="R497" s="3"/>
    </row>
    <row r="498" spans="1:18" x14ac:dyDescent="0.25">
      <c r="A498" s="2">
        <v>46120</v>
      </c>
      <c r="B498" s="3" t="s">
        <v>48</v>
      </c>
      <c r="C498" s="3" t="s">
        <v>90</v>
      </c>
      <c r="D498" s="11" t="s">
        <v>799</v>
      </c>
      <c r="E498" s="3"/>
      <c r="F498" s="3">
        <f>E498*5%</f>
        <v>0</v>
      </c>
      <c r="G498" s="4">
        <f t="shared" si="28"/>
        <v>0</v>
      </c>
      <c r="H498" s="3"/>
      <c r="I498" s="4"/>
      <c r="J498" s="3">
        <v>10000</v>
      </c>
      <c r="K498" s="3"/>
      <c r="L498" s="3">
        <f t="shared" si="29"/>
        <v>0</v>
      </c>
      <c r="M498" s="3">
        <f t="shared" si="30"/>
        <v>0</v>
      </c>
      <c r="N498" s="3"/>
      <c r="O498" s="3"/>
      <c r="P498" s="3"/>
      <c r="Q498" s="3"/>
      <c r="R498" s="3"/>
    </row>
    <row r="499" spans="1:18" x14ac:dyDescent="0.25">
      <c r="A499" s="2">
        <v>46120</v>
      </c>
      <c r="B499" s="3" t="s">
        <v>48</v>
      </c>
      <c r="C499" s="3" t="s">
        <v>83</v>
      </c>
      <c r="D499" s="11" t="s">
        <v>800</v>
      </c>
      <c r="E499" s="3">
        <v>1017.98</v>
      </c>
      <c r="F499" s="3">
        <f>E499*5%</f>
        <v>50.899000000000001</v>
      </c>
      <c r="G499" s="234">
        <f t="shared" si="28"/>
        <v>1068.8789999999999</v>
      </c>
      <c r="H499" s="3"/>
      <c r="I499" s="4"/>
      <c r="J499" s="3"/>
      <c r="K499" s="3"/>
      <c r="L499" s="3">
        <f t="shared" si="29"/>
        <v>0</v>
      </c>
      <c r="M499" s="3">
        <f t="shared" si="30"/>
        <v>0</v>
      </c>
      <c r="N499" s="3"/>
      <c r="O499" s="3"/>
      <c r="P499" s="3"/>
      <c r="Q499" s="3"/>
      <c r="R499" s="3"/>
    </row>
    <row r="500" spans="1:18" x14ac:dyDescent="0.25">
      <c r="A500" s="2">
        <v>46120</v>
      </c>
      <c r="B500" s="3" t="s">
        <v>48</v>
      </c>
      <c r="C500" s="3" t="s">
        <v>70</v>
      </c>
      <c r="D500" s="11" t="s">
        <v>801</v>
      </c>
      <c r="E500" s="3">
        <v>15</v>
      </c>
      <c r="F500" s="3" t="s">
        <v>172</v>
      </c>
      <c r="G500" s="4">
        <f t="shared" si="28"/>
        <v>15</v>
      </c>
      <c r="H500" s="3"/>
      <c r="I500" s="3"/>
      <c r="J500" s="3"/>
      <c r="K500" s="3"/>
      <c r="L500" s="3">
        <f t="shared" si="29"/>
        <v>0</v>
      </c>
      <c r="M500" s="3">
        <f t="shared" si="30"/>
        <v>0</v>
      </c>
      <c r="N500" s="3"/>
      <c r="O500" s="3"/>
      <c r="P500" s="3"/>
      <c r="Q500" s="3"/>
      <c r="R500" s="3"/>
    </row>
    <row r="501" spans="1:18" x14ac:dyDescent="0.25">
      <c r="A501" s="2">
        <v>46120</v>
      </c>
      <c r="B501" s="3" t="s">
        <v>48</v>
      </c>
      <c r="C501" s="3" t="s">
        <v>49</v>
      </c>
      <c r="D501" s="11" t="s">
        <v>802</v>
      </c>
      <c r="E501" s="3">
        <v>915.24</v>
      </c>
      <c r="F501" s="3">
        <f>E501*5%</f>
        <v>45.762</v>
      </c>
      <c r="G501" s="187">
        <f t="shared" si="28"/>
        <v>961.00199999999995</v>
      </c>
      <c r="H501" s="3"/>
      <c r="I501" s="3"/>
      <c r="J501" s="3"/>
      <c r="K501" s="3"/>
      <c r="L501" s="3">
        <f t="shared" si="29"/>
        <v>0</v>
      </c>
      <c r="M501" s="3">
        <f t="shared" si="30"/>
        <v>0</v>
      </c>
      <c r="N501" s="3"/>
      <c r="O501" s="3"/>
      <c r="P501" s="3"/>
      <c r="Q501" s="3"/>
      <c r="R501" s="3"/>
    </row>
    <row r="502" spans="1:18" x14ac:dyDescent="0.25">
      <c r="A502" s="2">
        <v>46120</v>
      </c>
      <c r="B502" s="3" t="s">
        <v>48</v>
      </c>
      <c r="C502" s="3" t="s">
        <v>91</v>
      </c>
      <c r="D502" s="11" t="s">
        <v>803</v>
      </c>
      <c r="E502" s="3"/>
      <c r="F502" s="3">
        <f>E502*5%</f>
        <v>0</v>
      </c>
      <c r="G502" s="4">
        <f t="shared" si="28"/>
        <v>0</v>
      </c>
      <c r="H502" s="3"/>
      <c r="I502" s="3">
        <v>10000</v>
      </c>
      <c r="J502" s="3"/>
      <c r="K502" s="3"/>
      <c r="L502" s="3">
        <f t="shared" si="29"/>
        <v>0</v>
      </c>
      <c r="M502" s="3">
        <f t="shared" si="30"/>
        <v>0</v>
      </c>
      <c r="N502" s="3"/>
      <c r="O502" s="3"/>
      <c r="P502" s="3"/>
      <c r="Q502" s="3"/>
      <c r="R502" s="3"/>
    </row>
    <row r="503" spans="1:18" x14ac:dyDescent="0.25">
      <c r="A503" s="2">
        <v>46121</v>
      </c>
      <c r="B503" s="3" t="s">
        <v>48</v>
      </c>
      <c r="C503" s="3" t="s">
        <v>49</v>
      </c>
      <c r="D503" s="11" t="s">
        <v>804</v>
      </c>
      <c r="E503" s="3">
        <v>12</v>
      </c>
      <c r="F503" s="3">
        <f>E503*5%</f>
        <v>0.60000000000000009</v>
      </c>
      <c r="G503" s="187">
        <f t="shared" ref="G503:G566" si="32">IF(F503="NO TAX",E503,E503+F503)</f>
        <v>12.6</v>
      </c>
      <c r="H503" s="3"/>
      <c r="I503" s="3"/>
      <c r="J503" s="3"/>
      <c r="K503" s="3"/>
      <c r="L503" s="3">
        <f t="shared" ref="L503:L554" si="33">K503*5%</f>
        <v>0</v>
      </c>
      <c r="M503" s="3">
        <f t="shared" ref="M503:M566" si="34">IF(L503="NO TAX",K503,K503+L503)</f>
        <v>0</v>
      </c>
      <c r="N503" s="3"/>
      <c r="O503" s="3"/>
      <c r="P503" s="3"/>
      <c r="Q503" s="3"/>
      <c r="R503" s="3"/>
    </row>
    <row r="504" spans="1:18" x14ac:dyDescent="0.25">
      <c r="A504" s="2">
        <v>46121</v>
      </c>
      <c r="B504" s="3" t="s">
        <v>48</v>
      </c>
      <c r="C504" s="3" t="s">
        <v>68</v>
      </c>
      <c r="D504" s="11" t="s">
        <v>805</v>
      </c>
      <c r="E504" s="3">
        <v>80.25</v>
      </c>
      <c r="F504" s="3" t="s">
        <v>172</v>
      </c>
      <c r="G504" s="4">
        <f t="shared" si="32"/>
        <v>80.25</v>
      </c>
      <c r="H504" s="3"/>
      <c r="I504" s="3"/>
      <c r="J504" s="3"/>
      <c r="K504" s="3"/>
      <c r="L504" s="3">
        <f t="shared" si="33"/>
        <v>0</v>
      </c>
      <c r="M504" s="3">
        <f t="shared" si="34"/>
        <v>0</v>
      </c>
      <c r="N504" s="3"/>
      <c r="O504" s="3"/>
      <c r="P504" s="3"/>
      <c r="Q504" s="3"/>
      <c r="R504" s="3"/>
    </row>
    <row r="505" spans="1:18" x14ac:dyDescent="0.25">
      <c r="A505" s="2">
        <v>46121</v>
      </c>
      <c r="B505" s="3" t="s">
        <v>48</v>
      </c>
      <c r="C505" s="3" t="s">
        <v>49</v>
      </c>
      <c r="D505" s="11" t="s">
        <v>806</v>
      </c>
      <c r="E505" s="3"/>
      <c r="F505" s="3">
        <f>E505*5%</f>
        <v>0</v>
      </c>
      <c r="G505" s="4">
        <f t="shared" si="32"/>
        <v>0</v>
      </c>
      <c r="H505" s="3"/>
      <c r="I505" s="3"/>
      <c r="J505" s="3"/>
      <c r="K505" s="3"/>
      <c r="L505" s="3">
        <f t="shared" si="33"/>
        <v>0</v>
      </c>
      <c r="M505" s="3">
        <f t="shared" si="34"/>
        <v>0</v>
      </c>
      <c r="N505" s="3">
        <v>600</v>
      </c>
      <c r="O505" s="3"/>
      <c r="P505" s="3"/>
      <c r="Q505" s="3"/>
      <c r="R505" s="3"/>
    </row>
    <row r="506" spans="1:18" x14ac:dyDescent="0.25">
      <c r="A506" s="2">
        <v>46121</v>
      </c>
      <c r="B506" s="3" t="s">
        <v>48</v>
      </c>
      <c r="C506" s="3" t="s">
        <v>70</v>
      </c>
      <c r="D506" s="11" t="s">
        <v>807</v>
      </c>
      <c r="E506" s="3">
        <v>46</v>
      </c>
      <c r="F506" s="3" t="s">
        <v>172</v>
      </c>
      <c r="G506" s="4">
        <f t="shared" si="32"/>
        <v>46</v>
      </c>
      <c r="H506" s="3"/>
      <c r="I506" s="3"/>
      <c r="J506" s="3"/>
      <c r="K506" s="3"/>
      <c r="L506" s="3">
        <f t="shared" si="33"/>
        <v>0</v>
      </c>
      <c r="M506" s="3">
        <f t="shared" si="34"/>
        <v>0</v>
      </c>
      <c r="N506" s="3"/>
      <c r="O506" s="3"/>
      <c r="P506" s="3"/>
      <c r="Q506" s="3"/>
      <c r="R506" s="3"/>
    </row>
    <row r="507" spans="1:18" x14ac:dyDescent="0.25">
      <c r="A507" s="2">
        <v>46121</v>
      </c>
      <c r="B507" s="3" t="s">
        <v>48</v>
      </c>
      <c r="C507" s="3" t="s">
        <v>64</v>
      </c>
      <c r="D507" s="11" t="s">
        <v>808</v>
      </c>
      <c r="E507" s="3">
        <v>100</v>
      </c>
      <c r="F507" s="3" t="s">
        <v>172</v>
      </c>
      <c r="G507" s="4">
        <f t="shared" si="32"/>
        <v>100</v>
      </c>
      <c r="H507" s="3"/>
      <c r="I507" s="3"/>
      <c r="J507" s="3"/>
      <c r="K507" s="3"/>
      <c r="L507" s="3">
        <f t="shared" si="33"/>
        <v>0</v>
      </c>
      <c r="M507" s="3">
        <f t="shared" si="34"/>
        <v>0</v>
      </c>
      <c r="N507" s="3"/>
      <c r="O507" s="3"/>
      <c r="P507" s="3"/>
      <c r="Q507" s="3"/>
      <c r="R507" s="3"/>
    </row>
    <row r="508" spans="1:18" x14ac:dyDescent="0.25">
      <c r="A508" s="2">
        <v>46121</v>
      </c>
      <c r="B508" s="3" t="s">
        <v>48</v>
      </c>
      <c r="C508" s="3" t="s">
        <v>71</v>
      </c>
      <c r="D508" s="11" t="s">
        <v>809</v>
      </c>
      <c r="E508" s="3">
        <v>25</v>
      </c>
      <c r="F508" s="3" t="s">
        <v>172</v>
      </c>
      <c r="G508" s="4">
        <f t="shared" si="32"/>
        <v>25</v>
      </c>
      <c r="H508" s="3"/>
      <c r="I508" s="3"/>
      <c r="J508" s="3"/>
      <c r="K508" s="3"/>
      <c r="L508" s="3">
        <f t="shared" si="33"/>
        <v>0</v>
      </c>
      <c r="M508" s="3">
        <f t="shared" si="34"/>
        <v>0</v>
      </c>
      <c r="N508" s="3"/>
      <c r="O508" s="3"/>
      <c r="P508" s="3"/>
      <c r="Q508" s="3"/>
      <c r="R508" s="3"/>
    </row>
    <row r="509" spans="1:18" x14ac:dyDescent="0.25">
      <c r="A509" s="2">
        <v>46122</v>
      </c>
      <c r="B509" s="3" t="s">
        <v>48</v>
      </c>
      <c r="C509" s="3" t="s">
        <v>92</v>
      </c>
      <c r="D509" s="11" t="s">
        <v>810</v>
      </c>
      <c r="E509" s="3"/>
      <c r="F509" s="3">
        <f>E509*5%</f>
        <v>0</v>
      </c>
      <c r="G509" s="4">
        <f t="shared" si="32"/>
        <v>0</v>
      </c>
      <c r="H509" s="3">
        <v>150</v>
      </c>
      <c r="I509" s="3"/>
      <c r="J509" s="3"/>
      <c r="K509" s="3"/>
      <c r="L509" s="3">
        <f t="shared" si="33"/>
        <v>0</v>
      </c>
      <c r="M509" s="3">
        <f t="shared" si="34"/>
        <v>0</v>
      </c>
      <c r="N509" s="3"/>
      <c r="O509" s="3"/>
      <c r="P509" s="3"/>
      <c r="Q509" s="3"/>
      <c r="R509" s="3"/>
    </row>
    <row r="510" spans="1:18" x14ac:dyDescent="0.25">
      <c r="A510" s="2">
        <v>46122</v>
      </c>
      <c r="B510" s="3" t="s">
        <v>48</v>
      </c>
      <c r="C510" s="3" t="s">
        <v>91</v>
      </c>
      <c r="D510" s="11" t="s">
        <v>811</v>
      </c>
      <c r="E510" s="3">
        <v>150</v>
      </c>
      <c r="F510" s="3" t="s">
        <v>172</v>
      </c>
      <c r="G510" s="4">
        <f t="shared" si="32"/>
        <v>150</v>
      </c>
      <c r="H510" s="3"/>
      <c r="I510" s="3"/>
      <c r="J510" s="3"/>
      <c r="K510" s="3"/>
      <c r="L510" s="3">
        <f t="shared" si="33"/>
        <v>0</v>
      </c>
      <c r="M510" s="3">
        <f t="shared" si="34"/>
        <v>0</v>
      </c>
      <c r="N510" s="3"/>
      <c r="O510" s="3"/>
      <c r="P510" s="3"/>
      <c r="Q510" s="3"/>
      <c r="R510" s="3"/>
    </row>
    <row r="511" spans="1:18" x14ac:dyDescent="0.25">
      <c r="A511" s="2">
        <v>46122</v>
      </c>
      <c r="B511" s="2" t="s">
        <v>285</v>
      </c>
      <c r="C511" s="3" t="s">
        <v>75</v>
      </c>
      <c r="D511" s="11" t="s">
        <v>812</v>
      </c>
      <c r="E511" s="3">
        <v>-495</v>
      </c>
      <c r="F511" s="3" t="s">
        <v>172</v>
      </c>
      <c r="G511" s="4">
        <f t="shared" si="32"/>
        <v>-495</v>
      </c>
      <c r="H511" s="3"/>
      <c r="I511" s="3"/>
      <c r="J511" s="3"/>
      <c r="K511" s="3"/>
      <c r="L511" s="3">
        <f t="shared" si="33"/>
        <v>0</v>
      </c>
      <c r="M511" s="3">
        <f t="shared" si="34"/>
        <v>0</v>
      </c>
      <c r="N511" s="3"/>
      <c r="O511" s="3"/>
      <c r="P511" s="3"/>
      <c r="Q511" s="3"/>
      <c r="R511" s="3"/>
    </row>
    <row r="512" spans="1:18" x14ac:dyDescent="0.25">
      <c r="A512" s="2">
        <v>46122</v>
      </c>
      <c r="B512" s="3" t="s">
        <v>48</v>
      </c>
      <c r="C512" s="3" t="s">
        <v>51</v>
      </c>
      <c r="D512" s="11" t="s">
        <v>813</v>
      </c>
      <c r="E512" s="3">
        <v>95.24</v>
      </c>
      <c r="F512" s="3">
        <f>E512*5%</f>
        <v>4.7619999999999996</v>
      </c>
      <c r="G512" s="4">
        <f t="shared" si="32"/>
        <v>100.002</v>
      </c>
      <c r="H512" s="3"/>
      <c r="I512" s="3"/>
      <c r="J512" s="3"/>
      <c r="K512" s="3"/>
      <c r="L512" s="3">
        <f t="shared" si="33"/>
        <v>0</v>
      </c>
      <c r="M512" s="3">
        <f t="shared" si="34"/>
        <v>0</v>
      </c>
      <c r="N512" s="3"/>
      <c r="O512" s="3"/>
      <c r="P512" s="3"/>
      <c r="Q512" s="3"/>
      <c r="R512" s="3"/>
    </row>
    <row r="513" spans="1:18" x14ac:dyDescent="0.25">
      <c r="A513" s="2">
        <v>46122</v>
      </c>
      <c r="B513" s="3" t="s">
        <v>48</v>
      </c>
      <c r="C513" s="3" t="s">
        <v>49</v>
      </c>
      <c r="D513" s="11" t="s">
        <v>814</v>
      </c>
      <c r="E513" s="3">
        <v>527.4</v>
      </c>
      <c r="F513" s="3">
        <f>E513*5%</f>
        <v>26.37</v>
      </c>
      <c r="G513" s="187">
        <f t="shared" si="32"/>
        <v>553.77</v>
      </c>
      <c r="H513" s="3"/>
      <c r="I513" s="3"/>
      <c r="J513" s="3"/>
      <c r="K513" s="3"/>
      <c r="L513" s="3">
        <f t="shared" si="33"/>
        <v>0</v>
      </c>
      <c r="M513" s="3">
        <f t="shared" si="34"/>
        <v>0</v>
      </c>
      <c r="N513" s="3"/>
      <c r="O513" s="3"/>
      <c r="P513" s="3"/>
      <c r="Q513" s="3"/>
      <c r="R513" s="3"/>
    </row>
    <row r="514" spans="1:18" x14ac:dyDescent="0.25">
      <c r="A514" s="2">
        <v>46122</v>
      </c>
      <c r="B514" s="3" t="s">
        <v>48</v>
      </c>
      <c r="C514" s="3" t="s">
        <v>49</v>
      </c>
      <c r="D514" s="11" t="s">
        <v>815</v>
      </c>
      <c r="E514" s="3">
        <v>55.75</v>
      </c>
      <c r="F514" s="3" t="s">
        <v>172</v>
      </c>
      <c r="G514" s="4">
        <f t="shared" si="32"/>
        <v>55.75</v>
      </c>
      <c r="H514" s="3"/>
      <c r="I514" s="3"/>
      <c r="J514" s="3"/>
      <c r="K514" s="3"/>
      <c r="L514" s="3">
        <f t="shared" si="33"/>
        <v>0</v>
      </c>
      <c r="M514" s="3">
        <f t="shared" si="34"/>
        <v>0</v>
      </c>
      <c r="N514" s="3"/>
      <c r="O514" s="3"/>
      <c r="P514" s="3"/>
      <c r="Q514" s="3"/>
      <c r="R514" s="3"/>
    </row>
    <row r="515" spans="1:18" x14ac:dyDescent="0.25">
      <c r="A515" s="2">
        <v>46122</v>
      </c>
      <c r="B515" s="3" t="s">
        <v>48</v>
      </c>
      <c r="C515" s="3" t="s">
        <v>73</v>
      </c>
      <c r="D515" s="11" t="s">
        <v>816</v>
      </c>
      <c r="E515" s="3">
        <v>55</v>
      </c>
      <c r="F515" s="3" t="s">
        <v>172</v>
      </c>
      <c r="G515" s="4">
        <f t="shared" si="32"/>
        <v>55</v>
      </c>
      <c r="H515" s="3"/>
      <c r="I515" s="3"/>
      <c r="J515" s="3"/>
      <c r="K515" s="3"/>
      <c r="L515" s="3">
        <f t="shared" si="33"/>
        <v>0</v>
      </c>
      <c r="M515" s="3">
        <f t="shared" si="34"/>
        <v>0</v>
      </c>
      <c r="N515" s="3"/>
      <c r="O515" s="3"/>
      <c r="P515" s="3"/>
      <c r="Q515" s="3"/>
      <c r="R515" s="3"/>
    </row>
    <row r="516" spans="1:18" x14ac:dyDescent="0.25">
      <c r="A516" s="2">
        <v>46123</v>
      </c>
      <c r="B516" s="2" t="s">
        <v>292</v>
      </c>
      <c r="C516" s="3" t="s">
        <v>59</v>
      </c>
      <c r="D516" s="11" t="s">
        <v>817</v>
      </c>
      <c r="E516" s="3">
        <v>6552</v>
      </c>
      <c r="F516" s="3" t="s">
        <v>172</v>
      </c>
      <c r="G516" s="4">
        <f t="shared" si="32"/>
        <v>6552</v>
      </c>
      <c r="H516" s="3"/>
      <c r="I516" s="3"/>
      <c r="J516" s="3"/>
      <c r="K516" s="3"/>
      <c r="L516" s="3">
        <f t="shared" si="33"/>
        <v>0</v>
      </c>
      <c r="M516" s="3">
        <f t="shared" si="34"/>
        <v>0</v>
      </c>
      <c r="N516" s="3"/>
      <c r="O516" s="3"/>
      <c r="P516" s="3"/>
      <c r="Q516" s="3"/>
      <c r="R516" s="3"/>
    </row>
    <row r="517" spans="1:18" x14ac:dyDescent="0.25">
      <c r="A517" s="2">
        <v>46123</v>
      </c>
      <c r="B517" s="3" t="s">
        <v>48</v>
      </c>
      <c r="C517" s="3" t="s">
        <v>70</v>
      </c>
      <c r="D517" s="11" t="s">
        <v>818</v>
      </c>
      <c r="E517" s="3">
        <v>40</v>
      </c>
      <c r="F517" s="3" t="s">
        <v>172</v>
      </c>
      <c r="G517" s="4">
        <f t="shared" si="32"/>
        <v>40</v>
      </c>
      <c r="H517" s="3"/>
      <c r="I517" s="3"/>
      <c r="J517" s="3"/>
      <c r="K517" s="3"/>
      <c r="L517" s="3">
        <f t="shared" si="33"/>
        <v>0</v>
      </c>
      <c r="M517" s="3">
        <f t="shared" si="34"/>
        <v>0</v>
      </c>
      <c r="N517" s="3"/>
      <c r="O517" s="3"/>
      <c r="P517" s="3"/>
      <c r="Q517" s="3"/>
      <c r="R517" s="3"/>
    </row>
    <row r="518" spans="1:18" x14ac:dyDescent="0.25">
      <c r="A518" s="2">
        <v>46123</v>
      </c>
      <c r="B518" s="3" t="s">
        <v>48</v>
      </c>
      <c r="C518" s="3" t="s">
        <v>49</v>
      </c>
      <c r="D518" s="11" t="s">
        <v>819</v>
      </c>
      <c r="E518" s="3">
        <v>19.05</v>
      </c>
      <c r="F518" s="3">
        <f>E518*5%</f>
        <v>0.95250000000000012</v>
      </c>
      <c r="G518" s="4">
        <f t="shared" si="32"/>
        <v>20.002500000000001</v>
      </c>
      <c r="H518" s="3"/>
      <c r="I518" s="3"/>
      <c r="J518" s="3"/>
      <c r="K518" s="3"/>
      <c r="L518" s="3">
        <f t="shared" si="33"/>
        <v>0</v>
      </c>
      <c r="M518" s="3">
        <f t="shared" si="34"/>
        <v>0</v>
      </c>
      <c r="N518" s="3"/>
      <c r="O518" s="3"/>
      <c r="P518" s="3"/>
      <c r="Q518" s="3"/>
      <c r="R518" s="3"/>
    </row>
    <row r="519" spans="1:18" x14ac:dyDescent="0.25">
      <c r="A519" s="2">
        <v>46123</v>
      </c>
      <c r="B519" s="3" t="s">
        <v>48</v>
      </c>
      <c r="C519" s="3" t="s">
        <v>92</v>
      </c>
      <c r="D519" s="11" t="s">
        <v>820</v>
      </c>
      <c r="E519" s="3"/>
      <c r="F519" s="3">
        <f>E519*5%</f>
        <v>0</v>
      </c>
      <c r="G519" s="4">
        <f t="shared" si="32"/>
        <v>0</v>
      </c>
      <c r="H519" s="3">
        <v>40</v>
      </c>
      <c r="I519" s="3"/>
      <c r="J519" s="3"/>
      <c r="K519" s="3"/>
      <c r="L519" s="3">
        <f t="shared" si="33"/>
        <v>0</v>
      </c>
      <c r="M519" s="3">
        <f t="shared" si="34"/>
        <v>0</v>
      </c>
      <c r="N519" s="3"/>
      <c r="O519" s="3"/>
      <c r="P519" s="3"/>
      <c r="Q519" s="3"/>
      <c r="R519" s="3"/>
    </row>
    <row r="520" spans="1:18" x14ac:dyDescent="0.25">
      <c r="A520" s="2">
        <v>46123</v>
      </c>
      <c r="B520" s="3" t="s">
        <v>48</v>
      </c>
      <c r="C520" s="3" t="s">
        <v>90</v>
      </c>
      <c r="D520" s="11" t="s">
        <v>821</v>
      </c>
      <c r="E520" s="3"/>
      <c r="F520" s="3">
        <f>E520*5%</f>
        <v>0</v>
      </c>
      <c r="G520" s="4">
        <f t="shared" si="32"/>
        <v>0</v>
      </c>
      <c r="H520" s="3"/>
      <c r="I520" s="3"/>
      <c r="J520" s="3">
        <v>2000</v>
      </c>
      <c r="K520" s="3"/>
      <c r="L520" s="3">
        <f t="shared" si="33"/>
        <v>0</v>
      </c>
      <c r="M520" s="3">
        <f t="shared" si="34"/>
        <v>0</v>
      </c>
      <c r="N520" s="3"/>
      <c r="O520" s="3"/>
      <c r="P520" s="3"/>
      <c r="Q520" s="3"/>
      <c r="R520" s="3"/>
    </row>
    <row r="521" spans="1:18" x14ac:dyDescent="0.25">
      <c r="A521" s="2">
        <v>46123</v>
      </c>
      <c r="B521" s="3" t="s">
        <v>48</v>
      </c>
      <c r="C521" s="3" t="s">
        <v>93</v>
      </c>
      <c r="D521" s="11" t="s">
        <v>822</v>
      </c>
      <c r="E521" s="3">
        <v>1000</v>
      </c>
      <c r="F521" s="3" t="s">
        <v>172</v>
      </c>
      <c r="G521" s="4">
        <f t="shared" si="32"/>
        <v>1000</v>
      </c>
      <c r="H521" s="3"/>
      <c r="I521" s="3"/>
      <c r="J521" s="3"/>
      <c r="K521" s="3"/>
      <c r="L521" s="3">
        <f t="shared" si="33"/>
        <v>0</v>
      </c>
      <c r="M521" s="3">
        <f t="shared" si="34"/>
        <v>0</v>
      </c>
      <c r="N521" s="3"/>
      <c r="O521" s="3"/>
      <c r="P521" s="3"/>
      <c r="Q521" s="3"/>
      <c r="R521" s="3"/>
    </row>
    <row r="522" spans="1:18" x14ac:dyDescent="0.25">
      <c r="A522" s="2">
        <v>46123</v>
      </c>
      <c r="B522" s="3" t="s">
        <v>48</v>
      </c>
      <c r="C522" s="3" t="s">
        <v>73</v>
      </c>
      <c r="D522" s="11" t="s">
        <v>823</v>
      </c>
      <c r="E522" s="3">
        <v>50</v>
      </c>
      <c r="F522" s="3" t="s">
        <v>172</v>
      </c>
      <c r="G522" s="4">
        <f t="shared" si="32"/>
        <v>50</v>
      </c>
      <c r="H522" s="3"/>
      <c r="I522" s="3"/>
      <c r="J522" s="3"/>
      <c r="K522" s="3"/>
      <c r="L522" s="3">
        <f t="shared" si="33"/>
        <v>0</v>
      </c>
      <c r="M522" s="3">
        <f t="shared" si="34"/>
        <v>0</v>
      </c>
      <c r="N522" s="3"/>
      <c r="O522" s="3"/>
      <c r="P522" s="3"/>
      <c r="Q522" s="3"/>
      <c r="R522" s="3"/>
    </row>
    <row r="523" spans="1:18" x14ac:dyDescent="0.25">
      <c r="A523" s="2">
        <v>46123</v>
      </c>
      <c r="B523" s="3" t="s">
        <v>48</v>
      </c>
      <c r="C523" s="3" t="s">
        <v>64</v>
      </c>
      <c r="D523" s="11" t="s">
        <v>824</v>
      </c>
      <c r="E523" s="3">
        <v>100</v>
      </c>
      <c r="F523" s="3" t="s">
        <v>172</v>
      </c>
      <c r="G523" s="4">
        <f t="shared" si="32"/>
        <v>100</v>
      </c>
      <c r="H523" s="3"/>
      <c r="I523" s="3"/>
      <c r="J523" s="3"/>
      <c r="K523" s="3"/>
      <c r="L523" s="3">
        <f t="shared" si="33"/>
        <v>0</v>
      </c>
      <c r="M523" s="3">
        <f t="shared" si="34"/>
        <v>0</v>
      </c>
      <c r="N523" s="3"/>
      <c r="O523" s="3"/>
      <c r="P523" s="3"/>
      <c r="Q523" s="3"/>
      <c r="R523" s="3"/>
    </row>
    <row r="524" spans="1:18" x14ac:dyDescent="0.25">
      <c r="A524" s="2">
        <v>46125</v>
      </c>
      <c r="B524" s="3" t="s">
        <v>48</v>
      </c>
      <c r="C524" s="3" t="s">
        <v>68</v>
      </c>
      <c r="D524" s="11" t="s">
        <v>825</v>
      </c>
      <c r="E524" s="3">
        <v>10</v>
      </c>
      <c r="F524" s="3" t="s">
        <v>172</v>
      </c>
      <c r="G524" s="4">
        <f t="shared" si="32"/>
        <v>10</v>
      </c>
      <c r="H524" s="3"/>
      <c r="I524" s="3"/>
      <c r="J524" s="3"/>
      <c r="K524" s="3"/>
      <c r="L524" s="3">
        <f t="shared" si="33"/>
        <v>0</v>
      </c>
      <c r="M524" s="3">
        <f t="shared" si="34"/>
        <v>0</v>
      </c>
      <c r="N524" s="3"/>
      <c r="O524" s="3"/>
      <c r="P524" s="3"/>
      <c r="Q524" s="3"/>
      <c r="R524" s="3"/>
    </row>
    <row r="525" spans="1:18" x14ac:dyDescent="0.25">
      <c r="A525" s="2">
        <v>46125</v>
      </c>
      <c r="B525" s="3" t="s">
        <v>48</v>
      </c>
      <c r="C525" s="3" t="s">
        <v>80</v>
      </c>
      <c r="D525" s="11" t="s">
        <v>826</v>
      </c>
      <c r="E525" s="3">
        <v>135</v>
      </c>
      <c r="F525" s="3" t="s">
        <v>172</v>
      </c>
      <c r="G525" s="4">
        <f t="shared" si="32"/>
        <v>135</v>
      </c>
      <c r="H525" s="3"/>
      <c r="I525" s="3"/>
      <c r="J525" s="3"/>
      <c r="K525" s="3"/>
      <c r="L525" s="3">
        <f t="shared" si="33"/>
        <v>0</v>
      </c>
      <c r="M525" s="3">
        <f t="shared" si="34"/>
        <v>0</v>
      </c>
      <c r="N525" s="3"/>
      <c r="O525" s="3"/>
      <c r="P525" s="3"/>
      <c r="Q525" s="3"/>
      <c r="R525" s="3"/>
    </row>
    <row r="526" spans="1:18" x14ac:dyDescent="0.25">
      <c r="A526" s="2">
        <v>46125</v>
      </c>
      <c r="B526" s="3" t="s">
        <v>48</v>
      </c>
      <c r="C526" s="3" t="s">
        <v>49</v>
      </c>
      <c r="D526" s="11" t="s">
        <v>827</v>
      </c>
      <c r="E526" s="3">
        <v>587</v>
      </c>
      <c r="F526" s="3">
        <f>E526*5%</f>
        <v>29.35</v>
      </c>
      <c r="G526" s="4">
        <f t="shared" si="32"/>
        <v>616.35</v>
      </c>
      <c r="H526" s="3"/>
      <c r="I526" s="3"/>
      <c r="J526" s="3"/>
      <c r="K526" s="3"/>
      <c r="L526" s="3">
        <f t="shared" si="33"/>
        <v>0</v>
      </c>
      <c r="M526" s="3">
        <f t="shared" si="34"/>
        <v>0</v>
      </c>
      <c r="N526" s="3"/>
      <c r="O526" s="3"/>
      <c r="P526" s="3"/>
      <c r="Q526" s="3"/>
      <c r="R526" s="3"/>
    </row>
    <row r="527" spans="1:18" x14ac:dyDescent="0.25">
      <c r="A527" s="2">
        <v>46125</v>
      </c>
      <c r="B527" s="3" t="s">
        <v>48</v>
      </c>
      <c r="C527" s="3" t="s">
        <v>70</v>
      </c>
      <c r="D527" s="11" t="s">
        <v>828</v>
      </c>
      <c r="E527" s="3">
        <v>20</v>
      </c>
      <c r="F527" s="3" t="s">
        <v>172</v>
      </c>
      <c r="G527" s="4">
        <f t="shared" si="32"/>
        <v>20</v>
      </c>
      <c r="H527" s="3"/>
      <c r="I527" s="3"/>
      <c r="J527" s="3"/>
      <c r="K527" s="3"/>
      <c r="L527" s="3">
        <f t="shared" si="33"/>
        <v>0</v>
      </c>
      <c r="M527" s="3">
        <f t="shared" si="34"/>
        <v>0</v>
      </c>
      <c r="N527" s="3"/>
      <c r="O527" s="3"/>
      <c r="P527" s="3"/>
      <c r="Q527" s="3"/>
      <c r="R527" s="3"/>
    </row>
    <row r="528" spans="1:18" x14ac:dyDescent="0.25">
      <c r="A528" s="2">
        <v>46125</v>
      </c>
      <c r="B528" s="3" t="s">
        <v>48</v>
      </c>
      <c r="C528" s="3" t="s">
        <v>75</v>
      </c>
      <c r="D528" s="11" t="s">
        <v>829</v>
      </c>
      <c r="E528" s="3">
        <v>850</v>
      </c>
      <c r="F528" s="3" t="s">
        <v>172</v>
      </c>
      <c r="G528" s="4">
        <f t="shared" si="32"/>
        <v>850</v>
      </c>
      <c r="H528" s="3"/>
      <c r="I528" s="3"/>
      <c r="J528" s="3"/>
      <c r="K528" s="3"/>
      <c r="L528" s="3">
        <f t="shared" si="33"/>
        <v>0</v>
      </c>
      <c r="M528" s="3">
        <f t="shared" si="34"/>
        <v>0</v>
      </c>
      <c r="N528" s="3"/>
      <c r="O528" s="3"/>
      <c r="P528" s="3"/>
      <c r="Q528" s="3"/>
      <c r="R528" s="3"/>
    </row>
    <row r="529" spans="1:18" x14ac:dyDescent="0.25">
      <c r="A529" s="2">
        <v>46125</v>
      </c>
      <c r="B529" s="3" t="s">
        <v>48</v>
      </c>
      <c r="C529" s="3" t="s">
        <v>73</v>
      </c>
      <c r="D529" s="11" t="s">
        <v>830</v>
      </c>
      <c r="E529" s="3">
        <v>55</v>
      </c>
      <c r="F529" s="3" t="s">
        <v>172</v>
      </c>
      <c r="G529" s="4">
        <f t="shared" si="32"/>
        <v>55</v>
      </c>
      <c r="H529" s="3"/>
      <c r="I529" s="3"/>
      <c r="J529" s="3"/>
      <c r="K529" s="3"/>
      <c r="L529" s="3">
        <f t="shared" si="33"/>
        <v>0</v>
      </c>
      <c r="M529" s="3">
        <f t="shared" si="34"/>
        <v>0</v>
      </c>
      <c r="N529" s="3"/>
      <c r="O529" s="3"/>
      <c r="P529" s="3"/>
      <c r="Q529" s="3"/>
      <c r="R529" s="3"/>
    </row>
    <row r="530" spans="1:18" x14ac:dyDescent="0.25">
      <c r="A530" s="2">
        <v>46126</v>
      </c>
      <c r="B530" s="3" t="s">
        <v>48</v>
      </c>
      <c r="C530" s="3" t="s">
        <v>70</v>
      </c>
      <c r="D530" s="11" t="s">
        <v>831</v>
      </c>
      <c r="E530" s="3">
        <v>14</v>
      </c>
      <c r="F530" s="3" t="s">
        <v>172</v>
      </c>
      <c r="G530" s="4">
        <f t="shared" si="32"/>
        <v>14</v>
      </c>
      <c r="H530" s="3"/>
      <c r="I530" s="3"/>
      <c r="J530" s="3"/>
      <c r="K530" s="3"/>
      <c r="L530" s="3">
        <f t="shared" si="33"/>
        <v>0</v>
      </c>
      <c r="M530" s="3">
        <f t="shared" si="34"/>
        <v>0</v>
      </c>
      <c r="N530" s="3"/>
      <c r="O530" s="3"/>
      <c r="P530" s="3"/>
      <c r="Q530" s="3"/>
      <c r="R530" s="3"/>
    </row>
    <row r="531" spans="1:18" x14ac:dyDescent="0.25">
      <c r="A531" s="2">
        <v>46126</v>
      </c>
      <c r="B531" s="3" t="s">
        <v>48</v>
      </c>
      <c r="C531" s="3" t="s">
        <v>70</v>
      </c>
      <c r="D531" s="11" t="s">
        <v>832</v>
      </c>
      <c r="E531" s="3">
        <v>38</v>
      </c>
      <c r="F531" s="3" t="s">
        <v>172</v>
      </c>
      <c r="G531" s="4">
        <f t="shared" si="32"/>
        <v>38</v>
      </c>
      <c r="H531" s="3"/>
      <c r="I531" s="3"/>
      <c r="J531" s="3"/>
      <c r="K531" s="3"/>
      <c r="L531" s="3">
        <f t="shared" si="33"/>
        <v>0</v>
      </c>
      <c r="M531" s="3">
        <f t="shared" si="34"/>
        <v>0</v>
      </c>
      <c r="N531" s="3"/>
      <c r="O531" s="3"/>
      <c r="P531" s="3"/>
      <c r="Q531" s="3"/>
      <c r="R531" s="3"/>
    </row>
    <row r="532" spans="1:18" x14ac:dyDescent="0.25">
      <c r="A532" s="2">
        <v>46126</v>
      </c>
      <c r="B532" s="3" t="s">
        <v>48</v>
      </c>
      <c r="C532" s="3" t="s">
        <v>49</v>
      </c>
      <c r="D532" s="11" t="s">
        <v>833</v>
      </c>
      <c r="E532" s="3">
        <v>1625.05</v>
      </c>
      <c r="F532" s="3">
        <f>E532*5%</f>
        <v>81.252499999999998</v>
      </c>
      <c r="G532" s="187">
        <f t="shared" si="32"/>
        <v>1706.3025</v>
      </c>
      <c r="H532" s="3"/>
      <c r="I532" s="3"/>
      <c r="J532" s="3"/>
      <c r="K532" s="3"/>
      <c r="L532" s="3">
        <f t="shared" si="33"/>
        <v>0</v>
      </c>
      <c r="M532" s="3">
        <f t="shared" si="34"/>
        <v>0</v>
      </c>
      <c r="N532" s="3"/>
      <c r="O532" s="3"/>
      <c r="P532" s="3"/>
      <c r="Q532" s="3"/>
      <c r="R532" s="3"/>
    </row>
    <row r="533" spans="1:18" x14ac:dyDescent="0.25">
      <c r="A533" s="2">
        <v>46126</v>
      </c>
      <c r="B533" s="3" t="s">
        <v>48</v>
      </c>
      <c r="C533" s="3" t="s">
        <v>70</v>
      </c>
      <c r="D533" s="11" t="s">
        <v>834</v>
      </c>
      <c r="E533" s="3">
        <v>8</v>
      </c>
      <c r="F533" s="3" t="s">
        <v>172</v>
      </c>
      <c r="G533" s="4">
        <f t="shared" si="32"/>
        <v>8</v>
      </c>
      <c r="H533" s="3"/>
      <c r="I533" s="3"/>
      <c r="J533" s="3"/>
      <c r="K533" s="3"/>
      <c r="L533" s="3">
        <f t="shared" si="33"/>
        <v>0</v>
      </c>
      <c r="M533" s="3">
        <f t="shared" si="34"/>
        <v>0</v>
      </c>
      <c r="N533" s="3"/>
      <c r="O533" s="3"/>
      <c r="P533" s="3"/>
      <c r="Q533" s="3"/>
      <c r="R533" s="3"/>
    </row>
    <row r="534" spans="1:18" x14ac:dyDescent="0.25">
      <c r="A534" s="2">
        <v>46126</v>
      </c>
      <c r="B534" s="3" t="s">
        <v>48</v>
      </c>
      <c r="C534" s="3" t="s">
        <v>93</v>
      </c>
      <c r="D534" s="11" t="s">
        <v>835</v>
      </c>
      <c r="E534" s="3">
        <v>1000</v>
      </c>
      <c r="F534" s="3" t="s">
        <v>172</v>
      </c>
      <c r="G534" s="4">
        <f t="shared" si="32"/>
        <v>1000</v>
      </c>
      <c r="H534" s="3"/>
      <c r="I534" s="3"/>
      <c r="J534" s="3"/>
      <c r="K534" s="3"/>
      <c r="L534" s="3">
        <f t="shared" si="33"/>
        <v>0</v>
      </c>
      <c r="M534" s="3">
        <f t="shared" si="34"/>
        <v>0</v>
      </c>
      <c r="N534" s="3"/>
      <c r="O534" s="3"/>
      <c r="P534" s="3"/>
      <c r="Q534" s="3"/>
      <c r="R534" s="3"/>
    </row>
    <row r="535" spans="1:18" x14ac:dyDescent="0.25">
      <c r="A535" s="2">
        <v>46126</v>
      </c>
      <c r="B535" s="3" t="s">
        <v>48</v>
      </c>
      <c r="C535" s="3" t="s">
        <v>73</v>
      </c>
      <c r="D535" s="11" t="s">
        <v>836</v>
      </c>
      <c r="E535" s="3">
        <v>55</v>
      </c>
      <c r="F535" s="3" t="s">
        <v>172</v>
      </c>
      <c r="G535" s="4">
        <f t="shared" si="32"/>
        <v>55</v>
      </c>
      <c r="H535" s="3"/>
      <c r="I535" s="3"/>
      <c r="J535" s="3"/>
      <c r="K535" s="3"/>
      <c r="L535" s="3">
        <f t="shared" si="33"/>
        <v>0</v>
      </c>
      <c r="M535" s="3">
        <f t="shared" si="34"/>
        <v>0</v>
      </c>
      <c r="N535" s="3"/>
      <c r="O535" s="3"/>
      <c r="P535" s="3"/>
      <c r="Q535" s="3"/>
      <c r="R535" s="3"/>
    </row>
    <row r="536" spans="1:18" x14ac:dyDescent="0.25">
      <c r="A536" s="2">
        <v>46126</v>
      </c>
      <c r="B536" s="3" t="s">
        <v>48</v>
      </c>
      <c r="C536" s="3" t="s">
        <v>49</v>
      </c>
      <c r="D536" s="11" t="s">
        <v>837</v>
      </c>
      <c r="E536" s="3">
        <v>44</v>
      </c>
      <c r="F536" s="3" t="s">
        <v>172</v>
      </c>
      <c r="G536" s="4">
        <f t="shared" si="32"/>
        <v>44</v>
      </c>
      <c r="H536" s="3"/>
      <c r="I536" s="3"/>
      <c r="J536" s="3"/>
      <c r="K536" s="3"/>
      <c r="L536" s="3">
        <f t="shared" si="33"/>
        <v>0</v>
      </c>
      <c r="M536" s="3">
        <f t="shared" si="34"/>
        <v>0</v>
      </c>
      <c r="N536" s="3"/>
      <c r="O536" s="3"/>
      <c r="P536" s="3"/>
      <c r="Q536" s="3"/>
      <c r="R536" s="3"/>
    </row>
    <row r="537" spans="1:18" x14ac:dyDescent="0.25">
      <c r="A537" s="2">
        <v>46126</v>
      </c>
      <c r="B537" s="2" t="s">
        <v>285</v>
      </c>
      <c r="C537" s="3" t="s">
        <v>92</v>
      </c>
      <c r="D537" s="11" t="s">
        <v>838</v>
      </c>
      <c r="E537" s="3"/>
      <c r="F537" s="3">
        <f>E537*5%</f>
        <v>0</v>
      </c>
      <c r="G537" s="4">
        <f t="shared" si="32"/>
        <v>0</v>
      </c>
      <c r="H537" s="3">
        <v>755</v>
      </c>
      <c r="I537" s="3"/>
      <c r="J537" s="3"/>
      <c r="K537" s="3"/>
      <c r="L537" s="3">
        <f t="shared" si="33"/>
        <v>0</v>
      </c>
      <c r="M537" s="3">
        <f t="shared" si="34"/>
        <v>0</v>
      </c>
      <c r="N537" s="3"/>
      <c r="O537" s="3"/>
      <c r="P537" s="3"/>
      <c r="Q537" s="3"/>
      <c r="R537" s="3"/>
    </row>
    <row r="538" spans="1:18" x14ac:dyDescent="0.25">
      <c r="A538" s="2">
        <v>46126</v>
      </c>
      <c r="B538" s="3" t="s">
        <v>48</v>
      </c>
      <c r="C538" s="3" t="s">
        <v>91</v>
      </c>
      <c r="D538" s="11" t="s">
        <v>839</v>
      </c>
      <c r="E538" s="3"/>
      <c r="F538" s="3">
        <f>E538*5%</f>
        <v>0</v>
      </c>
      <c r="G538" s="4">
        <f t="shared" si="32"/>
        <v>0</v>
      </c>
      <c r="H538" s="3"/>
      <c r="I538" s="3"/>
      <c r="J538" s="3"/>
      <c r="K538" s="3"/>
      <c r="L538" s="3">
        <f t="shared" si="33"/>
        <v>0</v>
      </c>
      <c r="M538" s="3">
        <f t="shared" si="34"/>
        <v>0</v>
      </c>
      <c r="N538" s="3"/>
      <c r="O538" s="3"/>
      <c r="P538" s="3">
        <v>9000</v>
      </c>
      <c r="Q538" s="3"/>
      <c r="R538" s="3"/>
    </row>
    <row r="539" spans="1:18" x14ac:dyDescent="0.25">
      <c r="A539" s="2">
        <v>46127</v>
      </c>
      <c r="B539" s="3" t="s">
        <v>48</v>
      </c>
      <c r="C539" s="3" t="s">
        <v>70</v>
      </c>
      <c r="D539" s="11" t="s">
        <v>840</v>
      </c>
      <c r="E539" s="3">
        <v>37</v>
      </c>
      <c r="F539" s="3" t="s">
        <v>172</v>
      </c>
      <c r="G539" s="4">
        <f t="shared" si="32"/>
        <v>37</v>
      </c>
      <c r="H539" s="3"/>
      <c r="I539" s="3"/>
      <c r="J539" s="3"/>
      <c r="K539" s="3"/>
      <c r="L539" s="3">
        <f t="shared" si="33"/>
        <v>0</v>
      </c>
      <c r="M539" s="3">
        <f t="shared" si="34"/>
        <v>0</v>
      </c>
      <c r="N539" s="3"/>
      <c r="O539" s="3"/>
      <c r="P539" s="3"/>
      <c r="Q539" s="3"/>
      <c r="R539" s="3"/>
    </row>
    <row r="540" spans="1:18" x14ac:dyDescent="0.25">
      <c r="A540" s="2">
        <v>46127</v>
      </c>
      <c r="B540" s="3" t="s">
        <v>48</v>
      </c>
      <c r="C540" s="3" t="s">
        <v>64</v>
      </c>
      <c r="D540" s="11" t="s">
        <v>841</v>
      </c>
      <c r="E540" s="3">
        <v>140</v>
      </c>
      <c r="F540" s="3" t="s">
        <v>172</v>
      </c>
      <c r="G540" s="4">
        <f t="shared" si="32"/>
        <v>140</v>
      </c>
      <c r="H540" s="3"/>
      <c r="I540" s="3"/>
      <c r="J540" s="3"/>
      <c r="K540" s="3"/>
      <c r="L540" s="3">
        <f t="shared" si="33"/>
        <v>0</v>
      </c>
      <c r="M540" s="3">
        <f t="shared" si="34"/>
        <v>0</v>
      </c>
      <c r="N540" s="3"/>
      <c r="O540" s="3"/>
      <c r="P540" s="3"/>
      <c r="Q540" s="3"/>
      <c r="R540" s="3"/>
    </row>
    <row r="541" spans="1:18" x14ac:dyDescent="0.25">
      <c r="A541" s="2">
        <v>46127</v>
      </c>
      <c r="B541" s="3" t="s">
        <v>48</v>
      </c>
      <c r="C541" s="3" t="s">
        <v>73</v>
      </c>
      <c r="D541" s="11" t="s">
        <v>842</v>
      </c>
      <c r="E541" s="3">
        <v>105</v>
      </c>
      <c r="F541" s="3" t="s">
        <v>172</v>
      </c>
      <c r="G541" s="4">
        <f t="shared" si="32"/>
        <v>105</v>
      </c>
      <c r="H541" s="3"/>
      <c r="I541" s="3"/>
      <c r="J541" s="3"/>
      <c r="K541" s="3"/>
      <c r="L541" s="3">
        <f t="shared" si="33"/>
        <v>0</v>
      </c>
      <c r="M541" s="3">
        <f t="shared" si="34"/>
        <v>0</v>
      </c>
      <c r="N541" s="3"/>
      <c r="O541" s="3"/>
      <c r="P541" s="3"/>
      <c r="Q541" s="3"/>
      <c r="R541" s="3"/>
    </row>
    <row r="542" spans="1:18" x14ac:dyDescent="0.25">
      <c r="A542" s="2">
        <v>46127</v>
      </c>
      <c r="B542" s="3" t="s">
        <v>48</v>
      </c>
      <c r="C542" s="3" t="s">
        <v>70</v>
      </c>
      <c r="D542" s="11" t="s">
        <v>843</v>
      </c>
      <c r="E542" s="3">
        <v>10</v>
      </c>
      <c r="F542" s="3" t="s">
        <v>172</v>
      </c>
      <c r="G542" s="4">
        <f t="shared" si="32"/>
        <v>10</v>
      </c>
      <c r="H542" s="3"/>
      <c r="I542" s="3"/>
      <c r="J542" s="3"/>
      <c r="K542" s="3"/>
      <c r="L542" s="3">
        <f t="shared" si="33"/>
        <v>0</v>
      </c>
      <c r="M542" s="3">
        <f t="shared" si="34"/>
        <v>0</v>
      </c>
      <c r="N542" s="3"/>
      <c r="O542" s="3"/>
      <c r="P542" s="3"/>
      <c r="Q542" s="3"/>
      <c r="R542" s="3"/>
    </row>
    <row r="543" spans="1:18" x14ac:dyDescent="0.25">
      <c r="A543" s="2">
        <v>46128</v>
      </c>
      <c r="B543" s="3" t="s">
        <v>48</v>
      </c>
      <c r="C543" s="3" t="s">
        <v>49</v>
      </c>
      <c r="D543" s="11" t="s">
        <v>844</v>
      </c>
      <c r="E543" s="3"/>
      <c r="F543" s="3">
        <f>E543*5%</f>
        <v>0</v>
      </c>
      <c r="G543" s="4">
        <f t="shared" si="32"/>
        <v>0</v>
      </c>
      <c r="H543" s="3"/>
      <c r="I543" s="3"/>
      <c r="J543" s="3"/>
      <c r="K543" s="3"/>
      <c r="L543" s="3">
        <f t="shared" si="33"/>
        <v>0</v>
      </c>
      <c r="M543" s="3">
        <f t="shared" si="34"/>
        <v>0</v>
      </c>
      <c r="N543" s="3">
        <v>1860</v>
      </c>
      <c r="O543" s="3"/>
      <c r="P543" s="3"/>
      <c r="Q543" s="3"/>
      <c r="R543" s="3"/>
    </row>
    <row r="544" spans="1:18" x14ac:dyDescent="0.25">
      <c r="A544" s="2">
        <v>46128</v>
      </c>
      <c r="B544" s="3" t="s">
        <v>48</v>
      </c>
      <c r="C544" s="3" t="s">
        <v>70</v>
      </c>
      <c r="D544" s="11" t="s">
        <v>845</v>
      </c>
      <c r="E544" s="3">
        <v>39</v>
      </c>
      <c r="F544" s="3" t="s">
        <v>172</v>
      </c>
      <c r="G544" s="4">
        <f t="shared" si="32"/>
        <v>39</v>
      </c>
      <c r="H544" s="3"/>
      <c r="I544" s="3"/>
      <c r="J544" s="3"/>
      <c r="K544" s="3"/>
      <c r="L544" s="3">
        <f t="shared" si="33"/>
        <v>0</v>
      </c>
      <c r="M544" s="3">
        <f t="shared" si="34"/>
        <v>0</v>
      </c>
      <c r="N544" s="3"/>
      <c r="O544" s="3"/>
      <c r="P544" s="3"/>
      <c r="Q544" s="3"/>
      <c r="R544" s="3"/>
    </row>
    <row r="545" spans="1:18" x14ac:dyDescent="0.25">
      <c r="A545" s="2">
        <v>46128</v>
      </c>
      <c r="B545" s="3" t="s">
        <v>48</v>
      </c>
      <c r="C545" s="3" t="s">
        <v>92</v>
      </c>
      <c r="D545" s="11" t="s">
        <v>846</v>
      </c>
      <c r="E545" s="3"/>
      <c r="F545" s="3">
        <f>E545*5%</f>
        <v>0</v>
      </c>
      <c r="G545" s="4">
        <f t="shared" si="32"/>
        <v>0</v>
      </c>
      <c r="H545" s="3">
        <v>200</v>
      </c>
      <c r="I545" s="3"/>
      <c r="J545" s="3"/>
      <c r="K545" s="3"/>
      <c r="L545" s="3">
        <f t="shared" si="33"/>
        <v>0</v>
      </c>
      <c r="M545" s="3">
        <f t="shared" si="34"/>
        <v>0</v>
      </c>
      <c r="N545" s="3"/>
      <c r="O545" s="3"/>
      <c r="P545" s="3"/>
      <c r="Q545" s="3"/>
      <c r="R545" s="3"/>
    </row>
    <row r="546" spans="1:18" x14ac:dyDescent="0.25">
      <c r="A546" s="2">
        <v>46128</v>
      </c>
      <c r="B546" s="3" t="s">
        <v>48</v>
      </c>
      <c r="C546" s="3" t="s">
        <v>92</v>
      </c>
      <c r="D546" s="11" t="s">
        <v>847</v>
      </c>
      <c r="E546" s="3"/>
      <c r="F546" s="3">
        <f>E546*5%</f>
        <v>0</v>
      </c>
      <c r="G546" s="4">
        <f t="shared" si="32"/>
        <v>0</v>
      </c>
      <c r="H546" s="3">
        <v>2000</v>
      </c>
      <c r="I546" s="3"/>
      <c r="J546" s="3"/>
      <c r="K546" s="3"/>
      <c r="L546" s="3">
        <f t="shared" si="33"/>
        <v>0</v>
      </c>
      <c r="M546" s="3">
        <f t="shared" si="34"/>
        <v>0</v>
      </c>
      <c r="N546" s="3"/>
      <c r="O546" s="3"/>
      <c r="P546" s="3"/>
      <c r="Q546" s="3"/>
      <c r="R546" s="3"/>
    </row>
    <row r="547" spans="1:18" x14ac:dyDescent="0.25">
      <c r="A547" s="2">
        <v>46128</v>
      </c>
      <c r="B547" s="3" t="s">
        <v>48</v>
      </c>
      <c r="C547" s="3" t="s">
        <v>73</v>
      </c>
      <c r="D547" s="11" t="s">
        <v>848</v>
      </c>
      <c r="E547" s="3">
        <v>362.25</v>
      </c>
      <c r="F547" s="3" t="s">
        <v>172</v>
      </c>
      <c r="G547" s="4">
        <f t="shared" si="32"/>
        <v>362.25</v>
      </c>
      <c r="H547" s="3"/>
      <c r="I547" s="3"/>
      <c r="J547" s="3"/>
      <c r="K547" s="3"/>
      <c r="L547" s="3">
        <f t="shared" si="33"/>
        <v>0</v>
      </c>
      <c r="M547" s="3">
        <f t="shared" si="34"/>
        <v>0</v>
      </c>
      <c r="N547" s="3"/>
      <c r="O547" s="3"/>
      <c r="P547" s="3"/>
      <c r="Q547" s="3"/>
      <c r="R547" s="3"/>
    </row>
    <row r="548" spans="1:18" x14ac:dyDescent="0.25">
      <c r="A548" s="2">
        <v>46128</v>
      </c>
      <c r="B548" s="3" t="s">
        <v>48</v>
      </c>
      <c r="C548" s="3" t="s">
        <v>84</v>
      </c>
      <c r="D548" s="11" t="s">
        <v>849</v>
      </c>
      <c r="E548" s="3">
        <v>21</v>
      </c>
      <c r="F548" s="3" t="s">
        <v>172</v>
      </c>
      <c r="G548" s="4">
        <f t="shared" si="32"/>
        <v>21</v>
      </c>
      <c r="H548" s="3"/>
      <c r="I548" s="3"/>
      <c r="J548" s="3"/>
      <c r="K548" s="3"/>
      <c r="L548" s="3">
        <f t="shared" si="33"/>
        <v>0</v>
      </c>
      <c r="M548" s="3">
        <f t="shared" si="34"/>
        <v>0</v>
      </c>
      <c r="N548" s="3"/>
      <c r="O548" s="3"/>
      <c r="P548" s="3"/>
      <c r="Q548" s="3"/>
      <c r="R548" s="3"/>
    </row>
    <row r="549" spans="1:18" x14ac:dyDescent="0.25">
      <c r="A549" s="2">
        <v>46128</v>
      </c>
      <c r="B549" s="3" t="s">
        <v>48</v>
      </c>
      <c r="C549" s="3" t="s">
        <v>73</v>
      </c>
      <c r="D549" s="11" t="s">
        <v>850</v>
      </c>
      <c r="E549" s="3">
        <v>31.5</v>
      </c>
      <c r="F549" s="3" t="s">
        <v>172</v>
      </c>
      <c r="G549" s="4">
        <f t="shared" si="32"/>
        <v>31.5</v>
      </c>
      <c r="H549" s="3"/>
      <c r="I549" s="3"/>
      <c r="J549" s="3"/>
      <c r="K549" s="3"/>
      <c r="L549" s="3">
        <f t="shared" si="33"/>
        <v>0</v>
      </c>
      <c r="M549" s="3">
        <f t="shared" si="34"/>
        <v>0</v>
      </c>
      <c r="N549" s="3"/>
      <c r="O549" s="3"/>
      <c r="P549" s="3"/>
      <c r="Q549" s="3"/>
      <c r="R549" s="3"/>
    </row>
    <row r="550" spans="1:18" x14ac:dyDescent="0.25">
      <c r="A550" s="2">
        <v>46128</v>
      </c>
      <c r="B550" s="3" t="s">
        <v>48</v>
      </c>
      <c r="C550" s="3" t="s">
        <v>80</v>
      </c>
      <c r="D550" s="11" t="s">
        <v>851</v>
      </c>
      <c r="E550" s="3">
        <f>150/1.05</f>
        <v>142.85714285714286</v>
      </c>
      <c r="F550" s="3">
        <f>E550*5%</f>
        <v>7.1428571428571432</v>
      </c>
      <c r="G550" s="4">
        <f t="shared" si="32"/>
        <v>150</v>
      </c>
      <c r="H550" s="3"/>
      <c r="I550" s="3"/>
      <c r="J550" s="3"/>
      <c r="K550" s="3"/>
      <c r="L550" s="3">
        <f t="shared" si="33"/>
        <v>0</v>
      </c>
      <c r="M550" s="3">
        <f t="shared" si="34"/>
        <v>0</v>
      </c>
      <c r="N550" s="3"/>
      <c r="O550" s="3"/>
      <c r="P550" s="3"/>
      <c r="Q550" s="3"/>
      <c r="R550" s="3"/>
    </row>
    <row r="551" spans="1:18" x14ac:dyDescent="0.25">
      <c r="A551" s="2">
        <v>46129</v>
      </c>
      <c r="B551" s="3" t="s">
        <v>48</v>
      </c>
      <c r="C551" s="3" t="s">
        <v>49</v>
      </c>
      <c r="D551" s="11" t="s">
        <v>852</v>
      </c>
      <c r="E551" s="3">
        <v>11788.6</v>
      </c>
      <c r="F551" s="3">
        <f>E551*5%</f>
        <v>589.43000000000006</v>
      </c>
      <c r="G551" s="4">
        <f t="shared" si="32"/>
        <v>12378.03</v>
      </c>
      <c r="H551" s="3"/>
      <c r="I551" s="3"/>
      <c r="J551" s="3"/>
      <c r="K551" s="3"/>
      <c r="L551" s="3">
        <f t="shared" si="33"/>
        <v>0</v>
      </c>
      <c r="M551" s="3">
        <f t="shared" si="34"/>
        <v>0</v>
      </c>
      <c r="N551" s="3"/>
      <c r="O551" s="3"/>
      <c r="P551" s="3"/>
      <c r="Q551" s="3"/>
      <c r="R551" s="3"/>
    </row>
    <row r="552" spans="1:18" x14ac:dyDescent="0.25">
      <c r="A552" s="2">
        <v>46129</v>
      </c>
      <c r="B552" s="3" t="s">
        <v>48</v>
      </c>
      <c r="C552" s="3" t="s">
        <v>49</v>
      </c>
      <c r="D552" s="11" t="s">
        <v>853</v>
      </c>
      <c r="E552" s="3">
        <v>2340</v>
      </c>
      <c r="F552" s="3">
        <f>E552*5%</f>
        <v>117</v>
      </c>
      <c r="G552" s="4">
        <f t="shared" si="32"/>
        <v>2457</v>
      </c>
      <c r="H552" s="3"/>
      <c r="I552" s="3"/>
      <c r="J552" s="3"/>
      <c r="K552" s="3"/>
      <c r="L552" s="3">
        <f t="shared" si="33"/>
        <v>0</v>
      </c>
      <c r="M552" s="3">
        <f t="shared" si="34"/>
        <v>0</v>
      </c>
      <c r="N552" s="3"/>
      <c r="O552" s="3"/>
      <c r="P552" s="3"/>
      <c r="Q552" s="3"/>
      <c r="R552" s="3"/>
    </row>
    <row r="553" spans="1:18" x14ac:dyDescent="0.25">
      <c r="A553" s="2">
        <v>46129</v>
      </c>
      <c r="B553" s="2" t="s">
        <v>285</v>
      </c>
      <c r="C553" s="3" t="s">
        <v>49</v>
      </c>
      <c r="D553" s="11" t="s">
        <v>854</v>
      </c>
      <c r="E553" s="3">
        <v>6430</v>
      </c>
      <c r="F553" s="3" t="s">
        <v>172</v>
      </c>
      <c r="G553" s="4">
        <f t="shared" si="32"/>
        <v>6430</v>
      </c>
      <c r="H553" s="3"/>
      <c r="I553" s="3"/>
      <c r="J553" s="3"/>
      <c r="K553" s="3"/>
      <c r="L553" s="3">
        <f t="shared" si="33"/>
        <v>0</v>
      </c>
      <c r="M553" s="3">
        <f t="shared" si="34"/>
        <v>0</v>
      </c>
      <c r="N553" s="3"/>
      <c r="O553" s="3"/>
      <c r="P553" s="3"/>
      <c r="Q553" s="3"/>
      <c r="R553" s="3"/>
    </row>
    <row r="554" spans="1:18" x14ac:dyDescent="0.25">
      <c r="A554" s="2">
        <v>46129</v>
      </c>
      <c r="B554" s="2" t="s">
        <v>285</v>
      </c>
      <c r="C554" s="3" t="s">
        <v>49</v>
      </c>
      <c r="D554" s="11" t="s">
        <v>855</v>
      </c>
      <c r="E554" s="3">
        <v>-8384.2999999999993</v>
      </c>
      <c r="F554" s="3" t="s">
        <v>172</v>
      </c>
      <c r="G554" s="4">
        <f t="shared" si="32"/>
        <v>-8384.2999999999993</v>
      </c>
      <c r="H554" s="3"/>
      <c r="I554" s="3"/>
      <c r="J554" s="3"/>
      <c r="K554" s="3"/>
      <c r="L554" s="3">
        <f t="shared" si="33"/>
        <v>0</v>
      </c>
      <c r="M554" s="3">
        <f t="shared" si="34"/>
        <v>0</v>
      </c>
      <c r="N554" s="3"/>
      <c r="O554" s="3"/>
      <c r="P554" s="3"/>
      <c r="Q554" s="3"/>
      <c r="R554" s="3"/>
    </row>
    <row r="555" spans="1:18" x14ac:dyDescent="0.25">
      <c r="A555" s="2">
        <v>46129</v>
      </c>
      <c r="B555" s="2" t="s">
        <v>285</v>
      </c>
      <c r="C555" s="3" t="str">
        <f>"MACHINERY"</f>
        <v>MACHINERY</v>
      </c>
      <c r="D555" s="11" t="s">
        <v>856</v>
      </c>
      <c r="E555" s="3"/>
      <c r="F555" s="3">
        <f>E555*5%</f>
        <v>0</v>
      </c>
      <c r="G555" s="4">
        <f t="shared" si="32"/>
        <v>0</v>
      </c>
      <c r="H555" s="3"/>
      <c r="I555" s="3"/>
      <c r="J555" s="3"/>
      <c r="K555" s="3">
        <v>-7432.47</v>
      </c>
      <c r="L555" s="3" t="s">
        <v>172</v>
      </c>
      <c r="M555" s="3">
        <f t="shared" si="34"/>
        <v>-7432.47</v>
      </c>
      <c r="N555" s="3"/>
      <c r="O555" s="3"/>
      <c r="P555" s="3"/>
      <c r="Q555" s="3"/>
      <c r="R555" s="3"/>
    </row>
    <row r="556" spans="1:18" x14ac:dyDescent="0.25">
      <c r="A556" s="2">
        <v>46129</v>
      </c>
      <c r="B556" s="3" t="s">
        <v>48</v>
      </c>
      <c r="C556" s="3" t="s">
        <v>70</v>
      </c>
      <c r="D556" s="11" t="s">
        <v>857</v>
      </c>
      <c r="E556" s="3">
        <v>40</v>
      </c>
      <c r="F556" s="3" t="s">
        <v>172</v>
      </c>
      <c r="G556" s="4">
        <f t="shared" si="32"/>
        <v>40</v>
      </c>
      <c r="H556" s="3"/>
      <c r="I556" s="3"/>
      <c r="J556" s="3"/>
      <c r="K556" s="3"/>
      <c r="L556" s="3">
        <f t="shared" ref="L556:L619" si="35">K556*5%</f>
        <v>0</v>
      </c>
      <c r="M556" s="3">
        <f t="shared" si="34"/>
        <v>0</v>
      </c>
      <c r="N556" s="3"/>
      <c r="O556" s="3"/>
      <c r="P556" s="3"/>
      <c r="Q556" s="3"/>
      <c r="R556" s="3"/>
    </row>
    <row r="557" spans="1:18" x14ac:dyDescent="0.25">
      <c r="A557" s="2">
        <v>46129</v>
      </c>
      <c r="B557" s="3" t="s">
        <v>48</v>
      </c>
      <c r="C557" s="3" t="s">
        <v>51</v>
      </c>
      <c r="D557" s="11" t="s">
        <v>858</v>
      </c>
      <c r="E557" s="3">
        <v>95.24</v>
      </c>
      <c r="F557" s="3">
        <f>E557*5%</f>
        <v>4.7619999999999996</v>
      </c>
      <c r="G557" s="4">
        <f t="shared" si="32"/>
        <v>100.002</v>
      </c>
      <c r="H557" s="3"/>
      <c r="I557" s="3"/>
      <c r="J557" s="3"/>
      <c r="K557" s="3"/>
      <c r="L557" s="3">
        <f t="shared" si="35"/>
        <v>0</v>
      </c>
      <c r="M557" s="3">
        <f t="shared" si="34"/>
        <v>0</v>
      </c>
      <c r="N557" s="3"/>
      <c r="O557" s="3"/>
      <c r="P557" s="3"/>
      <c r="Q557" s="3"/>
      <c r="R557" s="3"/>
    </row>
    <row r="558" spans="1:18" x14ac:dyDescent="0.25">
      <c r="A558" s="2">
        <v>46129</v>
      </c>
      <c r="B558" s="3" t="s">
        <v>48</v>
      </c>
      <c r="C558" s="198" t="s">
        <v>80</v>
      </c>
      <c r="D558" s="11" t="s">
        <v>859</v>
      </c>
      <c r="E558" s="198">
        <v>333.33</v>
      </c>
      <c r="F558" s="3">
        <f>E558*5%</f>
        <v>16.666499999999999</v>
      </c>
      <c r="G558" s="4">
        <f t="shared" si="32"/>
        <v>349.99649999999997</v>
      </c>
      <c r="H558" s="3"/>
      <c r="I558" s="3"/>
      <c r="J558" s="3"/>
      <c r="K558" s="3"/>
      <c r="L558" s="3">
        <f t="shared" si="35"/>
        <v>0</v>
      </c>
      <c r="M558" s="3">
        <f t="shared" si="34"/>
        <v>0</v>
      </c>
      <c r="N558" s="3"/>
      <c r="O558" s="3"/>
      <c r="P558" s="3"/>
      <c r="Q558" s="3"/>
      <c r="R558" s="3"/>
    </row>
    <row r="559" spans="1:18" x14ac:dyDescent="0.25">
      <c r="A559" s="2">
        <v>46129</v>
      </c>
      <c r="B559" s="3" t="s">
        <v>48</v>
      </c>
      <c r="C559" s="3" t="s">
        <v>91</v>
      </c>
      <c r="D559" s="11" t="s">
        <v>860</v>
      </c>
      <c r="E559" s="3"/>
      <c r="F559" s="3">
        <f>E559*5%</f>
        <v>0</v>
      </c>
      <c r="G559" s="4">
        <f t="shared" si="32"/>
        <v>0</v>
      </c>
      <c r="H559" s="3"/>
      <c r="I559" s="3"/>
      <c r="J559" s="3"/>
      <c r="K559" s="3"/>
      <c r="L559" s="3">
        <f t="shared" si="35"/>
        <v>0</v>
      </c>
      <c r="M559" s="3">
        <f t="shared" si="34"/>
        <v>0</v>
      </c>
      <c r="N559" s="3"/>
      <c r="O559" s="3"/>
      <c r="P559" s="3">
        <v>7500</v>
      </c>
      <c r="Q559" s="3"/>
      <c r="R559" s="3"/>
    </row>
    <row r="560" spans="1:18" x14ac:dyDescent="0.25">
      <c r="A560" s="2">
        <v>46130</v>
      </c>
      <c r="B560" s="3" t="s">
        <v>48</v>
      </c>
      <c r="C560" s="3" t="s">
        <v>63</v>
      </c>
      <c r="D560" s="11" t="s">
        <v>861</v>
      </c>
      <c r="E560" s="3">
        <v>3937</v>
      </c>
      <c r="F560" s="3">
        <f>E560*5%</f>
        <v>196.85000000000002</v>
      </c>
      <c r="G560" s="187">
        <f t="shared" si="32"/>
        <v>4133.8500000000004</v>
      </c>
      <c r="H560" s="3"/>
      <c r="I560" s="3"/>
      <c r="J560" s="3"/>
      <c r="K560" s="3"/>
      <c r="L560" s="3">
        <f t="shared" si="35"/>
        <v>0</v>
      </c>
      <c r="M560" s="3">
        <f t="shared" si="34"/>
        <v>0</v>
      </c>
      <c r="N560" s="3"/>
      <c r="O560" s="3"/>
      <c r="P560" s="3"/>
      <c r="Q560" s="3"/>
      <c r="R560" s="3"/>
    </row>
    <row r="561" spans="1:18" x14ac:dyDescent="0.25">
      <c r="A561" s="2">
        <v>46130</v>
      </c>
      <c r="B561" s="3" t="s">
        <v>48</v>
      </c>
      <c r="C561" s="3" t="s">
        <v>93</v>
      </c>
      <c r="D561" s="11" t="s">
        <v>862</v>
      </c>
      <c r="E561" s="3">
        <v>1000</v>
      </c>
      <c r="F561" s="3" t="s">
        <v>172</v>
      </c>
      <c r="G561" s="4">
        <f t="shared" si="32"/>
        <v>1000</v>
      </c>
      <c r="H561" s="3"/>
      <c r="I561" s="3"/>
      <c r="J561" s="3"/>
      <c r="K561" s="3"/>
      <c r="L561" s="3">
        <f t="shared" si="35"/>
        <v>0</v>
      </c>
      <c r="M561" s="3">
        <f t="shared" si="34"/>
        <v>0</v>
      </c>
      <c r="N561" s="3"/>
      <c r="O561" s="3"/>
      <c r="P561" s="3"/>
      <c r="Q561" s="3"/>
      <c r="R561" s="3"/>
    </row>
    <row r="562" spans="1:18" x14ac:dyDescent="0.25">
      <c r="A562" s="2">
        <v>46130</v>
      </c>
      <c r="B562" s="3" t="s">
        <v>48</v>
      </c>
      <c r="C562" s="3" t="s">
        <v>92</v>
      </c>
      <c r="D562" s="11" t="s">
        <v>863</v>
      </c>
      <c r="E562" s="3">
        <v>0</v>
      </c>
      <c r="F562" s="3">
        <f>E562*5%</f>
        <v>0</v>
      </c>
      <c r="G562" s="4">
        <f t="shared" si="32"/>
        <v>0</v>
      </c>
      <c r="H562" s="3">
        <v>500</v>
      </c>
      <c r="I562" s="3"/>
      <c r="J562" s="3"/>
      <c r="K562" s="3"/>
      <c r="L562" s="3">
        <f t="shared" si="35"/>
        <v>0</v>
      </c>
      <c r="M562" s="3">
        <f t="shared" si="34"/>
        <v>0</v>
      </c>
      <c r="N562" s="3"/>
      <c r="O562" s="3"/>
      <c r="P562" s="3"/>
      <c r="Q562" s="3"/>
      <c r="R562" s="3"/>
    </row>
    <row r="563" spans="1:18" x14ac:dyDescent="0.25">
      <c r="A563" s="2">
        <v>46130</v>
      </c>
      <c r="B563" s="3" t="s">
        <v>48</v>
      </c>
      <c r="C563" s="3" t="s">
        <v>49</v>
      </c>
      <c r="D563" s="11" t="s">
        <v>864</v>
      </c>
      <c r="E563" s="3">
        <v>2525.0500000000002</v>
      </c>
      <c r="F563" s="3">
        <f>E563*5%</f>
        <v>126.25250000000001</v>
      </c>
      <c r="G563" s="187">
        <f t="shared" si="32"/>
        <v>2651.3025000000002</v>
      </c>
      <c r="H563" s="3"/>
      <c r="I563" s="3"/>
      <c r="J563" s="3"/>
      <c r="K563" s="3"/>
      <c r="L563" s="3">
        <f t="shared" si="35"/>
        <v>0</v>
      </c>
      <c r="M563" s="3">
        <f t="shared" si="34"/>
        <v>0</v>
      </c>
      <c r="N563" s="3"/>
      <c r="O563" s="3"/>
      <c r="P563" s="3"/>
      <c r="Q563" s="3"/>
      <c r="R563" s="3"/>
    </row>
    <row r="564" spans="1:18" x14ac:dyDescent="0.25">
      <c r="A564" s="2">
        <v>46130</v>
      </c>
      <c r="B564" s="3" t="s">
        <v>48</v>
      </c>
      <c r="C564" s="3" t="s">
        <v>92</v>
      </c>
      <c r="D564" s="11" t="s">
        <v>865</v>
      </c>
      <c r="E564" s="3"/>
      <c r="F564" s="3">
        <f>E564*5%</f>
        <v>0</v>
      </c>
      <c r="G564" s="4">
        <f t="shared" si="32"/>
        <v>0</v>
      </c>
      <c r="H564" s="3">
        <v>50</v>
      </c>
      <c r="I564" s="3"/>
      <c r="J564" s="3"/>
      <c r="K564" s="3"/>
      <c r="L564" s="3">
        <f t="shared" si="35"/>
        <v>0</v>
      </c>
      <c r="M564" s="3">
        <f t="shared" si="34"/>
        <v>0</v>
      </c>
      <c r="N564" s="3"/>
      <c r="O564" s="3"/>
      <c r="P564" s="3"/>
      <c r="Q564" s="3"/>
      <c r="R564" s="3"/>
    </row>
    <row r="565" spans="1:18" x14ac:dyDescent="0.25">
      <c r="A565" s="2">
        <v>46130</v>
      </c>
      <c r="B565" s="3" t="s">
        <v>48</v>
      </c>
      <c r="C565" s="3" t="s">
        <v>92</v>
      </c>
      <c r="D565" s="11" t="s">
        <v>866</v>
      </c>
      <c r="E565" s="3"/>
      <c r="F565" s="3">
        <f>E565*5%</f>
        <v>0</v>
      </c>
      <c r="G565" s="4">
        <f t="shared" si="32"/>
        <v>0</v>
      </c>
      <c r="H565" s="3">
        <v>50</v>
      </c>
      <c r="I565" s="3"/>
      <c r="J565" s="3"/>
      <c r="K565" s="3"/>
      <c r="L565" s="3">
        <f t="shared" si="35"/>
        <v>0</v>
      </c>
      <c r="M565" s="3">
        <f t="shared" si="34"/>
        <v>0</v>
      </c>
      <c r="N565" s="3"/>
      <c r="O565" s="3"/>
      <c r="P565" s="3"/>
      <c r="Q565" s="3"/>
      <c r="R565" s="3"/>
    </row>
    <row r="566" spans="1:18" x14ac:dyDescent="0.25">
      <c r="A566" s="2">
        <v>46130</v>
      </c>
      <c r="B566" s="3" t="s">
        <v>48</v>
      </c>
      <c r="C566" s="3" t="s">
        <v>73</v>
      </c>
      <c r="D566" s="11" t="s">
        <v>867</v>
      </c>
      <c r="E566" s="3">
        <v>55</v>
      </c>
      <c r="F566" s="3" t="s">
        <v>172</v>
      </c>
      <c r="G566" s="4">
        <f t="shared" si="32"/>
        <v>55</v>
      </c>
      <c r="H566" s="3"/>
      <c r="I566" s="3"/>
      <c r="J566" s="3"/>
      <c r="K566" s="3"/>
      <c r="L566" s="3">
        <f t="shared" si="35"/>
        <v>0</v>
      </c>
      <c r="M566" s="3">
        <f t="shared" si="34"/>
        <v>0</v>
      </c>
      <c r="N566" s="3"/>
      <c r="O566" s="3"/>
      <c r="P566" s="3"/>
      <c r="Q566" s="3"/>
      <c r="R566" s="3"/>
    </row>
    <row r="567" spans="1:18" x14ac:dyDescent="0.25">
      <c r="A567" s="2">
        <v>46130</v>
      </c>
      <c r="B567" s="3" t="s">
        <v>48</v>
      </c>
      <c r="C567" s="3" t="s">
        <v>49</v>
      </c>
      <c r="D567" s="11" t="s">
        <v>868</v>
      </c>
      <c r="E567" s="3">
        <v>209</v>
      </c>
      <c r="F567" s="3">
        <f>E567*5%</f>
        <v>10.450000000000001</v>
      </c>
      <c r="G567" s="234">
        <f t="shared" ref="G567:G630" si="36">IF(F567="NO TAX",E567,E567+F567)</f>
        <v>219.45</v>
      </c>
      <c r="H567" s="3"/>
      <c r="I567" s="3"/>
      <c r="J567" s="3"/>
      <c r="K567" s="3"/>
      <c r="L567" s="3">
        <f t="shared" si="35"/>
        <v>0</v>
      </c>
      <c r="M567" s="3">
        <f t="shared" ref="M567:M630" si="37">IF(L567="NO TAX",K567,K567+L567)</f>
        <v>0</v>
      </c>
      <c r="N567" s="3"/>
      <c r="O567" s="3"/>
      <c r="P567" s="3"/>
      <c r="Q567" s="3"/>
      <c r="R567" s="3"/>
    </row>
    <row r="568" spans="1:18" x14ac:dyDescent="0.25">
      <c r="A568" s="2">
        <v>46130</v>
      </c>
      <c r="B568" s="3" t="s">
        <v>48</v>
      </c>
      <c r="C568" s="3" t="s">
        <v>66</v>
      </c>
      <c r="D568" s="11" t="s">
        <v>869</v>
      </c>
      <c r="E568" s="3">
        <v>9.5</v>
      </c>
      <c r="F568" s="3" t="s">
        <v>172</v>
      </c>
      <c r="G568" s="4">
        <f t="shared" si="36"/>
        <v>9.5</v>
      </c>
      <c r="H568" s="3"/>
      <c r="I568" s="3"/>
      <c r="J568" s="3"/>
      <c r="K568" s="3"/>
      <c r="L568" s="3">
        <f t="shared" si="35"/>
        <v>0</v>
      </c>
      <c r="M568" s="3">
        <f t="shared" si="37"/>
        <v>0</v>
      </c>
      <c r="N568" s="3"/>
      <c r="O568" s="3"/>
      <c r="P568" s="3"/>
      <c r="Q568" s="3"/>
      <c r="R568" s="3"/>
    </row>
    <row r="569" spans="1:18" x14ac:dyDescent="0.25">
      <c r="A569" s="2">
        <v>46130</v>
      </c>
      <c r="B569" s="3" t="s">
        <v>48</v>
      </c>
      <c r="C569" s="3" t="s">
        <v>91</v>
      </c>
      <c r="D569" s="11" t="s">
        <v>870</v>
      </c>
      <c r="E569" s="3">
        <v>1500</v>
      </c>
      <c r="F569" s="3" t="s">
        <v>172</v>
      </c>
      <c r="G569" s="4">
        <f t="shared" si="36"/>
        <v>1500</v>
      </c>
      <c r="H569" s="3"/>
      <c r="I569" s="3"/>
      <c r="J569" s="3"/>
      <c r="K569" s="3"/>
      <c r="L569" s="3">
        <f t="shared" si="35"/>
        <v>0</v>
      </c>
      <c r="M569" s="3">
        <f t="shared" si="37"/>
        <v>0</v>
      </c>
      <c r="N569" s="3"/>
      <c r="O569" s="3"/>
      <c r="P569" s="3"/>
      <c r="Q569" s="3"/>
      <c r="R569" s="3"/>
    </row>
    <row r="570" spans="1:18" x14ac:dyDescent="0.25">
      <c r="A570" s="2">
        <v>46130</v>
      </c>
      <c r="B570" s="3" t="s">
        <v>48</v>
      </c>
      <c r="C570" s="3" t="s">
        <v>92</v>
      </c>
      <c r="D570" s="11" t="s">
        <v>871</v>
      </c>
      <c r="E570" s="3"/>
      <c r="F570" s="3">
        <f t="shared" ref="F570:F576" si="38">E570*5%</f>
        <v>0</v>
      </c>
      <c r="G570" s="4">
        <f t="shared" si="36"/>
        <v>0</v>
      </c>
      <c r="H570" s="3">
        <v>1000</v>
      </c>
      <c r="I570" s="3"/>
      <c r="J570" s="3"/>
      <c r="K570" s="3"/>
      <c r="L570" s="3">
        <f t="shared" si="35"/>
        <v>0</v>
      </c>
      <c r="M570" s="3">
        <f t="shared" si="37"/>
        <v>0</v>
      </c>
      <c r="N570" s="3"/>
      <c r="O570" s="3"/>
      <c r="P570" s="3"/>
      <c r="Q570" s="3"/>
      <c r="R570" s="3"/>
    </row>
    <row r="571" spans="1:18" x14ac:dyDescent="0.25">
      <c r="A571" s="2">
        <v>46130</v>
      </c>
      <c r="B571" s="3" t="s">
        <v>48</v>
      </c>
      <c r="C571" s="3" t="s">
        <v>92</v>
      </c>
      <c r="D571" s="11" t="s">
        <v>872</v>
      </c>
      <c r="E571" s="3"/>
      <c r="F571" s="3">
        <f t="shared" si="38"/>
        <v>0</v>
      </c>
      <c r="G571" s="4">
        <f t="shared" si="36"/>
        <v>0</v>
      </c>
      <c r="H571" s="3">
        <v>50</v>
      </c>
      <c r="I571" s="3"/>
      <c r="J571" s="3"/>
      <c r="K571" s="3"/>
      <c r="L571" s="3">
        <f t="shared" si="35"/>
        <v>0</v>
      </c>
      <c r="M571" s="3">
        <f t="shared" si="37"/>
        <v>0</v>
      </c>
      <c r="N571" s="3"/>
      <c r="O571" s="3"/>
      <c r="P571" s="3"/>
      <c r="Q571" s="3"/>
      <c r="R571" s="3"/>
    </row>
    <row r="572" spans="1:18" x14ac:dyDescent="0.25">
      <c r="A572" s="2">
        <v>46130</v>
      </c>
      <c r="B572" s="3" t="s">
        <v>54</v>
      </c>
      <c r="C572" s="3" t="s">
        <v>85</v>
      </c>
      <c r="D572" s="11" t="s">
        <v>873</v>
      </c>
      <c r="E572" s="3">
        <v>32142.5</v>
      </c>
      <c r="F572" s="3">
        <f t="shared" si="38"/>
        <v>1607.125</v>
      </c>
      <c r="G572" s="4">
        <f t="shared" si="36"/>
        <v>33749.625</v>
      </c>
      <c r="H572" s="3"/>
      <c r="I572" s="3"/>
      <c r="J572" s="3"/>
      <c r="K572" s="3"/>
      <c r="L572" s="3">
        <f t="shared" si="35"/>
        <v>0</v>
      </c>
      <c r="M572" s="3">
        <f t="shared" si="37"/>
        <v>0</v>
      </c>
      <c r="N572" s="3"/>
      <c r="O572" s="3"/>
      <c r="P572" s="3"/>
      <c r="Q572" s="3"/>
      <c r="R572" s="3"/>
    </row>
    <row r="573" spans="1:18" x14ac:dyDescent="0.25">
      <c r="A573" s="2">
        <v>46130</v>
      </c>
      <c r="B573" s="3" t="s">
        <v>54</v>
      </c>
      <c r="C573" s="3" t="s">
        <v>86</v>
      </c>
      <c r="D573" s="11" t="s">
        <v>874</v>
      </c>
      <c r="E573" s="3">
        <v>9890</v>
      </c>
      <c r="F573" s="3">
        <f t="shared" si="38"/>
        <v>494.5</v>
      </c>
      <c r="G573" s="4">
        <f t="shared" si="36"/>
        <v>10384.5</v>
      </c>
      <c r="H573" s="3"/>
      <c r="I573" s="3"/>
      <c r="J573" s="3"/>
      <c r="K573" s="3"/>
      <c r="L573" s="3">
        <f t="shared" si="35"/>
        <v>0</v>
      </c>
      <c r="M573" s="3">
        <f t="shared" si="37"/>
        <v>0</v>
      </c>
      <c r="N573" s="3"/>
      <c r="O573" s="3"/>
      <c r="P573" s="3"/>
      <c r="Q573" s="3"/>
      <c r="R573" s="3"/>
    </row>
    <row r="574" spans="1:18" x14ac:dyDescent="0.25">
      <c r="A574" s="2">
        <v>46130</v>
      </c>
      <c r="B574" s="3" t="s">
        <v>54</v>
      </c>
      <c r="C574" s="3" t="s">
        <v>87</v>
      </c>
      <c r="D574" s="11" t="s">
        <v>875</v>
      </c>
      <c r="E574" s="3">
        <v>17307.5</v>
      </c>
      <c r="F574" s="3">
        <f t="shared" si="38"/>
        <v>865.375</v>
      </c>
      <c r="G574" s="4">
        <f t="shared" si="36"/>
        <v>18172.875</v>
      </c>
      <c r="H574" s="3"/>
      <c r="I574" s="3"/>
      <c r="J574" s="3"/>
      <c r="K574" s="3"/>
      <c r="L574" s="3">
        <f t="shared" si="35"/>
        <v>0</v>
      </c>
      <c r="M574" s="3">
        <f t="shared" si="37"/>
        <v>0</v>
      </c>
      <c r="N574" s="3"/>
      <c r="O574" s="3"/>
      <c r="P574" s="3"/>
      <c r="Q574" s="3"/>
      <c r="R574" s="3"/>
    </row>
    <row r="575" spans="1:18" x14ac:dyDescent="0.25">
      <c r="A575" s="2">
        <v>46132</v>
      </c>
      <c r="B575" s="3" t="s">
        <v>48</v>
      </c>
      <c r="C575" s="3" t="s">
        <v>49</v>
      </c>
      <c r="D575" s="11" t="s">
        <v>876</v>
      </c>
      <c r="E575" s="3">
        <v>3110</v>
      </c>
      <c r="F575" s="3">
        <f t="shared" si="38"/>
        <v>155.5</v>
      </c>
      <c r="G575" s="4">
        <f t="shared" si="36"/>
        <v>3265.5</v>
      </c>
      <c r="H575" s="3"/>
      <c r="I575" s="3"/>
      <c r="J575" s="3"/>
      <c r="K575" s="3"/>
      <c r="L575" s="3">
        <f t="shared" si="35"/>
        <v>0</v>
      </c>
      <c r="M575" s="3">
        <f t="shared" si="37"/>
        <v>0</v>
      </c>
      <c r="N575" s="3"/>
      <c r="O575" s="3"/>
      <c r="P575" s="3"/>
      <c r="Q575" s="3"/>
      <c r="R575" s="3"/>
    </row>
    <row r="576" spans="1:18" x14ac:dyDescent="0.25">
      <c r="A576" s="2">
        <v>46132</v>
      </c>
      <c r="B576" s="3" t="s">
        <v>48</v>
      </c>
      <c r="C576" s="3" t="s">
        <v>92</v>
      </c>
      <c r="D576" s="11" t="s">
        <v>877</v>
      </c>
      <c r="E576" s="3"/>
      <c r="F576" s="3">
        <f t="shared" si="38"/>
        <v>0</v>
      </c>
      <c r="G576" s="4">
        <f t="shared" si="36"/>
        <v>0</v>
      </c>
      <c r="H576" s="3">
        <v>500</v>
      </c>
      <c r="I576" s="3"/>
      <c r="J576" s="3"/>
      <c r="K576" s="3"/>
      <c r="L576" s="3">
        <f t="shared" si="35"/>
        <v>0</v>
      </c>
      <c r="M576" s="3">
        <f t="shared" si="37"/>
        <v>0</v>
      </c>
      <c r="N576" s="3"/>
      <c r="O576" s="3"/>
      <c r="P576" s="3"/>
      <c r="Q576" s="3"/>
      <c r="R576" s="3"/>
    </row>
    <row r="577" spans="1:18" x14ac:dyDescent="0.25">
      <c r="A577" s="2">
        <v>46132</v>
      </c>
      <c r="B577" s="3" t="s">
        <v>48</v>
      </c>
      <c r="C577" s="3" t="s">
        <v>64</v>
      </c>
      <c r="D577" s="11" t="s">
        <v>878</v>
      </c>
      <c r="E577" s="3">
        <v>100</v>
      </c>
      <c r="F577" s="3" t="s">
        <v>172</v>
      </c>
      <c r="G577" s="4">
        <f t="shared" si="36"/>
        <v>100</v>
      </c>
      <c r="H577" s="3"/>
      <c r="I577" s="3"/>
      <c r="J577" s="3"/>
      <c r="K577" s="3"/>
      <c r="L577" s="3">
        <f t="shared" si="35"/>
        <v>0</v>
      </c>
      <c r="M577" s="3">
        <f t="shared" si="37"/>
        <v>0</v>
      </c>
      <c r="N577" s="3"/>
      <c r="O577" s="3"/>
      <c r="P577" s="3"/>
      <c r="Q577" s="3"/>
      <c r="R577" s="3"/>
    </row>
    <row r="578" spans="1:18" x14ac:dyDescent="0.25">
      <c r="A578" s="2">
        <v>46132</v>
      </c>
      <c r="B578" s="3" t="s">
        <v>48</v>
      </c>
      <c r="C578" s="3" t="s">
        <v>92</v>
      </c>
      <c r="D578" s="11" t="s">
        <v>879</v>
      </c>
      <c r="E578" s="3">
        <v>0</v>
      </c>
      <c r="F578" s="3">
        <f>E578*5%</f>
        <v>0</v>
      </c>
      <c r="G578" s="4">
        <f t="shared" si="36"/>
        <v>0</v>
      </c>
      <c r="H578" s="3">
        <v>50</v>
      </c>
      <c r="I578" s="3"/>
      <c r="J578" s="3"/>
      <c r="K578" s="3"/>
      <c r="L578" s="3">
        <f t="shared" si="35"/>
        <v>0</v>
      </c>
      <c r="M578" s="3">
        <f t="shared" si="37"/>
        <v>0</v>
      </c>
      <c r="N578" s="3"/>
      <c r="O578" s="3"/>
      <c r="P578" s="3"/>
      <c r="Q578" s="3"/>
      <c r="R578" s="3"/>
    </row>
    <row r="579" spans="1:18" x14ac:dyDescent="0.25">
      <c r="A579" s="2">
        <v>46132</v>
      </c>
      <c r="B579" s="3" t="s">
        <v>48</v>
      </c>
      <c r="C579" s="3" t="s">
        <v>73</v>
      </c>
      <c r="D579" s="11" t="s">
        <v>880</v>
      </c>
      <c r="E579" s="3">
        <v>52</v>
      </c>
      <c r="F579" s="3" t="s">
        <v>172</v>
      </c>
      <c r="G579" s="4">
        <f t="shared" si="36"/>
        <v>52</v>
      </c>
      <c r="H579" s="3"/>
      <c r="I579" s="3"/>
      <c r="J579" s="3"/>
      <c r="K579" s="3"/>
      <c r="L579" s="3">
        <f t="shared" si="35"/>
        <v>0</v>
      </c>
      <c r="M579" s="3">
        <f t="shared" si="37"/>
        <v>0</v>
      </c>
      <c r="N579" s="3"/>
      <c r="O579" s="3"/>
      <c r="P579" s="3"/>
      <c r="Q579" s="3"/>
      <c r="R579" s="3"/>
    </row>
    <row r="580" spans="1:18" x14ac:dyDescent="0.25">
      <c r="A580" s="2">
        <v>46132</v>
      </c>
      <c r="B580" s="3" t="s">
        <v>48</v>
      </c>
      <c r="C580" s="3" t="s">
        <v>221</v>
      </c>
      <c r="D580" s="11" t="s">
        <v>881</v>
      </c>
      <c r="E580" s="3"/>
      <c r="F580" s="3">
        <f>E580*5%</f>
        <v>0</v>
      </c>
      <c r="G580" s="4">
        <f t="shared" si="36"/>
        <v>0</v>
      </c>
      <c r="H580" s="3"/>
      <c r="I580" s="3"/>
      <c r="J580" s="3"/>
      <c r="K580" s="3"/>
      <c r="L580" s="3">
        <f t="shared" si="35"/>
        <v>0</v>
      </c>
      <c r="M580" s="3">
        <f t="shared" si="37"/>
        <v>0</v>
      </c>
      <c r="N580" s="3"/>
      <c r="O580" s="3"/>
      <c r="P580" s="3">
        <v>5900</v>
      </c>
      <c r="Q580" s="3"/>
      <c r="R580" s="3"/>
    </row>
    <row r="581" spans="1:18" x14ac:dyDescent="0.25">
      <c r="A581" s="2">
        <v>46133</v>
      </c>
      <c r="B581" s="3" t="s">
        <v>48</v>
      </c>
      <c r="C581" s="3" t="s">
        <v>71</v>
      </c>
      <c r="D581" s="11" t="s">
        <v>882</v>
      </c>
      <c r="E581" s="3">
        <v>165</v>
      </c>
      <c r="F581" s="3">
        <f>E581*5%</f>
        <v>8.25</v>
      </c>
      <c r="G581" s="187">
        <f t="shared" si="36"/>
        <v>173.25</v>
      </c>
      <c r="H581" s="3"/>
      <c r="I581" s="3"/>
      <c r="J581" s="3"/>
      <c r="K581" s="3"/>
      <c r="L581" s="3">
        <f t="shared" si="35"/>
        <v>0</v>
      </c>
      <c r="M581" s="3">
        <f t="shared" si="37"/>
        <v>0</v>
      </c>
      <c r="N581" s="3"/>
      <c r="O581" s="3"/>
      <c r="P581" s="3"/>
      <c r="Q581" s="3"/>
      <c r="R581" s="3"/>
    </row>
    <row r="582" spans="1:18" x14ac:dyDescent="0.25">
      <c r="A582" s="2">
        <v>46133</v>
      </c>
      <c r="B582" s="3" t="s">
        <v>48</v>
      </c>
      <c r="C582" s="3" t="s">
        <v>73</v>
      </c>
      <c r="D582" s="11" t="s">
        <v>883</v>
      </c>
      <c r="E582" s="3">
        <v>52</v>
      </c>
      <c r="F582" s="3" t="s">
        <v>172</v>
      </c>
      <c r="G582" s="4">
        <f t="shared" si="36"/>
        <v>52</v>
      </c>
      <c r="H582" s="3"/>
      <c r="I582" s="3"/>
      <c r="J582" s="3"/>
      <c r="K582" s="3"/>
      <c r="L582" s="3">
        <f t="shared" si="35"/>
        <v>0</v>
      </c>
      <c r="M582" s="3">
        <f t="shared" si="37"/>
        <v>0</v>
      </c>
      <c r="N582" s="3"/>
      <c r="O582" s="3"/>
      <c r="P582" s="3"/>
      <c r="Q582" s="3"/>
      <c r="R582" s="3"/>
    </row>
    <row r="583" spans="1:18" x14ac:dyDescent="0.25">
      <c r="A583" s="2">
        <v>46133</v>
      </c>
      <c r="B583" s="3" t="s">
        <v>48</v>
      </c>
      <c r="C583" s="3" t="s">
        <v>64</v>
      </c>
      <c r="D583" s="11" t="s">
        <v>884</v>
      </c>
      <c r="E583" s="3">
        <v>120</v>
      </c>
      <c r="F583" s="3" t="s">
        <v>172</v>
      </c>
      <c r="G583" s="4">
        <f t="shared" si="36"/>
        <v>120</v>
      </c>
      <c r="H583" s="3"/>
      <c r="I583" s="3"/>
      <c r="J583" s="3"/>
      <c r="K583" s="3"/>
      <c r="L583" s="3">
        <f t="shared" si="35"/>
        <v>0</v>
      </c>
      <c r="M583" s="3">
        <f t="shared" si="37"/>
        <v>0</v>
      </c>
      <c r="N583" s="3"/>
      <c r="O583" s="3"/>
      <c r="P583" s="3"/>
      <c r="Q583" s="3"/>
      <c r="R583" s="3"/>
    </row>
    <row r="584" spans="1:18" x14ac:dyDescent="0.25">
      <c r="A584" s="2">
        <v>46133</v>
      </c>
      <c r="B584" s="3" t="s">
        <v>48</v>
      </c>
      <c r="C584" s="3" t="s">
        <v>71</v>
      </c>
      <c r="D584" s="11" t="s">
        <v>885</v>
      </c>
      <c r="E584" s="3">
        <v>40</v>
      </c>
      <c r="F584" s="3" t="s">
        <v>172</v>
      </c>
      <c r="G584" s="4">
        <f t="shared" si="36"/>
        <v>40</v>
      </c>
      <c r="H584" s="3"/>
      <c r="I584" s="3"/>
      <c r="J584" s="3"/>
      <c r="K584" s="3"/>
      <c r="L584" s="3">
        <f t="shared" si="35"/>
        <v>0</v>
      </c>
      <c r="M584" s="3">
        <f t="shared" si="37"/>
        <v>0</v>
      </c>
      <c r="N584" s="3"/>
      <c r="O584" s="3"/>
      <c r="P584" s="3"/>
      <c r="Q584" s="3"/>
      <c r="R584" s="3"/>
    </row>
    <row r="585" spans="1:18" x14ac:dyDescent="0.25">
      <c r="A585" s="2">
        <v>46133</v>
      </c>
      <c r="B585" s="2" t="s">
        <v>285</v>
      </c>
      <c r="C585" s="3" t="s">
        <v>75</v>
      </c>
      <c r="D585" s="11" t="s">
        <v>886</v>
      </c>
      <c r="E585" s="3">
        <v>4809.8100000000004</v>
      </c>
      <c r="F585" s="3" t="s">
        <v>172</v>
      </c>
      <c r="G585" s="4">
        <f t="shared" si="36"/>
        <v>4809.8100000000004</v>
      </c>
      <c r="H585" s="3"/>
      <c r="I585" s="3"/>
      <c r="J585" s="3"/>
      <c r="K585" s="3"/>
      <c r="L585" s="3">
        <f t="shared" si="35"/>
        <v>0</v>
      </c>
      <c r="M585" s="3">
        <f t="shared" si="37"/>
        <v>0</v>
      </c>
      <c r="N585" s="3"/>
      <c r="O585" s="3"/>
      <c r="P585" s="3"/>
      <c r="Q585" s="3"/>
      <c r="R585" s="3"/>
    </row>
    <row r="586" spans="1:18" x14ac:dyDescent="0.25">
      <c r="A586" s="2">
        <v>46133</v>
      </c>
      <c r="B586" s="3" t="s">
        <v>48</v>
      </c>
      <c r="C586" s="3" t="s">
        <v>70</v>
      </c>
      <c r="D586" s="11" t="s">
        <v>887</v>
      </c>
      <c r="E586" s="3">
        <v>8</v>
      </c>
      <c r="F586" s="3" t="s">
        <v>172</v>
      </c>
      <c r="G586" s="4">
        <f t="shared" si="36"/>
        <v>8</v>
      </c>
      <c r="H586" s="3"/>
      <c r="I586" s="3"/>
      <c r="J586" s="3"/>
      <c r="K586" s="3"/>
      <c r="L586" s="3">
        <f t="shared" si="35"/>
        <v>0</v>
      </c>
      <c r="M586" s="3">
        <f t="shared" si="37"/>
        <v>0</v>
      </c>
      <c r="N586" s="3"/>
      <c r="O586" s="3"/>
      <c r="P586" s="3"/>
      <c r="Q586" s="3"/>
      <c r="R586" s="3"/>
    </row>
    <row r="587" spans="1:18" x14ac:dyDescent="0.25">
      <c r="A587" s="2">
        <v>46133</v>
      </c>
      <c r="B587" s="3" t="s">
        <v>48</v>
      </c>
      <c r="C587" s="3" t="s">
        <v>81</v>
      </c>
      <c r="D587" s="11" t="s">
        <v>888</v>
      </c>
      <c r="E587" s="3">
        <v>500</v>
      </c>
      <c r="F587" s="3" t="s">
        <v>172</v>
      </c>
      <c r="G587" s="4">
        <f t="shared" si="36"/>
        <v>500</v>
      </c>
      <c r="H587" s="3"/>
      <c r="I587" s="3"/>
      <c r="J587" s="3"/>
      <c r="K587" s="3"/>
      <c r="L587" s="3">
        <f t="shared" si="35"/>
        <v>0</v>
      </c>
      <c r="M587" s="3">
        <f t="shared" si="37"/>
        <v>0</v>
      </c>
      <c r="N587" s="3"/>
      <c r="O587" s="3"/>
      <c r="P587" s="3"/>
      <c r="Q587" s="3"/>
      <c r="R587" s="3"/>
    </row>
    <row r="588" spans="1:18" x14ac:dyDescent="0.25">
      <c r="A588" s="2">
        <v>46133</v>
      </c>
      <c r="B588" s="3" t="s">
        <v>48</v>
      </c>
      <c r="C588" s="3" t="s">
        <v>64</v>
      </c>
      <c r="D588" s="11" t="s">
        <v>889</v>
      </c>
      <c r="E588" s="3">
        <v>200</v>
      </c>
      <c r="F588" s="3" t="s">
        <v>172</v>
      </c>
      <c r="G588" s="4">
        <f t="shared" si="36"/>
        <v>200</v>
      </c>
      <c r="H588" s="3"/>
      <c r="I588" s="3"/>
      <c r="J588" s="3"/>
      <c r="K588" s="3"/>
      <c r="L588" s="3">
        <f t="shared" si="35"/>
        <v>0</v>
      </c>
      <c r="M588" s="3">
        <f t="shared" si="37"/>
        <v>0</v>
      </c>
      <c r="N588" s="3"/>
      <c r="O588" s="3"/>
      <c r="P588" s="3"/>
      <c r="Q588" s="3"/>
      <c r="R588" s="3"/>
    </row>
    <row r="589" spans="1:18" x14ac:dyDescent="0.25">
      <c r="A589" s="2">
        <v>46134</v>
      </c>
      <c r="B589" s="3" t="s">
        <v>48</v>
      </c>
      <c r="C589" s="3" t="s">
        <v>49</v>
      </c>
      <c r="D589" s="11" t="s">
        <v>890</v>
      </c>
      <c r="E589" s="3">
        <v>480</v>
      </c>
      <c r="F589" s="3">
        <f>E589*5%</f>
        <v>24</v>
      </c>
      <c r="G589" s="187">
        <f t="shared" si="36"/>
        <v>504</v>
      </c>
      <c r="H589" s="3"/>
      <c r="I589" s="3"/>
      <c r="J589" s="3"/>
      <c r="K589" s="3"/>
      <c r="L589" s="3">
        <f t="shared" si="35"/>
        <v>0</v>
      </c>
      <c r="M589" s="3">
        <f t="shared" si="37"/>
        <v>0</v>
      </c>
      <c r="N589" s="3"/>
      <c r="O589" s="3"/>
      <c r="P589" s="3"/>
      <c r="Q589" s="3"/>
      <c r="R589" s="3"/>
    </row>
    <row r="590" spans="1:18" x14ac:dyDescent="0.25">
      <c r="A590" s="2">
        <v>46134</v>
      </c>
      <c r="B590" s="3" t="s">
        <v>48</v>
      </c>
      <c r="C590" s="3" t="s">
        <v>70</v>
      </c>
      <c r="D590" s="11" t="s">
        <v>891</v>
      </c>
      <c r="E590" s="3">
        <v>38</v>
      </c>
      <c r="F590" s="3" t="s">
        <v>172</v>
      </c>
      <c r="G590" s="4">
        <f t="shared" si="36"/>
        <v>38</v>
      </c>
      <c r="H590" s="3"/>
      <c r="I590" s="3"/>
      <c r="J590" s="3"/>
      <c r="K590" s="3"/>
      <c r="L590" s="3">
        <f t="shared" si="35"/>
        <v>0</v>
      </c>
      <c r="M590" s="3">
        <f t="shared" si="37"/>
        <v>0</v>
      </c>
      <c r="N590" s="3"/>
      <c r="O590" s="3"/>
      <c r="P590" s="3"/>
      <c r="Q590" s="3"/>
      <c r="R590" s="3"/>
    </row>
    <row r="591" spans="1:18" x14ac:dyDescent="0.25">
      <c r="A591" s="2">
        <v>46134</v>
      </c>
      <c r="B591" s="3" t="s">
        <v>48</v>
      </c>
      <c r="C591" s="3" t="s">
        <v>49</v>
      </c>
      <c r="D591" s="11" t="s">
        <v>892</v>
      </c>
      <c r="E591" s="3">
        <v>24</v>
      </c>
      <c r="F591" s="3">
        <f>E591*5%</f>
        <v>1.2000000000000002</v>
      </c>
      <c r="G591" s="187">
        <f t="shared" si="36"/>
        <v>25.2</v>
      </c>
      <c r="H591" s="3"/>
      <c r="I591" s="3"/>
      <c r="J591" s="3"/>
      <c r="K591" s="3"/>
      <c r="L591" s="3">
        <f t="shared" si="35"/>
        <v>0</v>
      </c>
      <c r="M591" s="3">
        <f t="shared" si="37"/>
        <v>0</v>
      </c>
      <c r="N591" s="3"/>
      <c r="O591" s="3"/>
      <c r="P591" s="3"/>
      <c r="Q591" s="3"/>
      <c r="R591" s="3"/>
    </row>
    <row r="592" spans="1:18" x14ac:dyDescent="0.25">
      <c r="A592" s="2">
        <v>46134</v>
      </c>
      <c r="B592" s="3" t="s">
        <v>48</v>
      </c>
      <c r="C592" s="3" t="s">
        <v>73</v>
      </c>
      <c r="D592" s="11" t="s">
        <v>893</v>
      </c>
      <c r="E592" s="3">
        <v>52</v>
      </c>
      <c r="F592" s="3" t="s">
        <v>172</v>
      </c>
      <c r="G592" s="4">
        <f t="shared" si="36"/>
        <v>52</v>
      </c>
      <c r="H592" s="3"/>
      <c r="I592" s="3"/>
      <c r="J592" s="3"/>
      <c r="K592" s="3"/>
      <c r="L592" s="3">
        <f t="shared" si="35"/>
        <v>0</v>
      </c>
      <c r="M592" s="3">
        <f t="shared" si="37"/>
        <v>0</v>
      </c>
      <c r="N592" s="3"/>
      <c r="O592" s="3"/>
      <c r="P592" s="3"/>
      <c r="Q592" s="3"/>
      <c r="R592" s="3"/>
    </row>
    <row r="593" spans="1:18" x14ac:dyDescent="0.25">
      <c r="A593" s="2">
        <v>46134</v>
      </c>
      <c r="B593" s="3" t="s">
        <v>48</v>
      </c>
      <c r="C593" s="3" t="s">
        <v>92</v>
      </c>
      <c r="D593" s="11" t="s">
        <v>894</v>
      </c>
      <c r="E593" s="3"/>
      <c r="F593" s="3">
        <f>E593*5%</f>
        <v>0</v>
      </c>
      <c r="G593" s="4">
        <f t="shared" si="36"/>
        <v>0</v>
      </c>
      <c r="H593" s="3">
        <v>100</v>
      </c>
      <c r="I593" s="3"/>
      <c r="J593" s="3"/>
      <c r="K593" s="3"/>
      <c r="L593" s="3">
        <f t="shared" si="35"/>
        <v>0</v>
      </c>
      <c r="M593" s="3">
        <f t="shared" si="37"/>
        <v>0</v>
      </c>
      <c r="N593" s="3"/>
      <c r="O593" s="3"/>
      <c r="P593" s="3"/>
      <c r="Q593" s="3"/>
      <c r="R593" s="3"/>
    </row>
    <row r="594" spans="1:18" x14ac:dyDescent="0.25">
      <c r="A594" s="2">
        <v>46134</v>
      </c>
      <c r="B594" s="2" t="s">
        <v>285</v>
      </c>
      <c r="C594" s="3" t="s">
        <v>81</v>
      </c>
      <c r="D594" s="11" t="s">
        <v>895</v>
      </c>
      <c r="E594" s="3">
        <v>500</v>
      </c>
      <c r="F594" s="3" t="s">
        <v>172</v>
      </c>
      <c r="G594" s="4">
        <f t="shared" si="36"/>
        <v>500</v>
      </c>
      <c r="H594" s="3"/>
      <c r="I594" s="3"/>
      <c r="J594" s="3"/>
      <c r="K594" s="3"/>
      <c r="L594" s="3">
        <f t="shared" si="35"/>
        <v>0</v>
      </c>
      <c r="M594" s="3">
        <f t="shared" si="37"/>
        <v>0</v>
      </c>
      <c r="N594" s="3"/>
      <c r="O594" s="3"/>
      <c r="P594" s="3"/>
      <c r="Q594" s="3"/>
      <c r="R594" s="3"/>
    </row>
    <row r="595" spans="1:18" x14ac:dyDescent="0.25">
      <c r="A595" s="2">
        <v>46135</v>
      </c>
      <c r="B595" s="3" t="s">
        <v>48</v>
      </c>
      <c r="C595" s="3" t="s">
        <v>70</v>
      </c>
      <c r="D595" s="11" t="s">
        <v>896</v>
      </c>
      <c r="E595" s="3">
        <v>26</v>
      </c>
      <c r="F595" s="3" t="s">
        <v>172</v>
      </c>
      <c r="G595" s="4">
        <f t="shared" si="36"/>
        <v>26</v>
      </c>
      <c r="H595" s="3"/>
      <c r="I595" s="3"/>
      <c r="J595" s="3"/>
      <c r="K595" s="3"/>
      <c r="L595" s="3">
        <f t="shared" si="35"/>
        <v>0</v>
      </c>
      <c r="M595" s="3">
        <f t="shared" si="37"/>
        <v>0</v>
      </c>
      <c r="N595" s="3"/>
      <c r="O595" s="3"/>
      <c r="P595" s="3"/>
      <c r="Q595" s="3"/>
      <c r="R595" s="3"/>
    </row>
    <row r="596" spans="1:18" x14ac:dyDescent="0.25">
      <c r="A596" s="2">
        <v>46135</v>
      </c>
      <c r="B596" s="3" t="s">
        <v>48</v>
      </c>
      <c r="C596" s="3" t="s">
        <v>73</v>
      </c>
      <c r="D596" s="11" t="s">
        <v>897</v>
      </c>
      <c r="E596" s="3">
        <v>55</v>
      </c>
      <c r="F596" s="3" t="s">
        <v>172</v>
      </c>
      <c r="G596" s="4">
        <f t="shared" si="36"/>
        <v>55</v>
      </c>
      <c r="H596" s="3"/>
      <c r="I596" s="3"/>
      <c r="J596" s="3"/>
      <c r="K596" s="3"/>
      <c r="L596" s="3">
        <f t="shared" si="35"/>
        <v>0</v>
      </c>
      <c r="M596" s="3">
        <f t="shared" si="37"/>
        <v>0</v>
      </c>
      <c r="N596" s="3"/>
      <c r="O596" s="3"/>
      <c r="P596" s="3"/>
      <c r="Q596" s="3"/>
      <c r="R596" s="3"/>
    </row>
    <row r="597" spans="1:18" x14ac:dyDescent="0.25">
      <c r="A597" s="2">
        <v>46135</v>
      </c>
      <c r="B597" s="3" t="s">
        <v>48</v>
      </c>
      <c r="C597" s="3" t="s">
        <v>49</v>
      </c>
      <c r="D597" s="11" t="s">
        <v>898</v>
      </c>
      <c r="E597" s="3">
        <v>215</v>
      </c>
      <c r="F597" s="3">
        <f>E597*5%</f>
        <v>10.75</v>
      </c>
      <c r="G597" s="187">
        <f t="shared" si="36"/>
        <v>225.75</v>
      </c>
      <c r="H597" s="3"/>
      <c r="I597" s="3"/>
      <c r="J597" s="3"/>
      <c r="K597" s="3"/>
      <c r="L597" s="3">
        <f t="shared" si="35"/>
        <v>0</v>
      </c>
      <c r="M597" s="3">
        <f t="shared" si="37"/>
        <v>0</v>
      </c>
      <c r="N597" s="3"/>
      <c r="O597" s="3"/>
      <c r="P597" s="3"/>
      <c r="Q597" s="3"/>
      <c r="R597" s="3"/>
    </row>
    <row r="598" spans="1:18" x14ac:dyDescent="0.25">
      <c r="A598" s="2">
        <v>46135</v>
      </c>
      <c r="B598" s="3" t="s">
        <v>48</v>
      </c>
      <c r="C598" s="3" t="s">
        <v>49</v>
      </c>
      <c r="D598" s="11" t="s">
        <v>899</v>
      </c>
      <c r="E598" s="3">
        <v>115.2</v>
      </c>
      <c r="F598" s="3">
        <f>E598*5%</f>
        <v>5.7600000000000007</v>
      </c>
      <c r="G598" s="234">
        <f t="shared" si="36"/>
        <v>120.96000000000001</v>
      </c>
      <c r="H598" s="3"/>
      <c r="I598" s="3"/>
      <c r="J598" s="3"/>
      <c r="K598" s="3"/>
      <c r="L598" s="3">
        <f t="shared" si="35"/>
        <v>0</v>
      </c>
      <c r="M598" s="3">
        <f t="shared" si="37"/>
        <v>0</v>
      </c>
      <c r="N598" s="3"/>
      <c r="O598" s="3"/>
      <c r="P598" s="3"/>
      <c r="Q598" s="3"/>
      <c r="R598" s="3"/>
    </row>
    <row r="599" spans="1:18" x14ac:dyDescent="0.25">
      <c r="A599" s="2">
        <v>46136</v>
      </c>
      <c r="B599" s="3" t="s">
        <v>48</v>
      </c>
      <c r="C599" s="3" t="s">
        <v>92</v>
      </c>
      <c r="D599" s="11" t="s">
        <v>900</v>
      </c>
      <c r="E599" s="3"/>
      <c r="F599" s="3">
        <f>E599*5%</f>
        <v>0</v>
      </c>
      <c r="G599" s="4">
        <f t="shared" si="36"/>
        <v>0</v>
      </c>
      <c r="H599" s="3">
        <v>5000</v>
      </c>
      <c r="I599" s="3"/>
      <c r="J599" s="3"/>
      <c r="K599" s="3"/>
      <c r="L599" s="3">
        <f t="shared" si="35"/>
        <v>0</v>
      </c>
      <c r="M599" s="3">
        <f t="shared" si="37"/>
        <v>0</v>
      </c>
      <c r="N599" s="3"/>
      <c r="O599" s="3"/>
      <c r="P599" s="3"/>
      <c r="Q599" s="3"/>
      <c r="R599" s="3"/>
    </row>
    <row r="600" spans="1:18" x14ac:dyDescent="0.25">
      <c r="A600" s="2">
        <v>46136</v>
      </c>
      <c r="B600" s="2" t="s">
        <v>286</v>
      </c>
      <c r="C600" s="3" t="s">
        <v>65</v>
      </c>
      <c r="D600" s="11" t="s">
        <v>901</v>
      </c>
      <c r="E600" s="3">
        <v>6000</v>
      </c>
      <c r="F600" s="3" t="s">
        <v>172</v>
      </c>
      <c r="G600" s="4">
        <f t="shared" si="36"/>
        <v>6000</v>
      </c>
      <c r="H600" s="3"/>
      <c r="I600" s="3"/>
      <c r="J600" s="3"/>
      <c r="K600" s="3"/>
      <c r="L600" s="3">
        <f t="shared" si="35"/>
        <v>0</v>
      </c>
      <c r="M600" s="3">
        <f t="shared" si="37"/>
        <v>0</v>
      </c>
      <c r="N600" s="3"/>
      <c r="O600" s="3"/>
      <c r="P600" s="3"/>
      <c r="Q600" s="3"/>
      <c r="R600" s="3"/>
    </row>
    <row r="601" spans="1:18" x14ac:dyDescent="0.25">
      <c r="A601" s="2">
        <v>46136</v>
      </c>
      <c r="B601" s="3" t="s">
        <v>48</v>
      </c>
      <c r="C601" s="3" t="s">
        <v>70</v>
      </c>
      <c r="D601" s="11" t="s">
        <v>902</v>
      </c>
      <c r="E601" s="3">
        <v>55</v>
      </c>
      <c r="F601" s="3" t="s">
        <v>172</v>
      </c>
      <c r="G601" s="4">
        <f t="shared" si="36"/>
        <v>55</v>
      </c>
      <c r="H601" s="3"/>
      <c r="I601" s="3"/>
      <c r="J601" s="3"/>
      <c r="K601" s="3"/>
      <c r="L601" s="3">
        <f t="shared" si="35"/>
        <v>0</v>
      </c>
      <c r="M601" s="3">
        <f t="shared" si="37"/>
        <v>0</v>
      </c>
      <c r="N601" s="3"/>
      <c r="O601" s="3"/>
      <c r="P601" s="3"/>
      <c r="Q601" s="3"/>
      <c r="R601" s="3"/>
    </row>
    <row r="602" spans="1:18" x14ac:dyDescent="0.25">
      <c r="A602" s="2">
        <v>46136</v>
      </c>
      <c r="B602" s="3" t="s">
        <v>48</v>
      </c>
      <c r="C602" s="3" t="s">
        <v>92</v>
      </c>
      <c r="D602" s="11" t="s">
        <v>903</v>
      </c>
      <c r="E602" s="3">
        <v>0</v>
      </c>
      <c r="F602" s="3">
        <f>E602*5%</f>
        <v>0</v>
      </c>
      <c r="G602" s="4">
        <f t="shared" si="36"/>
        <v>0</v>
      </c>
      <c r="H602" s="3">
        <v>50</v>
      </c>
      <c r="I602" s="3"/>
      <c r="J602" s="3"/>
      <c r="K602" s="3"/>
      <c r="L602" s="3">
        <f t="shared" si="35"/>
        <v>0</v>
      </c>
      <c r="M602" s="3">
        <f t="shared" si="37"/>
        <v>0</v>
      </c>
      <c r="N602" s="3"/>
      <c r="O602" s="3"/>
      <c r="P602" s="3"/>
      <c r="Q602" s="3"/>
      <c r="R602" s="3"/>
    </row>
    <row r="603" spans="1:18" x14ac:dyDescent="0.25">
      <c r="A603" s="2">
        <v>46136</v>
      </c>
      <c r="B603" s="3" t="s">
        <v>48</v>
      </c>
      <c r="C603" s="3" t="s">
        <v>73</v>
      </c>
      <c r="D603" s="11" t="s">
        <v>904</v>
      </c>
      <c r="E603" s="3">
        <v>21</v>
      </c>
      <c r="F603" s="3" t="s">
        <v>172</v>
      </c>
      <c r="G603" s="4">
        <f t="shared" si="36"/>
        <v>21</v>
      </c>
      <c r="H603" s="3"/>
      <c r="I603" s="3"/>
      <c r="J603" s="3"/>
      <c r="K603" s="3"/>
      <c r="L603" s="3">
        <f t="shared" si="35"/>
        <v>0</v>
      </c>
      <c r="M603" s="3">
        <f t="shared" si="37"/>
        <v>0</v>
      </c>
      <c r="N603" s="3"/>
      <c r="O603" s="3"/>
      <c r="P603" s="3"/>
      <c r="Q603" s="3"/>
      <c r="R603" s="3"/>
    </row>
    <row r="604" spans="1:18" x14ac:dyDescent="0.25">
      <c r="A604" s="2">
        <v>46136</v>
      </c>
      <c r="B604" s="2" t="s">
        <v>285</v>
      </c>
      <c r="C604" s="3" t="s">
        <v>92</v>
      </c>
      <c r="D604" s="11" t="s">
        <v>905</v>
      </c>
      <c r="E604" s="3"/>
      <c r="F604" s="3">
        <f>E604*5%</f>
        <v>0</v>
      </c>
      <c r="G604" s="4">
        <f t="shared" si="36"/>
        <v>0</v>
      </c>
      <c r="H604" s="3">
        <v>1510</v>
      </c>
      <c r="I604" s="3"/>
      <c r="J604" s="3"/>
      <c r="K604" s="3"/>
      <c r="L604" s="3">
        <f t="shared" si="35"/>
        <v>0</v>
      </c>
      <c r="M604" s="3">
        <f t="shared" si="37"/>
        <v>0</v>
      </c>
      <c r="N604" s="3"/>
      <c r="O604" s="3"/>
      <c r="P604" s="3"/>
      <c r="Q604" s="3"/>
      <c r="R604" s="3"/>
    </row>
    <row r="605" spans="1:18" x14ac:dyDescent="0.25">
      <c r="A605" s="2">
        <v>46136</v>
      </c>
      <c r="B605" s="2" t="s">
        <v>287</v>
      </c>
      <c r="C605" s="3" t="s">
        <v>92</v>
      </c>
      <c r="D605" s="11" t="s">
        <v>906</v>
      </c>
      <c r="E605" s="3"/>
      <c r="F605" s="3">
        <f>E605*5%</f>
        <v>0</v>
      </c>
      <c r="G605" s="4">
        <f t="shared" si="36"/>
        <v>0</v>
      </c>
      <c r="H605" s="3">
        <v>5553</v>
      </c>
      <c r="I605" s="3"/>
      <c r="J605" s="3"/>
      <c r="K605" s="3"/>
      <c r="L605" s="3">
        <f t="shared" si="35"/>
        <v>0</v>
      </c>
      <c r="M605" s="3">
        <f t="shared" si="37"/>
        <v>0</v>
      </c>
      <c r="N605" s="3"/>
      <c r="O605" s="3"/>
      <c r="P605" s="3"/>
      <c r="Q605" s="3"/>
      <c r="R605" s="3"/>
    </row>
    <row r="606" spans="1:18" x14ac:dyDescent="0.25">
      <c r="A606" s="2">
        <v>46136</v>
      </c>
      <c r="B606" s="2" t="s">
        <v>287</v>
      </c>
      <c r="C606" s="3" t="s">
        <v>92</v>
      </c>
      <c r="D606" s="11" t="s">
        <v>907</v>
      </c>
      <c r="E606" s="3"/>
      <c r="F606" s="3">
        <f>E606*5%</f>
        <v>0</v>
      </c>
      <c r="G606" s="4">
        <f t="shared" si="36"/>
        <v>0</v>
      </c>
      <c r="H606" s="3">
        <v>2300</v>
      </c>
      <c r="I606" s="3"/>
      <c r="J606" s="3"/>
      <c r="K606" s="3"/>
      <c r="L606" s="3">
        <f t="shared" si="35"/>
        <v>0</v>
      </c>
      <c r="M606" s="3">
        <f t="shared" si="37"/>
        <v>0</v>
      </c>
      <c r="N606" s="3"/>
      <c r="O606" s="3"/>
      <c r="P606" s="3"/>
      <c r="Q606" s="3"/>
      <c r="R606" s="3"/>
    </row>
    <row r="607" spans="1:18" x14ac:dyDescent="0.25">
      <c r="A607" s="2">
        <v>46137</v>
      </c>
      <c r="B607" s="3" t="s">
        <v>48</v>
      </c>
      <c r="C607" s="3" t="s">
        <v>93</v>
      </c>
      <c r="D607" s="11" t="s">
        <v>908</v>
      </c>
      <c r="E607" s="216">
        <v>1000</v>
      </c>
      <c r="F607" s="3" t="s">
        <v>172</v>
      </c>
      <c r="G607" s="4">
        <f t="shared" si="36"/>
        <v>1000</v>
      </c>
      <c r="H607" s="3"/>
      <c r="I607" s="3"/>
      <c r="J607" s="3"/>
      <c r="K607" s="3"/>
      <c r="L607" s="3">
        <f t="shared" si="35"/>
        <v>0</v>
      </c>
      <c r="M607" s="3">
        <f t="shared" si="37"/>
        <v>0</v>
      </c>
      <c r="N607" s="3"/>
      <c r="O607" s="3"/>
      <c r="P607" s="3"/>
      <c r="Q607" s="3"/>
      <c r="R607" s="3"/>
    </row>
    <row r="608" spans="1:18" x14ac:dyDescent="0.25">
      <c r="A608" s="2">
        <v>46137</v>
      </c>
      <c r="B608" s="3" t="s">
        <v>48</v>
      </c>
      <c r="C608" s="3" t="s">
        <v>70</v>
      </c>
      <c r="D608" s="11" t="s">
        <v>909</v>
      </c>
      <c r="E608" s="216">
        <v>37</v>
      </c>
      <c r="F608" s="3" t="s">
        <v>172</v>
      </c>
      <c r="G608" s="4">
        <f t="shared" si="36"/>
        <v>37</v>
      </c>
      <c r="H608" s="3"/>
      <c r="I608" s="3"/>
      <c r="J608" s="3"/>
      <c r="K608" s="3"/>
      <c r="L608" s="3">
        <f t="shared" si="35"/>
        <v>0</v>
      </c>
      <c r="M608" s="3">
        <f t="shared" si="37"/>
        <v>0</v>
      </c>
      <c r="N608" s="3"/>
      <c r="O608" s="3"/>
      <c r="P608" s="3"/>
      <c r="Q608" s="3"/>
      <c r="R608" s="3"/>
    </row>
    <row r="609" spans="1:18" x14ac:dyDescent="0.25">
      <c r="A609" s="2">
        <v>46137</v>
      </c>
      <c r="B609" s="3" t="s">
        <v>48</v>
      </c>
      <c r="C609" s="3" t="s">
        <v>92</v>
      </c>
      <c r="D609" s="11" t="s">
        <v>910</v>
      </c>
      <c r="E609" s="216">
        <v>0</v>
      </c>
      <c r="F609" s="3">
        <f>E609*5%</f>
        <v>0</v>
      </c>
      <c r="G609" s="4">
        <f t="shared" si="36"/>
        <v>0</v>
      </c>
      <c r="H609" s="3">
        <v>1000</v>
      </c>
      <c r="I609" s="3"/>
      <c r="J609" s="3"/>
      <c r="K609" s="3"/>
      <c r="L609" s="3">
        <f t="shared" si="35"/>
        <v>0</v>
      </c>
      <c r="M609" s="3">
        <f t="shared" si="37"/>
        <v>0</v>
      </c>
      <c r="N609" s="3"/>
      <c r="O609" s="3"/>
      <c r="P609" s="3"/>
      <c r="Q609" s="3"/>
      <c r="R609" s="3"/>
    </row>
    <row r="610" spans="1:18" x14ac:dyDescent="0.25">
      <c r="A610" s="2">
        <v>46137</v>
      </c>
      <c r="B610" s="3" t="s">
        <v>48</v>
      </c>
      <c r="C610" s="3" t="s">
        <v>92</v>
      </c>
      <c r="D610" s="11" t="s">
        <v>911</v>
      </c>
      <c r="E610" s="216">
        <v>0</v>
      </c>
      <c r="F610" s="3">
        <f>E610*5%</f>
        <v>0</v>
      </c>
      <c r="G610" s="4">
        <f t="shared" si="36"/>
        <v>0</v>
      </c>
      <c r="H610" s="3">
        <v>100</v>
      </c>
      <c r="I610" s="3"/>
      <c r="J610" s="3"/>
      <c r="K610" s="3"/>
      <c r="L610" s="3">
        <f t="shared" si="35"/>
        <v>0</v>
      </c>
      <c r="M610" s="3">
        <f t="shared" si="37"/>
        <v>0</v>
      </c>
      <c r="N610" s="3"/>
      <c r="O610" s="3"/>
      <c r="P610" s="3"/>
      <c r="Q610" s="3"/>
      <c r="R610" s="3"/>
    </row>
    <row r="611" spans="1:18" x14ac:dyDescent="0.25">
      <c r="A611" s="2">
        <v>46137</v>
      </c>
      <c r="B611" s="3" t="s">
        <v>48</v>
      </c>
      <c r="C611" s="3" t="s">
        <v>92</v>
      </c>
      <c r="D611" s="11" t="s">
        <v>912</v>
      </c>
      <c r="E611" s="216">
        <v>0</v>
      </c>
      <c r="F611" s="3">
        <f>E611*5%</f>
        <v>0</v>
      </c>
      <c r="G611" s="4">
        <f t="shared" si="36"/>
        <v>0</v>
      </c>
      <c r="H611" s="3">
        <v>2000</v>
      </c>
      <c r="I611" s="3"/>
      <c r="J611" s="3"/>
      <c r="K611" s="3"/>
      <c r="L611" s="3">
        <f t="shared" si="35"/>
        <v>0</v>
      </c>
      <c r="M611" s="3">
        <f t="shared" si="37"/>
        <v>0</v>
      </c>
      <c r="N611" s="3"/>
      <c r="O611" s="3"/>
      <c r="P611" s="3"/>
      <c r="Q611" s="3"/>
      <c r="R611" s="3"/>
    </row>
    <row r="612" spans="1:18" x14ac:dyDescent="0.25">
      <c r="A612" s="2">
        <v>46137</v>
      </c>
      <c r="B612" s="3" t="s">
        <v>48</v>
      </c>
      <c r="C612" s="3" t="s">
        <v>91</v>
      </c>
      <c r="D612" s="11" t="s">
        <v>913</v>
      </c>
      <c r="E612" s="216">
        <v>3330</v>
      </c>
      <c r="F612" s="3" t="s">
        <v>172</v>
      </c>
      <c r="G612" s="4">
        <f t="shared" si="36"/>
        <v>3330</v>
      </c>
      <c r="H612" s="3"/>
      <c r="I612" s="3"/>
      <c r="J612" s="3"/>
      <c r="K612" s="3"/>
      <c r="L612" s="3">
        <f t="shared" si="35"/>
        <v>0</v>
      </c>
      <c r="M612" s="3">
        <f t="shared" si="37"/>
        <v>0</v>
      </c>
      <c r="N612" s="3"/>
      <c r="O612" s="3"/>
      <c r="P612" s="3"/>
      <c r="Q612" s="3"/>
      <c r="R612" s="3"/>
    </row>
    <row r="613" spans="1:18" x14ac:dyDescent="0.25">
      <c r="A613" s="2">
        <v>46137</v>
      </c>
      <c r="B613" s="3" t="s">
        <v>48</v>
      </c>
      <c r="C613" s="3" t="s">
        <v>73</v>
      </c>
      <c r="D613" s="11" t="s">
        <v>914</v>
      </c>
      <c r="E613" s="216">
        <v>53</v>
      </c>
      <c r="F613" s="3" t="s">
        <v>172</v>
      </c>
      <c r="G613" s="4">
        <f t="shared" si="36"/>
        <v>53</v>
      </c>
      <c r="H613" s="3"/>
      <c r="I613" s="3"/>
      <c r="J613" s="3"/>
      <c r="K613" s="3"/>
      <c r="L613" s="3">
        <f t="shared" si="35"/>
        <v>0</v>
      </c>
      <c r="M613" s="3">
        <f t="shared" si="37"/>
        <v>0</v>
      </c>
      <c r="N613" s="3"/>
      <c r="O613" s="3"/>
      <c r="P613" s="3"/>
      <c r="Q613" s="3"/>
      <c r="R613" s="3"/>
    </row>
    <row r="614" spans="1:18" x14ac:dyDescent="0.25">
      <c r="A614" s="2">
        <v>46137</v>
      </c>
      <c r="B614" s="3" t="s">
        <v>48</v>
      </c>
      <c r="C614" s="3" t="s">
        <v>73</v>
      </c>
      <c r="D614" s="11" t="s">
        <v>915</v>
      </c>
      <c r="E614" s="216">
        <v>50</v>
      </c>
      <c r="F614" s="3" t="s">
        <v>172</v>
      </c>
      <c r="G614" s="4">
        <f t="shared" si="36"/>
        <v>50</v>
      </c>
      <c r="H614" s="3"/>
      <c r="I614" s="3"/>
      <c r="J614" s="3"/>
      <c r="K614" s="3"/>
      <c r="L614" s="3">
        <f t="shared" si="35"/>
        <v>0</v>
      </c>
      <c r="M614" s="3">
        <f t="shared" si="37"/>
        <v>0</v>
      </c>
      <c r="N614" s="3"/>
      <c r="O614" s="3"/>
      <c r="P614" s="3"/>
      <c r="Q614" s="3"/>
      <c r="R614" s="3"/>
    </row>
    <row r="615" spans="1:18" x14ac:dyDescent="0.25">
      <c r="A615" s="2">
        <v>46137</v>
      </c>
      <c r="B615" s="3" t="s">
        <v>48</v>
      </c>
      <c r="C615" s="3" t="s">
        <v>64</v>
      </c>
      <c r="D615" s="11" t="s">
        <v>916</v>
      </c>
      <c r="E615" s="216">
        <v>140</v>
      </c>
      <c r="F615" s="3" t="s">
        <v>172</v>
      </c>
      <c r="G615" s="4">
        <f t="shared" si="36"/>
        <v>140</v>
      </c>
      <c r="H615" s="3"/>
      <c r="I615" s="3"/>
      <c r="J615" s="3"/>
      <c r="K615" s="3"/>
      <c r="L615" s="3">
        <f t="shared" si="35"/>
        <v>0</v>
      </c>
      <c r="M615" s="3">
        <f t="shared" si="37"/>
        <v>0</v>
      </c>
      <c r="N615" s="3"/>
      <c r="O615" s="3"/>
      <c r="P615" s="3"/>
      <c r="Q615" s="3"/>
      <c r="R615" s="3"/>
    </row>
    <row r="616" spans="1:18" x14ac:dyDescent="0.25">
      <c r="A616" s="2">
        <v>46137</v>
      </c>
      <c r="B616" s="3" t="s">
        <v>48</v>
      </c>
      <c r="C616" s="3" t="s">
        <v>49</v>
      </c>
      <c r="D616" s="11" t="s">
        <v>917</v>
      </c>
      <c r="E616" s="216">
        <v>8.25</v>
      </c>
      <c r="F616" s="3" t="s">
        <v>172</v>
      </c>
      <c r="G616" s="4">
        <f t="shared" si="36"/>
        <v>8.25</v>
      </c>
      <c r="H616" s="3"/>
      <c r="I616" s="3"/>
      <c r="J616" s="3"/>
      <c r="K616" s="3"/>
      <c r="L616" s="3">
        <f t="shared" si="35"/>
        <v>0</v>
      </c>
      <c r="M616" s="3">
        <f t="shared" si="37"/>
        <v>0</v>
      </c>
      <c r="N616" s="3"/>
      <c r="O616" s="3"/>
      <c r="P616" s="3"/>
      <c r="Q616" s="3"/>
      <c r="R616" s="3"/>
    </row>
    <row r="617" spans="1:18" x14ac:dyDescent="0.25">
      <c r="A617" s="2">
        <v>46137</v>
      </c>
      <c r="B617" s="3" t="s">
        <v>48</v>
      </c>
      <c r="C617" s="3" t="s">
        <v>49</v>
      </c>
      <c r="D617" s="11" t="s">
        <v>918</v>
      </c>
      <c r="E617" s="216">
        <v>57.2</v>
      </c>
      <c r="F617" s="3">
        <f>E617*5%</f>
        <v>2.8600000000000003</v>
      </c>
      <c r="G617" s="187">
        <f t="shared" si="36"/>
        <v>60.06</v>
      </c>
      <c r="H617" s="3"/>
      <c r="I617" s="3"/>
      <c r="J617" s="3"/>
      <c r="K617" s="3"/>
      <c r="L617" s="3">
        <f t="shared" si="35"/>
        <v>0</v>
      </c>
      <c r="M617" s="3">
        <f t="shared" si="37"/>
        <v>0</v>
      </c>
      <c r="N617" s="3"/>
      <c r="O617" s="3"/>
      <c r="P617" s="3"/>
      <c r="Q617" s="3"/>
      <c r="R617" s="3"/>
    </row>
    <row r="618" spans="1:18" x14ac:dyDescent="0.25">
      <c r="A618" s="2">
        <v>46137</v>
      </c>
      <c r="B618" s="3" t="s">
        <v>48</v>
      </c>
      <c r="C618" s="3" t="s">
        <v>49</v>
      </c>
      <c r="D618" s="11" t="s">
        <v>919</v>
      </c>
      <c r="E618" s="216">
        <v>27</v>
      </c>
      <c r="F618" s="3">
        <f>E618*5%</f>
        <v>1.35</v>
      </c>
      <c r="G618" s="187">
        <f t="shared" si="36"/>
        <v>28.35</v>
      </c>
      <c r="H618" s="3"/>
      <c r="I618" s="3"/>
      <c r="J618" s="3"/>
      <c r="K618" s="3"/>
      <c r="L618" s="3">
        <f t="shared" si="35"/>
        <v>0</v>
      </c>
      <c r="M618" s="3">
        <f t="shared" si="37"/>
        <v>0</v>
      </c>
      <c r="N618" s="3"/>
      <c r="O618" s="3"/>
      <c r="P618" s="3"/>
      <c r="Q618" s="3"/>
      <c r="R618" s="3"/>
    </row>
    <row r="619" spans="1:18" x14ac:dyDescent="0.25">
      <c r="A619" s="2">
        <v>46137</v>
      </c>
      <c r="B619" s="3" t="s">
        <v>48</v>
      </c>
      <c r="C619" s="3" t="s">
        <v>92</v>
      </c>
      <c r="D619" s="11" t="s">
        <v>920</v>
      </c>
      <c r="E619" s="216">
        <v>0</v>
      </c>
      <c r="F619" s="3">
        <f>E619*5%</f>
        <v>0</v>
      </c>
      <c r="G619" s="4">
        <f t="shared" si="36"/>
        <v>0</v>
      </c>
      <c r="H619" s="3">
        <v>150</v>
      </c>
      <c r="I619" s="3"/>
      <c r="J619" s="3"/>
      <c r="K619" s="3"/>
      <c r="L619" s="3">
        <f t="shared" si="35"/>
        <v>0</v>
      </c>
      <c r="M619" s="3">
        <f t="shared" si="37"/>
        <v>0</v>
      </c>
      <c r="N619" s="3"/>
      <c r="O619" s="3"/>
      <c r="P619" s="3"/>
      <c r="Q619" s="3"/>
      <c r="R619" s="3"/>
    </row>
    <row r="620" spans="1:18" x14ac:dyDescent="0.25">
      <c r="A620" s="2">
        <v>46139</v>
      </c>
      <c r="B620" s="3" t="s">
        <v>48</v>
      </c>
      <c r="C620" s="3" t="s">
        <v>49</v>
      </c>
      <c r="D620" s="11" t="s">
        <v>921</v>
      </c>
      <c r="E620" s="3">
        <v>692.62</v>
      </c>
      <c r="F620" s="3">
        <f>E620*5%</f>
        <v>34.631</v>
      </c>
      <c r="G620" s="177">
        <f t="shared" si="36"/>
        <v>727.25099999999998</v>
      </c>
      <c r="H620" s="3"/>
      <c r="I620" s="3"/>
      <c r="J620" s="3"/>
      <c r="K620" s="3"/>
      <c r="L620" s="3">
        <f t="shared" ref="L620:L683" si="39">K620*5%</f>
        <v>0</v>
      </c>
      <c r="M620" s="3">
        <f t="shared" si="37"/>
        <v>0</v>
      </c>
      <c r="N620" s="3"/>
      <c r="O620" s="3"/>
      <c r="P620" s="3"/>
      <c r="Q620" s="3"/>
      <c r="R620" s="3"/>
    </row>
    <row r="621" spans="1:18" x14ac:dyDescent="0.25">
      <c r="A621" s="2">
        <v>46139</v>
      </c>
      <c r="B621" s="3" t="s">
        <v>48</v>
      </c>
      <c r="C621" s="3" t="s">
        <v>84</v>
      </c>
      <c r="D621" s="11" t="s">
        <v>922</v>
      </c>
      <c r="E621" s="3">
        <v>48</v>
      </c>
      <c r="F621" s="3" t="s">
        <v>172</v>
      </c>
      <c r="G621" s="4">
        <f t="shared" si="36"/>
        <v>48</v>
      </c>
      <c r="H621" s="3"/>
      <c r="I621" s="3"/>
      <c r="J621" s="3"/>
      <c r="K621" s="3"/>
      <c r="L621" s="3">
        <f t="shared" si="39"/>
        <v>0</v>
      </c>
      <c r="M621" s="3">
        <f t="shared" si="37"/>
        <v>0</v>
      </c>
      <c r="N621" s="3"/>
      <c r="O621" s="3"/>
      <c r="P621" s="3"/>
      <c r="Q621" s="3"/>
      <c r="R621" s="3"/>
    </row>
    <row r="622" spans="1:18" x14ac:dyDescent="0.25">
      <c r="A622" s="2">
        <v>46139</v>
      </c>
      <c r="B622" s="3" t="s">
        <v>48</v>
      </c>
      <c r="C622" s="3" t="s">
        <v>51</v>
      </c>
      <c r="D622" s="11" t="s">
        <v>923</v>
      </c>
      <c r="E622" s="3">
        <v>47.62</v>
      </c>
      <c r="F622" s="3">
        <f>E622*5%</f>
        <v>2.3809999999999998</v>
      </c>
      <c r="G622" s="4">
        <f t="shared" si="36"/>
        <v>50.000999999999998</v>
      </c>
      <c r="H622" s="3"/>
      <c r="I622" s="3"/>
      <c r="J622" s="3"/>
      <c r="K622" s="3"/>
      <c r="L622" s="3">
        <f t="shared" si="39"/>
        <v>0</v>
      </c>
      <c r="M622" s="3">
        <f t="shared" si="37"/>
        <v>0</v>
      </c>
      <c r="N622" s="3"/>
      <c r="O622" s="3"/>
      <c r="P622" s="3"/>
      <c r="Q622" s="3"/>
      <c r="R622" s="3"/>
    </row>
    <row r="623" spans="1:18" x14ac:dyDescent="0.25">
      <c r="A623" s="2">
        <v>46139</v>
      </c>
      <c r="B623" s="3" t="s">
        <v>48</v>
      </c>
      <c r="C623" s="3" t="s">
        <v>70</v>
      </c>
      <c r="D623" s="11" t="s">
        <v>924</v>
      </c>
      <c r="E623" s="3">
        <v>65</v>
      </c>
      <c r="F623" s="3" t="s">
        <v>172</v>
      </c>
      <c r="G623" s="4">
        <f t="shared" si="36"/>
        <v>65</v>
      </c>
      <c r="H623" s="3"/>
      <c r="I623" s="3"/>
      <c r="J623" s="3"/>
      <c r="K623" s="3"/>
      <c r="L623" s="3">
        <f t="shared" si="39"/>
        <v>0</v>
      </c>
      <c r="M623" s="3">
        <f t="shared" si="37"/>
        <v>0</v>
      </c>
      <c r="N623" s="3"/>
      <c r="O623" s="3"/>
      <c r="P623" s="3"/>
      <c r="Q623" s="3"/>
      <c r="R623" s="3"/>
    </row>
    <row r="624" spans="1:18" x14ac:dyDescent="0.25">
      <c r="A624" s="2">
        <v>46139</v>
      </c>
      <c r="B624" s="3" t="s">
        <v>48</v>
      </c>
      <c r="C624" s="3" t="s">
        <v>49</v>
      </c>
      <c r="D624" s="11" t="s">
        <v>925</v>
      </c>
      <c r="E624" s="3">
        <v>276.19</v>
      </c>
      <c r="F624" s="3">
        <f>E624*5%</f>
        <v>13.8095</v>
      </c>
      <c r="G624" s="4">
        <f t="shared" si="36"/>
        <v>289.99950000000001</v>
      </c>
      <c r="H624" s="3"/>
      <c r="I624" s="3"/>
      <c r="J624" s="3"/>
      <c r="K624" s="3"/>
      <c r="L624" s="3">
        <f t="shared" si="39"/>
        <v>0</v>
      </c>
      <c r="M624" s="3">
        <f t="shared" si="37"/>
        <v>0</v>
      </c>
      <c r="N624" s="3"/>
      <c r="O624" s="3"/>
      <c r="P624" s="3"/>
      <c r="Q624" s="3"/>
      <c r="R624" s="3"/>
    </row>
    <row r="625" spans="1:18" x14ac:dyDescent="0.25">
      <c r="A625" s="2">
        <v>46139</v>
      </c>
      <c r="B625" s="3" t="s">
        <v>48</v>
      </c>
      <c r="C625" s="3" t="s">
        <v>90</v>
      </c>
      <c r="D625" s="11" t="s">
        <v>926</v>
      </c>
      <c r="E625" s="3"/>
      <c r="F625" s="3">
        <f>E625*5%</f>
        <v>0</v>
      </c>
      <c r="G625" s="4">
        <f t="shared" si="36"/>
        <v>0</v>
      </c>
      <c r="H625" s="3"/>
      <c r="I625" s="3"/>
      <c r="J625" s="3">
        <v>14000</v>
      </c>
      <c r="K625" s="3"/>
      <c r="L625" s="3">
        <f t="shared" si="39"/>
        <v>0</v>
      </c>
      <c r="M625" s="3">
        <f t="shared" si="37"/>
        <v>0</v>
      </c>
      <c r="N625" s="3"/>
      <c r="O625" s="3"/>
      <c r="P625" s="3"/>
      <c r="Q625" s="3"/>
      <c r="R625" s="3"/>
    </row>
    <row r="626" spans="1:18" x14ac:dyDescent="0.25">
      <c r="A626" s="2">
        <v>46139</v>
      </c>
      <c r="B626" s="3" t="s">
        <v>48</v>
      </c>
      <c r="C626" s="3" t="s">
        <v>151</v>
      </c>
      <c r="D626" s="11" t="s">
        <v>927</v>
      </c>
      <c r="E626" s="3"/>
      <c r="F626" s="3">
        <f>E626*5%</f>
        <v>0</v>
      </c>
      <c r="G626" s="4">
        <f t="shared" si="36"/>
        <v>0</v>
      </c>
      <c r="H626" s="3"/>
      <c r="I626" s="3"/>
      <c r="J626" s="3"/>
      <c r="K626" s="3"/>
      <c r="L626" s="3">
        <f t="shared" si="39"/>
        <v>0</v>
      </c>
      <c r="M626" s="3">
        <f t="shared" si="37"/>
        <v>0</v>
      </c>
      <c r="N626" s="3"/>
      <c r="O626" s="3"/>
      <c r="P626" s="3">
        <v>4200</v>
      </c>
      <c r="Q626" s="3"/>
      <c r="R626" s="3"/>
    </row>
    <row r="627" spans="1:18" x14ac:dyDescent="0.25">
      <c r="A627" s="2">
        <v>46140</v>
      </c>
      <c r="B627" s="3" t="s">
        <v>48</v>
      </c>
      <c r="C627" s="157" t="s">
        <v>74</v>
      </c>
      <c r="D627" s="11" t="s">
        <v>928</v>
      </c>
      <c r="E627" s="3">
        <v>2355</v>
      </c>
      <c r="F627" s="3" t="s">
        <v>172</v>
      </c>
      <c r="G627" s="4">
        <f t="shared" si="36"/>
        <v>2355</v>
      </c>
      <c r="H627" s="3"/>
      <c r="I627" s="3"/>
      <c r="J627" s="3"/>
      <c r="K627" s="3"/>
      <c r="L627" s="3">
        <f t="shared" si="39"/>
        <v>0</v>
      </c>
      <c r="M627" s="3">
        <f t="shared" si="37"/>
        <v>0</v>
      </c>
      <c r="N627" s="3"/>
      <c r="O627" s="3"/>
      <c r="P627" s="3"/>
      <c r="Q627" s="3"/>
      <c r="R627" s="3"/>
    </row>
    <row r="628" spans="1:18" x14ac:dyDescent="0.25">
      <c r="A628" s="2">
        <v>46140</v>
      </c>
      <c r="B628" s="3" t="s">
        <v>48</v>
      </c>
      <c r="C628" s="157" t="s">
        <v>64</v>
      </c>
      <c r="D628" s="11" t="s">
        <v>929</v>
      </c>
      <c r="E628" s="3">
        <v>280</v>
      </c>
      <c r="F628" s="3" t="s">
        <v>172</v>
      </c>
      <c r="G628" s="4">
        <f t="shared" si="36"/>
        <v>280</v>
      </c>
      <c r="H628" s="3"/>
      <c r="I628" s="3"/>
      <c r="J628" s="3"/>
      <c r="K628" s="3"/>
      <c r="L628" s="3">
        <f t="shared" si="39"/>
        <v>0</v>
      </c>
      <c r="M628" s="3">
        <f t="shared" si="37"/>
        <v>0</v>
      </c>
      <c r="N628" s="3"/>
      <c r="O628" s="3"/>
      <c r="P628" s="3"/>
      <c r="Q628" s="3"/>
      <c r="R628" s="3"/>
    </row>
    <row r="629" spans="1:18" x14ac:dyDescent="0.25">
      <c r="A629" s="2">
        <v>46140</v>
      </c>
      <c r="B629" s="3" t="s">
        <v>48</v>
      </c>
      <c r="C629" t="s">
        <v>95</v>
      </c>
      <c r="D629" s="11" t="s">
        <v>930</v>
      </c>
      <c r="E629" s="3">
        <v>0</v>
      </c>
      <c r="F629" s="3">
        <f>E629*5%</f>
        <v>0</v>
      </c>
      <c r="G629" s="4">
        <f t="shared" si="36"/>
        <v>0</v>
      </c>
      <c r="H629" s="3"/>
      <c r="I629" s="3"/>
      <c r="J629" s="3">
        <v>400</v>
      </c>
      <c r="K629" s="3"/>
      <c r="L629" s="3">
        <f t="shared" si="39"/>
        <v>0</v>
      </c>
      <c r="M629" s="3">
        <f t="shared" si="37"/>
        <v>0</v>
      </c>
      <c r="N629" s="3"/>
      <c r="O629" s="3"/>
      <c r="P629" s="3"/>
      <c r="Q629" s="3"/>
      <c r="R629" s="3"/>
    </row>
    <row r="630" spans="1:18" x14ac:dyDescent="0.25">
      <c r="A630" s="2">
        <v>46140</v>
      </c>
      <c r="B630" s="3" t="s">
        <v>48</v>
      </c>
      <c r="C630" s="235" t="s">
        <v>78</v>
      </c>
      <c r="D630" s="11" t="s">
        <v>931</v>
      </c>
      <c r="E630" s="3">
        <v>190</v>
      </c>
      <c r="F630" s="3">
        <f>E630*5%</f>
        <v>9.5</v>
      </c>
      <c r="G630" s="177">
        <f t="shared" si="36"/>
        <v>199.5</v>
      </c>
      <c r="H630" s="3"/>
      <c r="I630" s="3"/>
      <c r="J630" s="3"/>
      <c r="K630" s="3"/>
      <c r="L630" s="3">
        <f t="shared" si="39"/>
        <v>0</v>
      </c>
      <c r="M630" s="3">
        <f t="shared" si="37"/>
        <v>0</v>
      </c>
      <c r="N630" s="3"/>
      <c r="O630" s="3"/>
      <c r="P630" s="3"/>
      <c r="Q630" s="3"/>
      <c r="R630" s="3"/>
    </row>
    <row r="631" spans="1:18" x14ac:dyDescent="0.25">
      <c r="A631" s="2">
        <v>46140</v>
      </c>
      <c r="B631" s="3" t="s">
        <v>48</v>
      </c>
      <c r="C631" s="157" t="s">
        <v>92</v>
      </c>
      <c r="D631" s="11" t="s">
        <v>932</v>
      </c>
      <c r="E631" s="3"/>
      <c r="F631" s="3">
        <f>E631*5%</f>
        <v>0</v>
      </c>
      <c r="G631" s="4">
        <f t="shared" ref="G631:G694" si="40">IF(F631="NO TAX",E631,E631+F631)</f>
        <v>0</v>
      </c>
      <c r="H631" s="3">
        <v>50</v>
      </c>
      <c r="I631" s="3"/>
      <c r="J631" s="3"/>
      <c r="K631" s="3"/>
      <c r="L631" s="3">
        <f t="shared" si="39"/>
        <v>0</v>
      </c>
      <c r="M631" s="3">
        <f t="shared" ref="M631:M694" si="41">IF(L631="NO TAX",K631,K631+L631)</f>
        <v>0</v>
      </c>
      <c r="N631" s="3"/>
      <c r="O631" s="3"/>
      <c r="P631" s="3"/>
      <c r="Q631" s="3"/>
      <c r="R631" s="3"/>
    </row>
    <row r="632" spans="1:18" x14ac:dyDescent="0.25">
      <c r="A632" s="2">
        <v>46140</v>
      </c>
      <c r="B632" s="3" t="s">
        <v>48</v>
      </c>
      <c r="C632" s="157" t="s">
        <v>73</v>
      </c>
      <c r="D632" s="11" t="s">
        <v>933</v>
      </c>
      <c r="E632" s="3">
        <v>459</v>
      </c>
      <c r="F632" s="3" t="s">
        <v>172</v>
      </c>
      <c r="G632" s="4">
        <f t="shared" si="40"/>
        <v>459</v>
      </c>
      <c r="H632" s="3"/>
      <c r="I632" s="3"/>
      <c r="J632" s="3"/>
      <c r="K632" s="3"/>
      <c r="L632" s="3">
        <f t="shared" si="39"/>
        <v>0</v>
      </c>
      <c r="M632" s="3">
        <f t="shared" si="41"/>
        <v>0</v>
      </c>
      <c r="N632" s="3"/>
      <c r="O632" s="3"/>
      <c r="P632" s="3"/>
      <c r="Q632" s="3"/>
      <c r="R632" s="3"/>
    </row>
    <row r="633" spans="1:18" x14ac:dyDescent="0.25">
      <c r="A633" s="2">
        <v>46140</v>
      </c>
      <c r="B633" s="3" t="s">
        <v>48</v>
      </c>
      <c r="C633" s="157" t="s">
        <v>70</v>
      </c>
      <c r="D633" s="11" t="s">
        <v>934</v>
      </c>
      <c r="E633" s="3">
        <v>48</v>
      </c>
      <c r="F633" s="3" t="s">
        <v>172</v>
      </c>
      <c r="G633" s="4">
        <f t="shared" si="40"/>
        <v>48</v>
      </c>
      <c r="H633" s="3"/>
      <c r="I633" s="3"/>
      <c r="J633" s="3"/>
      <c r="K633" s="3"/>
      <c r="L633" s="3">
        <f t="shared" si="39"/>
        <v>0</v>
      </c>
      <c r="M633" s="3">
        <f t="shared" si="41"/>
        <v>0</v>
      </c>
      <c r="N633" s="3"/>
      <c r="O633" s="3"/>
      <c r="P633" s="3"/>
      <c r="Q633" s="3"/>
      <c r="R633" s="3"/>
    </row>
    <row r="634" spans="1:18" x14ac:dyDescent="0.25">
      <c r="A634" s="2">
        <v>46140</v>
      </c>
      <c r="B634" s="2" t="s">
        <v>285</v>
      </c>
      <c r="C634" s="157" t="s">
        <v>49</v>
      </c>
      <c r="D634" s="11" t="s">
        <v>935</v>
      </c>
      <c r="E634" s="3">
        <v>3777</v>
      </c>
      <c r="F634" s="3" t="s">
        <v>172</v>
      </c>
      <c r="G634" s="4">
        <f t="shared" si="40"/>
        <v>3777</v>
      </c>
      <c r="H634" s="3"/>
      <c r="I634" s="3"/>
      <c r="J634" s="3"/>
      <c r="K634" s="3"/>
      <c r="L634" s="3">
        <f t="shared" si="39"/>
        <v>0</v>
      </c>
      <c r="M634" s="3">
        <f t="shared" si="41"/>
        <v>0</v>
      </c>
      <c r="N634" s="3"/>
      <c r="O634" s="3"/>
      <c r="P634" s="3"/>
      <c r="Q634" s="3"/>
      <c r="R634" s="3"/>
    </row>
    <row r="635" spans="1:18" x14ac:dyDescent="0.25">
      <c r="A635" s="2">
        <v>46140</v>
      </c>
      <c r="B635" s="2" t="s">
        <v>285</v>
      </c>
      <c r="C635" s="157" t="s">
        <v>82</v>
      </c>
      <c r="D635" s="11" t="s">
        <v>936</v>
      </c>
      <c r="E635" s="3">
        <v>181.85</v>
      </c>
      <c r="F635" s="3" t="s">
        <v>172</v>
      </c>
      <c r="G635" s="4">
        <f t="shared" si="40"/>
        <v>181.85</v>
      </c>
      <c r="H635" s="3"/>
      <c r="I635" s="3"/>
      <c r="J635" s="3"/>
      <c r="K635" s="3"/>
      <c r="L635" s="3">
        <f t="shared" si="39"/>
        <v>0</v>
      </c>
      <c r="M635" s="3">
        <f t="shared" si="41"/>
        <v>0</v>
      </c>
      <c r="N635" s="3"/>
      <c r="O635" s="3"/>
      <c r="P635" s="3"/>
      <c r="Q635" s="3"/>
      <c r="R635" s="3"/>
    </row>
    <row r="636" spans="1:18" x14ac:dyDescent="0.25">
      <c r="A636" s="2">
        <v>46141</v>
      </c>
      <c r="B636" s="3" t="s">
        <v>48</v>
      </c>
      <c r="C636" s="157" t="s">
        <v>64</v>
      </c>
      <c r="D636" s="11" t="s">
        <v>937</v>
      </c>
      <c r="E636" s="3">
        <v>140</v>
      </c>
      <c r="F636" s="3" t="s">
        <v>172</v>
      </c>
      <c r="G636" s="4">
        <f t="shared" si="40"/>
        <v>140</v>
      </c>
      <c r="H636" s="3"/>
      <c r="I636" s="3"/>
      <c r="J636" s="3"/>
      <c r="K636" s="3"/>
      <c r="L636" s="3">
        <f t="shared" si="39"/>
        <v>0</v>
      </c>
      <c r="M636" s="3">
        <f t="shared" si="41"/>
        <v>0</v>
      </c>
      <c r="N636" s="3"/>
      <c r="O636" s="3"/>
      <c r="P636" s="3"/>
      <c r="Q636" s="3"/>
      <c r="R636" s="3"/>
    </row>
    <row r="637" spans="1:18" x14ac:dyDescent="0.25">
      <c r="A637" s="2">
        <v>46141</v>
      </c>
      <c r="B637" s="3" t="s">
        <v>48</v>
      </c>
      <c r="C637" s="157" t="s">
        <v>68</v>
      </c>
      <c r="D637" s="11" t="s">
        <v>938</v>
      </c>
      <c r="E637" s="3">
        <v>10</v>
      </c>
      <c r="F637" s="3" t="s">
        <v>172</v>
      </c>
      <c r="G637" s="4">
        <f t="shared" si="40"/>
        <v>10</v>
      </c>
      <c r="H637" s="3"/>
      <c r="I637" s="3"/>
      <c r="J637" s="3"/>
      <c r="K637" s="3"/>
      <c r="L637" s="3">
        <f t="shared" si="39"/>
        <v>0</v>
      </c>
      <c r="M637" s="3">
        <f t="shared" si="41"/>
        <v>0</v>
      </c>
      <c r="N637" s="3"/>
      <c r="O637" s="3"/>
      <c r="P637" s="3"/>
      <c r="Q637" s="3"/>
      <c r="R637" s="3"/>
    </row>
    <row r="638" spans="1:18" x14ac:dyDescent="0.25">
      <c r="A638" s="2">
        <v>46141</v>
      </c>
      <c r="B638" s="3" t="s">
        <v>48</v>
      </c>
      <c r="C638" s="3" t="s">
        <v>92</v>
      </c>
      <c r="D638" s="11" t="s">
        <v>939</v>
      </c>
      <c r="E638" s="3"/>
      <c r="F638" s="3">
        <f t="shared" ref="F638:F650" si="42">E638*5%</f>
        <v>0</v>
      </c>
      <c r="G638" s="4">
        <f t="shared" si="40"/>
        <v>0</v>
      </c>
      <c r="H638" s="3">
        <v>50</v>
      </c>
      <c r="I638" s="3"/>
      <c r="J638" s="3"/>
      <c r="K638" s="3"/>
      <c r="L638" s="3">
        <f t="shared" si="39"/>
        <v>0</v>
      </c>
      <c r="M638" s="3">
        <f t="shared" si="41"/>
        <v>0</v>
      </c>
      <c r="N638" s="3"/>
      <c r="O638" s="3"/>
      <c r="P638" s="3"/>
      <c r="Q638" s="3"/>
      <c r="R638" s="3"/>
    </row>
    <row r="639" spans="1:18" x14ac:dyDescent="0.25">
      <c r="A639" s="2">
        <v>46141</v>
      </c>
      <c r="B639" s="3" t="s">
        <v>48</v>
      </c>
      <c r="C639" s="3" t="s">
        <v>92</v>
      </c>
      <c r="D639" s="11" t="s">
        <v>940</v>
      </c>
      <c r="E639" s="3"/>
      <c r="F639" s="3">
        <f t="shared" si="42"/>
        <v>0</v>
      </c>
      <c r="G639" s="4">
        <f t="shared" si="40"/>
        <v>0</v>
      </c>
      <c r="H639" s="3">
        <v>50</v>
      </c>
      <c r="I639" s="3"/>
      <c r="J639" s="3"/>
      <c r="K639" s="3"/>
      <c r="L639" s="3">
        <f t="shared" si="39"/>
        <v>0</v>
      </c>
      <c r="M639" s="3">
        <f t="shared" si="41"/>
        <v>0</v>
      </c>
      <c r="N639" s="3"/>
      <c r="O639" s="3"/>
      <c r="P639" s="3"/>
      <c r="Q639" s="3"/>
      <c r="R639" s="3"/>
    </row>
    <row r="640" spans="1:18" x14ac:dyDescent="0.25">
      <c r="A640" s="2">
        <v>46141</v>
      </c>
      <c r="B640" s="3" t="s">
        <v>48</v>
      </c>
      <c r="C640" s="3" t="s">
        <v>90</v>
      </c>
      <c r="D640" s="11" t="s">
        <v>941</v>
      </c>
      <c r="E640" s="3"/>
      <c r="F640" s="3">
        <f t="shared" si="42"/>
        <v>0</v>
      </c>
      <c r="G640" s="4">
        <f t="shared" si="40"/>
        <v>0</v>
      </c>
      <c r="H640" s="3"/>
      <c r="I640" s="3"/>
      <c r="J640" s="3">
        <v>5000</v>
      </c>
      <c r="K640" s="3"/>
      <c r="L640" s="3">
        <f t="shared" si="39"/>
        <v>0</v>
      </c>
      <c r="M640" s="3">
        <f t="shared" si="41"/>
        <v>0</v>
      </c>
      <c r="N640" s="3"/>
      <c r="O640" s="3"/>
      <c r="P640" s="3"/>
      <c r="Q640" s="3"/>
      <c r="R640" s="3"/>
    </row>
    <row r="641" spans="1:18" x14ac:dyDescent="0.25">
      <c r="A641" s="2">
        <v>46141</v>
      </c>
      <c r="B641" s="3" t="s">
        <v>48</v>
      </c>
      <c r="C641" s="3" t="s">
        <v>221</v>
      </c>
      <c r="D641" s="11" t="s">
        <v>942</v>
      </c>
      <c r="E641" s="3"/>
      <c r="F641" s="3">
        <f t="shared" si="42"/>
        <v>0</v>
      </c>
      <c r="G641" s="4">
        <f t="shared" si="40"/>
        <v>0</v>
      </c>
      <c r="H641" s="3"/>
      <c r="I641" s="3"/>
      <c r="J641" s="3"/>
      <c r="K641" s="3"/>
      <c r="L641" s="3">
        <f t="shared" si="39"/>
        <v>0</v>
      </c>
      <c r="M641" s="3">
        <f t="shared" si="41"/>
        <v>0</v>
      </c>
      <c r="N641" s="3"/>
      <c r="O641" s="3"/>
      <c r="P641" s="3">
        <v>1000</v>
      </c>
      <c r="Q641" s="3"/>
      <c r="R641" s="3"/>
    </row>
    <row r="642" spans="1:18" x14ac:dyDescent="0.25">
      <c r="A642" s="2">
        <v>46142</v>
      </c>
      <c r="B642" s="3" t="s">
        <v>48</v>
      </c>
      <c r="C642" s="3" t="s">
        <v>221</v>
      </c>
      <c r="D642" s="11" t="s">
        <v>943</v>
      </c>
      <c r="E642" s="3"/>
      <c r="F642" s="3">
        <f t="shared" si="42"/>
        <v>0</v>
      </c>
      <c r="G642" s="4">
        <f t="shared" si="40"/>
        <v>0</v>
      </c>
      <c r="H642" s="3"/>
      <c r="I642" s="3"/>
      <c r="J642" s="3"/>
      <c r="K642" s="3"/>
      <c r="L642" s="3">
        <f t="shared" si="39"/>
        <v>0</v>
      </c>
      <c r="M642" s="3">
        <f t="shared" si="41"/>
        <v>0</v>
      </c>
      <c r="N642" s="3"/>
      <c r="O642" s="3"/>
      <c r="P642" s="3">
        <v>7000</v>
      </c>
      <c r="Q642" s="3"/>
      <c r="R642" s="3"/>
    </row>
    <row r="643" spans="1:18" x14ac:dyDescent="0.25">
      <c r="A643" s="2">
        <v>46142</v>
      </c>
      <c r="B643" s="3" t="s">
        <v>48</v>
      </c>
      <c r="C643" s="3" t="s">
        <v>49</v>
      </c>
      <c r="D643" s="11" t="s">
        <v>944</v>
      </c>
      <c r="E643" s="3"/>
      <c r="F643" s="3">
        <f t="shared" si="42"/>
        <v>0</v>
      </c>
      <c r="G643" s="4">
        <f t="shared" si="40"/>
        <v>0</v>
      </c>
      <c r="H643" s="3"/>
      <c r="I643" s="3"/>
      <c r="J643" s="3"/>
      <c r="K643" s="3"/>
      <c r="L643" s="3">
        <f t="shared" si="39"/>
        <v>0</v>
      </c>
      <c r="M643" s="3">
        <f t="shared" si="41"/>
        <v>0</v>
      </c>
      <c r="N643" s="3">
        <v>1135</v>
      </c>
      <c r="O643" s="3"/>
      <c r="P643" s="3"/>
      <c r="Q643" s="3"/>
      <c r="R643" s="3"/>
    </row>
    <row r="644" spans="1:18" x14ac:dyDescent="0.25">
      <c r="A644" s="2">
        <v>46142</v>
      </c>
      <c r="B644" s="3" t="s">
        <v>48</v>
      </c>
      <c r="C644" s="3" t="s">
        <v>91</v>
      </c>
      <c r="D644" s="11" t="s">
        <v>945</v>
      </c>
      <c r="E644" s="3">
        <v>3900</v>
      </c>
      <c r="F644" s="3" t="s">
        <v>172</v>
      </c>
      <c r="G644" s="4">
        <f t="shared" si="40"/>
        <v>3900</v>
      </c>
      <c r="H644" s="3"/>
      <c r="I644" s="3"/>
      <c r="J644" s="3"/>
      <c r="K644" s="3"/>
      <c r="L644" s="3">
        <f t="shared" si="39"/>
        <v>0</v>
      </c>
      <c r="M644" s="3">
        <f t="shared" si="41"/>
        <v>0</v>
      </c>
      <c r="N644" s="3"/>
      <c r="O644" s="3"/>
      <c r="P644" s="3"/>
      <c r="Q644" s="3"/>
      <c r="R644" s="3"/>
    </row>
    <row r="645" spans="1:18" x14ac:dyDescent="0.25">
      <c r="A645" s="2">
        <v>46142</v>
      </c>
      <c r="B645" s="3" t="s">
        <v>48</v>
      </c>
      <c r="C645" s="3" t="s">
        <v>73</v>
      </c>
      <c r="D645" s="11" t="s">
        <v>946</v>
      </c>
      <c r="E645" s="3">
        <v>350</v>
      </c>
      <c r="F645" s="3" t="s">
        <v>172</v>
      </c>
      <c r="G645" s="4">
        <f t="shared" si="40"/>
        <v>350</v>
      </c>
      <c r="H645" s="3"/>
      <c r="I645" s="3"/>
      <c r="J645" s="3"/>
      <c r="K645" s="3"/>
      <c r="L645" s="3">
        <f t="shared" si="39"/>
        <v>0</v>
      </c>
      <c r="M645" s="3">
        <f t="shared" si="41"/>
        <v>0</v>
      </c>
      <c r="N645" s="3"/>
      <c r="O645" s="3"/>
      <c r="P645" s="3"/>
      <c r="Q645" s="3"/>
      <c r="R645" s="3"/>
    </row>
    <row r="646" spans="1:18" x14ac:dyDescent="0.25">
      <c r="A646" s="2">
        <v>46142</v>
      </c>
      <c r="B646" s="2" t="s">
        <v>285</v>
      </c>
      <c r="C646" s="3" t="s">
        <v>75</v>
      </c>
      <c r="D646" s="11" t="s">
        <v>947</v>
      </c>
      <c r="E646" s="3">
        <v>1556</v>
      </c>
      <c r="F646" s="3" t="s">
        <v>172</v>
      </c>
      <c r="G646" s="4">
        <f t="shared" si="40"/>
        <v>1556</v>
      </c>
      <c r="H646" s="3"/>
      <c r="I646" s="3"/>
      <c r="J646" s="3"/>
      <c r="K646" s="3"/>
      <c r="L646" s="3">
        <f t="shared" si="39"/>
        <v>0</v>
      </c>
      <c r="M646" s="3">
        <f t="shared" si="41"/>
        <v>0</v>
      </c>
      <c r="N646" s="3"/>
      <c r="O646" s="3"/>
      <c r="P646" s="3"/>
      <c r="Q646" s="3"/>
      <c r="R646" s="3"/>
    </row>
    <row r="647" spans="1:18" x14ac:dyDescent="0.25">
      <c r="A647" s="2">
        <v>46142</v>
      </c>
      <c r="B647" s="3" t="s">
        <v>290</v>
      </c>
      <c r="C647" s="3" t="s">
        <v>56</v>
      </c>
      <c r="D647" s="11" t="s">
        <v>948</v>
      </c>
      <c r="E647" s="3">
        <v>1010</v>
      </c>
      <c r="F647" s="3" t="s">
        <v>172</v>
      </c>
      <c r="G647" s="4">
        <f t="shared" si="40"/>
        <v>1010</v>
      </c>
      <c r="H647" s="3"/>
      <c r="I647" s="3"/>
      <c r="J647" s="3"/>
      <c r="K647" s="3"/>
      <c r="L647" s="3">
        <f t="shared" si="39"/>
        <v>0</v>
      </c>
      <c r="M647" s="3">
        <f t="shared" si="41"/>
        <v>0</v>
      </c>
      <c r="N647" s="3"/>
      <c r="O647" s="3"/>
      <c r="P647" s="3"/>
      <c r="Q647" s="3"/>
      <c r="R647" s="3"/>
    </row>
    <row r="648" spans="1:18" x14ac:dyDescent="0.25">
      <c r="A648" s="2">
        <v>46142</v>
      </c>
      <c r="B648" s="3" t="s">
        <v>290</v>
      </c>
      <c r="C648" s="3" t="s">
        <v>56</v>
      </c>
      <c r="D648" s="11" t="s">
        <v>949</v>
      </c>
      <c r="E648" s="3">
        <v>580</v>
      </c>
      <c r="F648" s="3" t="s">
        <v>172</v>
      </c>
      <c r="G648" s="4">
        <f t="shared" si="40"/>
        <v>580</v>
      </c>
      <c r="H648" s="3"/>
      <c r="I648" s="3"/>
      <c r="J648" s="3"/>
      <c r="K648" s="3"/>
      <c r="L648" s="3">
        <f t="shared" si="39"/>
        <v>0</v>
      </c>
      <c r="M648" s="3">
        <f t="shared" si="41"/>
        <v>0</v>
      </c>
      <c r="N648" s="3"/>
      <c r="O648" s="3"/>
      <c r="P648" s="3"/>
      <c r="Q648" s="3"/>
      <c r="R648" s="3"/>
    </row>
    <row r="649" spans="1:18" x14ac:dyDescent="0.25">
      <c r="A649" s="2">
        <v>46142</v>
      </c>
      <c r="B649" s="3" t="s">
        <v>290</v>
      </c>
      <c r="C649" s="3" t="s">
        <v>56</v>
      </c>
      <c r="D649" s="11" t="s">
        <v>950</v>
      </c>
      <c r="E649" s="3">
        <v>293</v>
      </c>
      <c r="F649" s="3" t="s">
        <v>172</v>
      </c>
      <c r="G649" s="4">
        <f t="shared" si="40"/>
        <v>293</v>
      </c>
      <c r="H649" s="3"/>
      <c r="I649" s="3"/>
      <c r="J649" s="3"/>
      <c r="K649" s="3"/>
      <c r="L649" s="3">
        <f t="shared" si="39"/>
        <v>0</v>
      </c>
      <c r="M649" s="3">
        <f t="shared" si="41"/>
        <v>0</v>
      </c>
      <c r="N649" s="3"/>
      <c r="O649" s="3"/>
      <c r="P649" s="3"/>
      <c r="Q649" s="3"/>
      <c r="R649" s="3"/>
    </row>
    <row r="650" spans="1:18" x14ac:dyDescent="0.25">
      <c r="A650" s="2">
        <v>46142</v>
      </c>
      <c r="B650" s="2" t="s">
        <v>285</v>
      </c>
      <c r="C650" s="3" t="s">
        <v>92</v>
      </c>
      <c r="D650" s="11" t="s">
        <v>951</v>
      </c>
      <c r="E650" s="3"/>
      <c r="F650" s="3">
        <f t="shared" si="42"/>
        <v>0</v>
      </c>
      <c r="G650" s="4">
        <f t="shared" si="40"/>
        <v>0</v>
      </c>
      <c r="H650" s="3">
        <v>910.39</v>
      </c>
      <c r="I650" s="3"/>
      <c r="J650" s="3"/>
      <c r="K650" s="3"/>
      <c r="L650" s="3">
        <f t="shared" si="39"/>
        <v>0</v>
      </c>
      <c r="M650" s="3">
        <f t="shared" si="41"/>
        <v>0</v>
      </c>
      <c r="N650" s="3"/>
      <c r="O650" s="3"/>
      <c r="P650" s="3"/>
      <c r="Q650" s="3"/>
      <c r="R650" s="3"/>
    </row>
    <row r="651" spans="1:18" x14ac:dyDescent="0.25">
      <c r="A651" s="2">
        <v>46142</v>
      </c>
      <c r="B651" s="3" t="s">
        <v>291</v>
      </c>
      <c r="C651" s="3" t="s">
        <v>222</v>
      </c>
      <c r="D651" s="11" t="s">
        <v>952</v>
      </c>
      <c r="E651" s="3">
        <v>1000</v>
      </c>
      <c r="F651" s="3" t="s">
        <v>172</v>
      </c>
      <c r="G651" s="4">
        <f t="shared" si="40"/>
        <v>1000</v>
      </c>
      <c r="H651" s="3"/>
      <c r="I651" s="3"/>
      <c r="J651" s="3"/>
      <c r="K651" s="3"/>
      <c r="L651" s="3">
        <f t="shared" si="39"/>
        <v>0</v>
      </c>
      <c r="M651" s="3">
        <f t="shared" si="41"/>
        <v>0</v>
      </c>
      <c r="N651" s="3"/>
      <c r="O651" s="3"/>
      <c r="P651" s="3"/>
      <c r="Q651" s="3"/>
      <c r="R651" s="3"/>
    </row>
    <row r="652" spans="1:18" x14ac:dyDescent="0.25">
      <c r="A652" s="2">
        <v>46142</v>
      </c>
      <c r="B652" s="3" t="s">
        <v>290</v>
      </c>
      <c r="C652" s="3" t="s">
        <v>56</v>
      </c>
      <c r="D652" s="11" t="s">
        <v>953</v>
      </c>
      <c r="E652" s="3">
        <v>1232</v>
      </c>
      <c r="F652" s="3" t="s">
        <v>172</v>
      </c>
      <c r="G652" s="4">
        <f t="shared" si="40"/>
        <v>1232</v>
      </c>
      <c r="H652" s="3"/>
      <c r="I652" s="3"/>
      <c r="J652" s="3"/>
      <c r="K652" s="3"/>
      <c r="L652" s="3">
        <f t="shared" si="39"/>
        <v>0</v>
      </c>
      <c r="M652" s="3">
        <f t="shared" si="41"/>
        <v>0</v>
      </c>
      <c r="N652" s="3"/>
      <c r="O652" s="3"/>
      <c r="P652" s="3"/>
      <c r="Q652" s="3"/>
      <c r="R652" s="3"/>
    </row>
    <row r="653" spans="1:18" x14ac:dyDescent="0.25">
      <c r="A653" s="2">
        <v>46142</v>
      </c>
      <c r="B653" s="3" t="s">
        <v>289</v>
      </c>
      <c r="C653" s="3" t="s">
        <v>73</v>
      </c>
      <c r="D653" s="11" t="s">
        <v>954</v>
      </c>
      <c r="E653" s="3">
        <v>5800</v>
      </c>
      <c r="F653" s="3" t="s">
        <v>172</v>
      </c>
      <c r="G653" s="4">
        <f t="shared" si="40"/>
        <v>5800</v>
      </c>
      <c r="H653" s="3"/>
      <c r="I653" s="3"/>
      <c r="J653" s="3"/>
      <c r="K653" s="3"/>
      <c r="L653" s="3">
        <f t="shared" si="39"/>
        <v>0</v>
      </c>
      <c r="M653" s="3">
        <f t="shared" si="41"/>
        <v>0</v>
      </c>
      <c r="N653" s="3"/>
      <c r="O653" s="3"/>
      <c r="P653" s="3"/>
      <c r="Q653" s="3"/>
      <c r="R653" s="3"/>
    </row>
    <row r="654" spans="1:18" x14ac:dyDescent="0.25">
      <c r="A654" s="2">
        <v>46083</v>
      </c>
      <c r="B654" s="2" t="s">
        <v>48</v>
      </c>
      <c r="C654" s="3" t="s">
        <v>92</v>
      </c>
      <c r="D654" s="11" t="s">
        <v>955</v>
      </c>
      <c r="E654" s="3">
        <v>0</v>
      </c>
      <c r="F654" s="3">
        <f>E654*5%</f>
        <v>0</v>
      </c>
      <c r="G654" s="4">
        <f t="shared" si="40"/>
        <v>0</v>
      </c>
      <c r="H654" s="3">
        <v>100</v>
      </c>
      <c r="I654" s="3"/>
      <c r="J654" s="3"/>
      <c r="K654" s="3"/>
      <c r="L654" s="3">
        <f t="shared" si="39"/>
        <v>0</v>
      </c>
      <c r="M654" s="3">
        <f t="shared" si="41"/>
        <v>0</v>
      </c>
      <c r="N654" s="3"/>
      <c r="O654" s="3"/>
      <c r="P654" s="3"/>
      <c r="Q654" s="3"/>
      <c r="R654" s="3"/>
    </row>
    <row r="655" spans="1:18" x14ac:dyDescent="0.25">
      <c r="A655" s="2">
        <v>46083</v>
      </c>
      <c r="B655" s="2" t="s">
        <v>48</v>
      </c>
      <c r="C655" s="3" t="s">
        <v>49</v>
      </c>
      <c r="D655" s="11" t="s">
        <v>956</v>
      </c>
      <c r="E655" s="3">
        <v>980</v>
      </c>
      <c r="F655" s="3">
        <f>E655*5%</f>
        <v>49</v>
      </c>
      <c r="G655" s="4">
        <f t="shared" si="40"/>
        <v>1029</v>
      </c>
      <c r="H655" s="3"/>
      <c r="I655" s="3"/>
      <c r="J655" s="3"/>
      <c r="K655" s="3"/>
      <c r="L655" s="3">
        <f t="shared" si="39"/>
        <v>0</v>
      </c>
      <c r="M655" s="3">
        <f t="shared" si="41"/>
        <v>0</v>
      </c>
      <c r="N655" s="3"/>
      <c r="O655" s="3"/>
      <c r="P655" s="3"/>
      <c r="Q655" s="3"/>
      <c r="R655" s="3"/>
    </row>
    <row r="656" spans="1:18" x14ac:dyDescent="0.25">
      <c r="A656" s="2">
        <v>46083</v>
      </c>
      <c r="B656" s="2" t="s">
        <v>48</v>
      </c>
      <c r="C656" s="3" t="s">
        <v>73</v>
      </c>
      <c r="D656" s="11" t="s">
        <v>957</v>
      </c>
      <c r="E656" s="3">
        <v>18230</v>
      </c>
      <c r="F656" s="3" t="s">
        <v>172</v>
      </c>
      <c r="G656" s="4">
        <f t="shared" si="40"/>
        <v>18230</v>
      </c>
      <c r="H656" s="3"/>
      <c r="I656" s="3"/>
      <c r="J656" s="3"/>
      <c r="K656" s="3"/>
      <c r="L656" s="3">
        <f t="shared" si="39"/>
        <v>0</v>
      </c>
      <c r="M656" s="3">
        <f t="shared" si="41"/>
        <v>0</v>
      </c>
      <c r="N656" s="3"/>
      <c r="O656" s="3"/>
      <c r="P656" s="3"/>
      <c r="Q656" s="3"/>
      <c r="R656" s="3"/>
    </row>
    <row r="657" spans="1:18" x14ac:dyDescent="0.25">
      <c r="A657" s="2">
        <v>46083</v>
      </c>
      <c r="B657" s="2" t="s">
        <v>48</v>
      </c>
      <c r="C657" s="3" t="s">
        <v>64</v>
      </c>
      <c r="D657" s="11" t="s">
        <v>958</v>
      </c>
      <c r="E657" s="3">
        <v>260</v>
      </c>
      <c r="F657" s="3" t="s">
        <v>172</v>
      </c>
      <c r="G657" s="4">
        <f t="shared" si="40"/>
        <v>260</v>
      </c>
      <c r="H657" s="3"/>
      <c r="I657" s="3"/>
      <c r="J657" s="3"/>
      <c r="K657" s="3"/>
      <c r="L657" s="3">
        <f t="shared" si="39"/>
        <v>0</v>
      </c>
      <c r="M657" s="3">
        <f t="shared" si="41"/>
        <v>0</v>
      </c>
      <c r="N657" s="3"/>
      <c r="O657" s="3"/>
      <c r="P657" s="3"/>
      <c r="Q657" s="3"/>
      <c r="R657" s="3"/>
    </row>
    <row r="658" spans="1:18" x14ac:dyDescent="0.25">
      <c r="A658" s="2">
        <v>46083</v>
      </c>
      <c r="B658" s="2" t="s">
        <v>48</v>
      </c>
      <c r="C658" s="3" t="s">
        <v>96</v>
      </c>
      <c r="D658" s="11" t="s">
        <v>959</v>
      </c>
      <c r="E658" s="3"/>
      <c r="F658" s="3">
        <f>E658*5%</f>
        <v>0</v>
      </c>
      <c r="G658" s="4">
        <f t="shared" si="40"/>
        <v>0</v>
      </c>
      <c r="H658" s="3"/>
      <c r="I658" s="3"/>
      <c r="J658" s="3">
        <v>7420</v>
      </c>
      <c r="K658" s="3"/>
      <c r="L658" s="3">
        <f t="shared" si="39"/>
        <v>0</v>
      </c>
      <c r="M658" s="3">
        <f t="shared" si="41"/>
        <v>0</v>
      </c>
      <c r="N658" s="3"/>
      <c r="O658" s="3"/>
      <c r="P658" s="3"/>
      <c r="Q658" s="3"/>
      <c r="R658" s="3"/>
    </row>
    <row r="659" spans="1:18" x14ac:dyDescent="0.25">
      <c r="A659" s="2">
        <v>46083</v>
      </c>
      <c r="B659" s="2" t="s">
        <v>48</v>
      </c>
      <c r="C659" s="3" t="s">
        <v>92</v>
      </c>
      <c r="D659" s="11" t="s">
        <v>960</v>
      </c>
      <c r="E659" s="3"/>
      <c r="F659" s="3">
        <f>E659*5%</f>
        <v>0</v>
      </c>
      <c r="G659" s="4">
        <f t="shared" si="40"/>
        <v>0</v>
      </c>
      <c r="H659" s="3">
        <v>10020</v>
      </c>
      <c r="I659" s="3"/>
      <c r="J659" s="3"/>
      <c r="K659" s="3"/>
      <c r="L659" s="3">
        <f t="shared" si="39"/>
        <v>0</v>
      </c>
      <c r="M659" s="3">
        <f t="shared" si="41"/>
        <v>0</v>
      </c>
      <c r="N659" s="3"/>
      <c r="O659" s="3"/>
      <c r="P659" s="3"/>
      <c r="Q659" s="3"/>
      <c r="R659" s="3"/>
    </row>
    <row r="660" spans="1:18" x14ac:dyDescent="0.25">
      <c r="A660" s="2">
        <v>46083</v>
      </c>
      <c r="B660" s="2" t="s">
        <v>48</v>
      </c>
      <c r="C660" s="3" t="s">
        <v>95</v>
      </c>
      <c r="D660" s="11" t="s">
        <v>961</v>
      </c>
      <c r="E660" s="3"/>
      <c r="F660" s="3">
        <f>E660*5%</f>
        <v>0</v>
      </c>
      <c r="G660" s="4">
        <f t="shared" si="40"/>
        <v>0</v>
      </c>
      <c r="H660" s="3"/>
      <c r="I660" s="3"/>
      <c r="J660" s="3">
        <v>900</v>
      </c>
      <c r="K660" s="3"/>
      <c r="L660" s="3">
        <f t="shared" si="39"/>
        <v>0</v>
      </c>
      <c r="M660" s="3">
        <f t="shared" si="41"/>
        <v>0</v>
      </c>
      <c r="N660" s="3"/>
      <c r="O660" s="3"/>
      <c r="P660" s="3"/>
      <c r="Q660" s="3"/>
      <c r="R660" s="3"/>
    </row>
    <row r="661" spans="1:18" x14ac:dyDescent="0.25">
      <c r="A661" s="2">
        <v>46083</v>
      </c>
      <c r="B661" s="2" t="s">
        <v>292</v>
      </c>
      <c r="C661" s="3" t="s">
        <v>223</v>
      </c>
      <c r="D661" s="11" t="s">
        <v>962</v>
      </c>
      <c r="E661" s="3">
        <v>790.13</v>
      </c>
      <c r="F661" s="3" t="s">
        <v>172</v>
      </c>
      <c r="G661" s="4">
        <f t="shared" si="40"/>
        <v>790.13</v>
      </c>
      <c r="H661" s="3"/>
      <c r="I661" s="3"/>
      <c r="J661" s="3"/>
      <c r="K661" s="3"/>
      <c r="L661" s="3">
        <f t="shared" si="39"/>
        <v>0</v>
      </c>
      <c r="M661" s="3">
        <f t="shared" si="41"/>
        <v>0</v>
      </c>
      <c r="N661" s="3"/>
      <c r="O661" s="3"/>
      <c r="P661" s="3"/>
      <c r="Q661" s="3"/>
      <c r="R661" s="3"/>
    </row>
    <row r="662" spans="1:18" x14ac:dyDescent="0.25">
      <c r="A662" s="2">
        <v>46084</v>
      </c>
      <c r="B662" s="3" t="s">
        <v>48</v>
      </c>
      <c r="C662" s="3" t="s">
        <v>51</v>
      </c>
      <c r="D662" s="11" t="s">
        <v>963</v>
      </c>
      <c r="E662" s="3">
        <v>47.62</v>
      </c>
      <c r="F662" s="3">
        <f>E662*5%</f>
        <v>2.3809999999999998</v>
      </c>
      <c r="G662" s="4">
        <f t="shared" si="40"/>
        <v>50.000999999999998</v>
      </c>
      <c r="H662" s="3"/>
      <c r="I662" s="3"/>
      <c r="J662" s="3"/>
      <c r="K662" s="3"/>
      <c r="L662" s="3">
        <f t="shared" si="39"/>
        <v>0</v>
      </c>
      <c r="M662" s="3">
        <f t="shared" si="41"/>
        <v>0</v>
      </c>
      <c r="N662" s="3"/>
      <c r="O662" s="3"/>
      <c r="P662" s="3"/>
      <c r="Q662" s="3"/>
      <c r="R662" s="3"/>
    </row>
    <row r="663" spans="1:18" x14ac:dyDescent="0.25">
      <c r="A663" s="2">
        <v>46084</v>
      </c>
      <c r="B663" s="3" t="s">
        <v>48</v>
      </c>
      <c r="C663" s="3" t="s">
        <v>65</v>
      </c>
      <c r="D663" s="11" t="s">
        <v>964</v>
      </c>
      <c r="E663" s="3">
        <v>6000</v>
      </c>
      <c r="F663" s="3" t="s">
        <v>172</v>
      </c>
      <c r="G663" s="4">
        <f t="shared" si="40"/>
        <v>6000</v>
      </c>
      <c r="H663" s="3"/>
      <c r="I663" s="3"/>
      <c r="J663" s="3"/>
      <c r="K663" s="3"/>
      <c r="L663" s="3">
        <f t="shared" si="39"/>
        <v>0</v>
      </c>
      <c r="M663" s="3">
        <f t="shared" si="41"/>
        <v>0</v>
      </c>
      <c r="N663" s="3"/>
      <c r="O663" s="3"/>
      <c r="P663" s="3"/>
      <c r="Q663" s="3"/>
      <c r="R663" s="3"/>
    </row>
    <row r="664" spans="1:18" x14ac:dyDescent="0.25">
      <c r="A664" s="2">
        <v>46084</v>
      </c>
      <c r="B664" s="3" t="s">
        <v>48</v>
      </c>
      <c r="C664" s="3" t="s">
        <v>73</v>
      </c>
      <c r="D664" s="11" t="s">
        <v>965</v>
      </c>
      <c r="E664" s="3">
        <v>69.5</v>
      </c>
      <c r="F664" s="3" t="s">
        <v>172</v>
      </c>
      <c r="G664" s="4">
        <f t="shared" si="40"/>
        <v>69.5</v>
      </c>
      <c r="H664" s="3"/>
      <c r="I664" s="3"/>
      <c r="J664" s="3"/>
      <c r="K664" s="3"/>
      <c r="L664" s="3">
        <f t="shared" si="39"/>
        <v>0</v>
      </c>
      <c r="M664" s="3">
        <f t="shared" si="41"/>
        <v>0</v>
      </c>
      <c r="N664" s="3"/>
      <c r="O664" s="3"/>
      <c r="P664" s="3"/>
      <c r="Q664" s="3"/>
      <c r="R664" s="3"/>
    </row>
    <row r="665" spans="1:18" x14ac:dyDescent="0.25">
      <c r="A665" s="2">
        <v>46085</v>
      </c>
      <c r="B665" s="3" t="s">
        <v>48</v>
      </c>
      <c r="C665" s="3" t="s">
        <v>51</v>
      </c>
      <c r="D665" s="11" t="s">
        <v>966</v>
      </c>
      <c r="E665" s="3">
        <v>47.62</v>
      </c>
      <c r="F665" s="3">
        <f>E665*5%</f>
        <v>2.3809999999999998</v>
      </c>
      <c r="G665" s="4">
        <f t="shared" si="40"/>
        <v>50.000999999999998</v>
      </c>
      <c r="H665" s="3"/>
      <c r="I665" s="3"/>
      <c r="J665" s="3"/>
      <c r="K665" s="3"/>
      <c r="L665" s="3">
        <f t="shared" si="39"/>
        <v>0</v>
      </c>
      <c r="M665" s="3">
        <f t="shared" si="41"/>
        <v>0</v>
      </c>
      <c r="N665" s="3"/>
      <c r="O665" s="3"/>
      <c r="P665" s="3"/>
      <c r="Q665" s="3"/>
      <c r="R665" s="3"/>
    </row>
    <row r="666" spans="1:18" x14ac:dyDescent="0.25">
      <c r="A666" s="2">
        <v>46085</v>
      </c>
      <c r="B666" s="3" t="s">
        <v>48</v>
      </c>
      <c r="C666" s="3" t="s">
        <v>49</v>
      </c>
      <c r="D666" s="11" t="s">
        <v>967</v>
      </c>
      <c r="E666" s="3">
        <v>1250</v>
      </c>
      <c r="F666" s="3">
        <f>E666*5%</f>
        <v>62.5</v>
      </c>
      <c r="G666" s="4">
        <f t="shared" si="40"/>
        <v>1312.5</v>
      </c>
      <c r="H666" s="3"/>
      <c r="I666" s="3"/>
      <c r="J666" s="3"/>
      <c r="K666" s="3"/>
      <c r="L666" s="3">
        <f t="shared" si="39"/>
        <v>0</v>
      </c>
      <c r="M666" s="3">
        <f t="shared" si="41"/>
        <v>0</v>
      </c>
      <c r="N666" s="3"/>
      <c r="O666" s="3"/>
      <c r="P666" s="3"/>
      <c r="Q666" s="3"/>
      <c r="R666" s="3"/>
    </row>
    <row r="667" spans="1:18" x14ac:dyDescent="0.25">
      <c r="A667" s="2">
        <v>46085</v>
      </c>
      <c r="B667" s="3" t="s">
        <v>48</v>
      </c>
      <c r="C667" s="3" t="s">
        <v>91</v>
      </c>
      <c r="D667" s="11" t="s">
        <v>968</v>
      </c>
      <c r="E667" s="3">
        <v>176311</v>
      </c>
      <c r="F667" s="3" t="s">
        <v>172</v>
      </c>
      <c r="G667" s="4">
        <f t="shared" si="40"/>
        <v>176311</v>
      </c>
      <c r="H667" s="3"/>
      <c r="I667" s="3"/>
      <c r="J667" s="3"/>
      <c r="K667" s="3"/>
      <c r="L667" s="3">
        <f t="shared" si="39"/>
        <v>0</v>
      </c>
      <c r="M667" s="3">
        <f t="shared" si="41"/>
        <v>0</v>
      </c>
      <c r="N667" s="3"/>
      <c r="O667" s="3"/>
      <c r="P667" s="3"/>
      <c r="Q667" s="3"/>
      <c r="R667" s="3"/>
    </row>
    <row r="668" spans="1:18" x14ac:dyDescent="0.25">
      <c r="A668" s="2">
        <v>46085</v>
      </c>
      <c r="B668" s="3" t="s">
        <v>48</v>
      </c>
      <c r="C668" s="3" t="s">
        <v>64</v>
      </c>
      <c r="D668" s="11" t="s">
        <v>969</v>
      </c>
      <c r="E668" s="3">
        <v>100</v>
      </c>
      <c r="F668" s="3" t="s">
        <v>172</v>
      </c>
      <c r="G668" s="4">
        <f t="shared" si="40"/>
        <v>100</v>
      </c>
      <c r="H668" s="3"/>
      <c r="I668" s="3"/>
      <c r="J668" s="3"/>
      <c r="K668" s="3"/>
      <c r="L668" s="3">
        <f t="shared" si="39"/>
        <v>0</v>
      </c>
      <c r="M668" s="3">
        <f t="shared" si="41"/>
        <v>0</v>
      </c>
      <c r="N668" s="3"/>
      <c r="O668" s="3"/>
      <c r="P668" s="3"/>
      <c r="Q668" s="3"/>
      <c r="R668" s="3"/>
    </row>
    <row r="669" spans="1:18" x14ac:dyDescent="0.25">
      <c r="A669" s="2">
        <v>46085</v>
      </c>
      <c r="B669" s="3" t="s">
        <v>48</v>
      </c>
      <c r="C669" s="3" t="s">
        <v>224</v>
      </c>
      <c r="D669" s="11" t="s">
        <v>970</v>
      </c>
      <c r="E669" s="3">
        <v>498.75</v>
      </c>
      <c r="F669" s="3" t="s">
        <v>172</v>
      </c>
      <c r="G669" s="4">
        <f t="shared" si="40"/>
        <v>498.75</v>
      </c>
      <c r="H669" s="3"/>
      <c r="I669" s="3"/>
      <c r="J669" s="3"/>
      <c r="K669" s="3"/>
      <c r="L669" s="3">
        <f t="shared" si="39"/>
        <v>0</v>
      </c>
      <c r="M669" s="3">
        <f t="shared" si="41"/>
        <v>0</v>
      </c>
      <c r="N669" s="3"/>
      <c r="O669" s="3"/>
      <c r="P669" s="3"/>
      <c r="Q669" s="3"/>
      <c r="R669" s="3"/>
    </row>
    <row r="670" spans="1:18" x14ac:dyDescent="0.25">
      <c r="A670" s="2">
        <v>46085</v>
      </c>
      <c r="B670" s="2" t="s">
        <v>285</v>
      </c>
      <c r="C670" s="3" t="s">
        <v>225</v>
      </c>
      <c r="D670" s="11" t="s">
        <v>971</v>
      </c>
      <c r="E670" s="3">
        <v>885</v>
      </c>
      <c r="F670" s="3" t="s">
        <v>172</v>
      </c>
      <c r="G670" s="4">
        <f t="shared" si="40"/>
        <v>885</v>
      </c>
      <c r="H670" s="3"/>
      <c r="I670" s="3"/>
      <c r="J670" s="3"/>
      <c r="K670" s="3"/>
      <c r="L670" s="3">
        <f t="shared" si="39"/>
        <v>0</v>
      </c>
      <c r="M670" s="3">
        <f t="shared" si="41"/>
        <v>0</v>
      </c>
      <c r="N670" s="3"/>
      <c r="O670" s="3"/>
      <c r="P670" s="3"/>
      <c r="Q670" s="3"/>
      <c r="R670" s="3"/>
    </row>
    <row r="671" spans="1:18" x14ac:dyDescent="0.25">
      <c r="A671" s="2">
        <v>46086</v>
      </c>
      <c r="B671" s="3" t="s">
        <v>48</v>
      </c>
      <c r="C671" s="3" t="s">
        <v>92</v>
      </c>
      <c r="D671" s="11" t="s">
        <v>972</v>
      </c>
      <c r="E671" s="3"/>
      <c r="F671" s="3">
        <f>E671*5%</f>
        <v>0</v>
      </c>
      <c r="G671" s="4">
        <f t="shared" si="40"/>
        <v>0</v>
      </c>
      <c r="H671" s="3">
        <v>500</v>
      </c>
      <c r="I671" s="3"/>
      <c r="J671" s="3"/>
      <c r="K671" s="3"/>
      <c r="L671" s="3">
        <f t="shared" si="39"/>
        <v>0</v>
      </c>
      <c r="M671" s="3">
        <f t="shared" si="41"/>
        <v>0</v>
      </c>
      <c r="N671" s="3"/>
      <c r="O671" s="3"/>
      <c r="P671" s="3"/>
      <c r="Q671" s="3"/>
      <c r="R671" s="3"/>
    </row>
    <row r="672" spans="1:18" x14ac:dyDescent="0.25">
      <c r="A672" s="2">
        <v>46086</v>
      </c>
      <c r="B672" s="3" t="s">
        <v>48</v>
      </c>
      <c r="C672" s="3" t="s">
        <v>91</v>
      </c>
      <c r="D672" s="11" t="s">
        <v>973</v>
      </c>
      <c r="E672" s="3">
        <v>270</v>
      </c>
      <c r="F672" s="3" t="s">
        <v>172</v>
      </c>
      <c r="G672" s="4">
        <f t="shared" si="40"/>
        <v>270</v>
      </c>
      <c r="H672" s="3"/>
      <c r="I672" s="3"/>
      <c r="J672" s="3"/>
      <c r="K672" s="3"/>
      <c r="L672" s="3">
        <f t="shared" si="39"/>
        <v>0</v>
      </c>
      <c r="M672" s="3">
        <f t="shared" si="41"/>
        <v>0</v>
      </c>
      <c r="N672" s="3"/>
      <c r="O672" s="3"/>
      <c r="P672" s="3"/>
      <c r="Q672" s="3"/>
      <c r="R672" s="3"/>
    </row>
    <row r="673" spans="1:18" x14ac:dyDescent="0.25">
      <c r="A673" s="2">
        <v>46086</v>
      </c>
      <c r="B673" s="3" t="s">
        <v>48</v>
      </c>
      <c r="C673" s="3" t="s">
        <v>91</v>
      </c>
      <c r="D673" s="11" t="s">
        <v>974</v>
      </c>
      <c r="E673" s="3">
        <v>285</v>
      </c>
      <c r="F673" s="3" t="s">
        <v>172</v>
      </c>
      <c r="G673" s="4">
        <f t="shared" si="40"/>
        <v>285</v>
      </c>
      <c r="H673" s="3"/>
      <c r="I673" s="3"/>
      <c r="J673" s="3"/>
      <c r="K673" s="3"/>
      <c r="L673" s="3">
        <f t="shared" si="39"/>
        <v>0</v>
      </c>
      <c r="M673" s="3">
        <f t="shared" si="41"/>
        <v>0</v>
      </c>
      <c r="N673" s="3"/>
      <c r="O673" s="3"/>
      <c r="P673" s="3"/>
      <c r="Q673" s="3"/>
      <c r="R673" s="3"/>
    </row>
    <row r="674" spans="1:18" x14ac:dyDescent="0.25">
      <c r="A674" s="2">
        <v>46086</v>
      </c>
      <c r="B674" s="3" t="s">
        <v>48</v>
      </c>
      <c r="C674" s="3" t="s">
        <v>49</v>
      </c>
      <c r="D674" s="11" t="s">
        <v>975</v>
      </c>
      <c r="E674" s="3">
        <v>11.5</v>
      </c>
      <c r="F674" s="3" t="s">
        <v>172</v>
      </c>
      <c r="G674" s="4">
        <f t="shared" si="40"/>
        <v>11.5</v>
      </c>
      <c r="H674" s="3"/>
      <c r="I674" s="3"/>
      <c r="J674" s="3"/>
      <c r="K674" s="3"/>
      <c r="L674" s="3">
        <f t="shared" si="39"/>
        <v>0</v>
      </c>
      <c r="M674" s="3">
        <f t="shared" si="41"/>
        <v>0</v>
      </c>
      <c r="N674" s="3"/>
      <c r="O674" s="3"/>
      <c r="P674" s="3"/>
      <c r="Q674" s="3"/>
      <c r="R674" s="3"/>
    </row>
    <row r="675" spans="1:18" x14ac:dyDescent="0.25">
      <c r="A675" s="2">
        <v>46086</v>
      </c>
      <c r="B675" s="2" t="s">
        <v>285</v>
      </c>
      <c r="C675" s="3" t="s">
        <v>81</v>
      </c>
      <c r="D675" s="11" t="s">
        <v>976</v>
      </c>
      <c r="E675" s="3">
        <v>500</v>
      </c>
      <c r="F675" s="3" t="s">
        <v>172</v>
      </c>
      <c r="G675" s="4">
        <f t="shared" si="40"/>
        <v>500</v>
      </c>
      <c r="H675" s="3"/>
      <c r="I675" s="3"/>
      <c r="J675" s="3"/>
      <c r="K675" s="3"/>
      <c r="L675" s="3">
        <f t="shared" si="39"/>
        <v>0</v>
      </c>
      <c r="M675" s="3">
        <f t="shared" si="41"/>
        <v>0</v>
      </c>
      <c r="N675" s="3"/>
      <c r="O675" s="3"/>
      <c r="P675" s="3"/>
      <c r="Q675" s="3"/>
      <c r="R675" s="3"/>
    </row>
    <row r="676" spans="1:18" x14ac:dyDescent="0.25">
      <c r="A676" s="2">
        <v>46086</v>
      </c>
      <c r="B676" s="2" t="s">
        <v>285</v>
      </c>
      <c r="C676" s="3" t="s">
        <v>225</v>
      </c>
      <c r="D676" s="11" t="s">
        <v>977</v>
      </c>
      <c r="E676" s="3">
        <v>485</v>
      </c>
      <c r="F676" s="3" t="s">
        <v>172</v>
      </c>
      <c r="G676" s="4">
        <f t="shared" si="40"/>
        <v>485</v>
      </c>
      <c r="H676" s="3"/>
      <c r="I676" s="3"/>
      <c r="J676" s="3"/>
      <c r="K676" s="3"/>
      <c r="L676" s="3">
        <f t="shared" si="39"/>
        <v>0</v>
      </c>
      <c r="M676" s="3">
        <f t="shared" si="41"/>
        <v>0</v>
      </c>
      <c r="N676" s="3"/>
      <c r="O676" s="3"/>
      <c r="P676" s="3"/>
      <c r="Q676" s="3"/>
      <c r="R676" s="3"/>
    </row>
    <row r="677" spans="1:18" x14ac:dyDescent="0.25">
      <c r="A677" s="2">
        <v>46087</v>
      </c>
      <c r="B677" s="3" t="s">
        <v>48</v>
      </c>
      <c r="C677" s="3" t="s">
        <v>73</v>
      </c>
      <c r="D677" s="11" t="s">
        <v>978</v>
      </c>
      <c r="E677" s="3">
        <v>240</v>
      </c>
      <c r="F677" s="3" t="s">
        <v>172</v>
      </c>
      <c r="G677" s="4">
        <f t="shared" si="40"/>
        <v>240</v>
      </c>
      <c r="H677" s="3"/>
      <c r="I677" s="3"/>
      <c r="J677" s="3"/>
      <c r="K677" s="3"/>
      <c r="L677" s="3">
        <f t="shared" si="39"/>
        <v>0</v>
      </c>
      <c r="M677" s="3">
        <f t="shared" si="41"/>
        <v>0</v>
      </c>
      <c r="N677" s="3"/>
      <c r="O677" s="3"/>
      <c r="P677" s="3"/>
      <c r="Q677" s="3"/>
      <c r="R677" s="3"/>
    </row>
    <row r="678" spans="1:18" x14ac:dyDescent="0.25">
      <c r="A678" s="2">
        <v>46087</v>
      </c>
      <c r="B678" s="3" t="s">
        <v>48</v>
      </c>
      <c r="C678" s="3" t="s">
        <v>73</v>
      </c>
      <c r="D678" s="11" t="s">
        <v>979</v>
      </c>
      <c r="E678" s="3">
        <v>55</v>
      </c>
      <c r="F678" s="3" t="s">
        <v>172</v>
      </c>
      <c r="G678" s="4">
        <f t="shared" si="40"/>
        <v>55</v>
      </c>
      <c r="H678" s="3"/>
      <c r="I678" s="3"/>
      <c r="J678" s="3"/>
      <c r="K678" s="3"/>
      <c r="L678" s="3">
        <f t="shared" si="39"/>
        <v>0</v>
      </c>
      <c r="M678" s="3">
        <f t="shared" si="41"/>
        <v>0</v>
      </c>
      <c r="N678" s="3"/>
      <c r="O678" s="3"/>
      <c r="P678" s="3"/>
      <c r="Q678" s="3"/>
      <c r="R678" s="3"/>
    </row>
    <row r="679" spans="1:18" x14ac:dyDescent="0.25">
      <c r="A679" s="2">
        <v>46088</v>
      </c>
      <c r="B679" s="3" t="s">
        <v>48</v>
      </c>
      <c r="C679" s="3" t="s">
        <v>64</v>
      </c>
      <c r="D679" s="11" t="s">
        <v>980</v>
      </c>
      <c r="E679" s="3">
        <v>100</v>
      </c>
      <c r="F679" s="3" t="s">
        <v>172</v>
      </c>
      <c r="G679" s="4">
        <f t="shared" si="40"/>
        <v>100</v>
      </c>
      <c r="H679" s="3"/>
      <c r="I679" s="3"/>
      <c r="J679" s="3"/>
      <c r="K679" s="3"/>
      <c r="L679" s="3">
        <f t="shared" si="39"/>
        <v>0</v>
      </c>
      <c r="M679" s="3">
        <f t="shared" si="41"/>
        <v>0</v>
      </c>
      <c r="N679" s="3"/>
      <c r="O679" s="3"/>
      <c r="P679" s="3"/>
      <c r="Q679" s="3"/>
      <c r="R679" s="3"/>
    </row>
    <row r="680" spans="1:18" x14ac:dyDescent="0.25">
      <c r="A680" s="2">
        <v>46088</v>
      </c>
      <c r="B680" s="3" t="s">
        <v>48</v>
      </c>
      <c r="C680" s="3" t="s">
        <v>93</v>
      </c>
      <c r="D680" s="11" t="s">
        <v>981</v>
      </c>
      <c r="E680" s="3">
        <v>10000</v>
      </c>
      <c r="F680" s="3" t="s">
        <v>172</v>
      </c>
      <c r="G680" s="4">
        <f t="shared" si="40"/>
        <v>10000</v>
      </c>
      <c r="H680" s="3"/>
      <c r="I680" s="3"/>
      <c r="J680" s="3"/>
      <c r="K680" s="3"/>
      <c r="L680" s="3">
        <f t="shared" si="39"/>
        <v>0</v>
      </c>
      <c r="M680" s="3">
        <f t="shared" si="41"/>
        <v>0</v>
      </c>
      <c r="N680" s="3"/>
      <c r="O680" s="3"/>
      <c r="P680" s="3"/>
      <c r="Q680" s="3"/>
      <c r="R680" s="3"/>
    </row>
    <row r="681" spans="1:18" x14ac:dyDescent="0.25">
      <c r="A681" s="2">
        <v>46088</v>
      </c>
      <c r="B681" s="3" t="s">
        <v>48</v>
      </c>
      <c r="C681" s="3" t="s">
        <v>90</v>
      </c>
      <c r="D681" s="11" t="s">
        <v>982</v>
      </c>
      <c r="E681" s="3"/>
      <c r="F681" s="3">
        <f>E681*5%</f>
        <v>0</v>
      </c>
      <c r="G681" s="4">
        <f t="shared" si="40"/>
        <v>0</v>
      </c>
      <c r="H681" s="3"/>
      <c r="I681" s="3"/>
      <c r="J681" s="3">
        <v>500</v>
      </c>
      <c r="K681" s="3"/>
      <c r="L681" s="3">
        <f t="shared" si="39"/>
        <v>0</v>
      </c>
      <c r="M681" s="3">
        <f t="shared" si="41"/>
        <v>0</v>
      </c>
      <c r="N681" s="3"/>
      <c r="O681" s="3"/>
      <c r="P681" s="3"/>
      <c r="Q681" s="3"/>
      <c r="R681" s="3"/>
    </row>
    <row r="682" spans="1:18" x14ac:dyDescent="0.25">
      <c r="A682" s="2">
        <v>46088</v>
      </c>
      <c r="B682" s="3" t="s">
        <v>48</v>
      </c>
      <c r="C682" s="3" t="s">
        <v>81</v>
      </c>
      <c r="D682" s="11" t="s">
        <v>983</v>
      </c>
      <c r="E682" s="3">
        <v>500</v>
      </c>
      <c r="F682" s="3" t="s">
        <v>172</v>
      </c>
      <c r="G682" s="4">
        <f t="shared" si="40"/>
        <v>500</v>
      </c>
      <c r="H682" s="3"/>
      <c r="I682" s="3"/>
      <c r="J682" s="3"/>
      <c r="K682" s="3"/>
      <c r="L682" s="3">
        <f t="shared" si="39"/>
        <v>0</v>
      </c>
      <c r="M682" s="3">
        <f t="shared" si="41"/>
        <v>0</v>
      </c>
      <c r="N682" s="3"/>
      <c r="O682" s="3"/>
      <c r="P682" s="3"/>
      <c r="Q682" s="3"/>
      <c r="R682" s="3"/>
    </row>
    <row r="683" spans="1:18" x14ac:dyDescent="0.25">
      <c r="A683" s="2">
        <v>46088</v>
      </c>
      <c r="B683" s="3" t="s">
        <v>48</v>
      </c>
      <c r="C683" s="3" t="s">
        <v>64</v>
      </c>
      <c r="D683" s="11" t="s">
        <v>984</v>
      </c>
      <c r="E683" s="3">
        <v>250</v>
      </c>
      <c r="F683" s="3" t="s">
        <v>172</v>
      </c>
      <c r="G683" s="4">
        <f t="shared" si="40"/>
        <v>250</v>
      </c>
      <c r="H683" s="3"/>
      <c r="I683" s="3"/>
      <c r="J683" s="3"/>
      <c r="K683" s="3"/>
      <c r="L683" s="3">
        <f t="shared" si="39"/>
        <v>0</v>
      </c>
      <c r="M683" s="3">
        <f t="shared" si="41"/>
        <v>0</v>
      </c>
      <c r="N683" s="3"/>
      <c r="O683" s="3"/>
      <c r="P683" s="3"/>
      <c r="Q683" s="3"/>
      <c r="R683" s="3"/>
    </row>
    <row r="684" spans="1:18" x14ac:dyDescent="0.25">
      <c r="A684" s="2">
        <v>46088</v>
      </c>
      <c r="B684" s="3" t="s">
        <v>48</v>
      </c>
      <c r="C684" s="3" t="s">
        <v>91</v>
      </c>
      <c r="D684" s="11" t="s">
        <v>985</v>
      </c>
      <c r="E684" s="3">
        <v>2000</v>
      </c>
      <c r="F684" s="3" t="s">
        <v>172</v>
      </c>
      <c r="G684" s="4">
        <f t="shared" si="40"/>
        <v>2000</v>
      </c>
      <c r="H684" s="3"/>
      <c r="I684" s="3"/>
      <c r="J684" s="3"/>
      <c r="K684" s="3"/>
      <c r="L684" s="3">
        <f t="shared" ref="L684:L691" si="43">K684*5%</f>
        <v>0</v>
      </c>
      <c r="M684" s="3">
        <f t="shared" si="41"/>
        <v>0</v>
      </c>
      <c r="N684" s="3"/>
      <c r="O684" s="3"/>
      <c r="P684" s="3"/>
      <c r="Q684" s="3"/>
      <c r="R684" s="3"/>
    </row>
    <row r="685" spans="1:18" x14ac:dyDescent="0.25">
      <c r="A685" s="2">
        <v>46088</v>
      </c>
      <c r="B685" s="3" t="s">
        <v>48</v>
      </c>
      <c r="C685" s="3" t="s">
        <v>89</v>
      </c>
      <c r="D685" s="11" t="s">
        <v>986</v>
      </c>
      <c r="E685" s="3">
        <v>4000</v>
      </c>
      <c r="F685" s="3">
        <f>E685*5%</f>
        <v>200</v>
      </c>
      <c r="G685" s="4">
        <f t="shared" si="40"/>
        <v>4200</v>
      </c>
      <c r="H685" s="3"/>
      <c r="I685" s="3"/>
      <c r="J685" s="3"/>
      <c r="K685" s="3"/>
      <c r="L685" s="3">
        <f t="shared" si="43"/>
        <v>0</v>
      </c>
      <c r="M685" s="3">
        <f t="shared" si="41"/>
        <v>0</v>
      </c>
      <c r="N685" s="3"/>
      <c r="O685" s="3"/>
      <c r="P685" s="3"/>
      <c r="Q685" s="3"/>
      <c r="R685" s="3"/>
    </row>
    <row r="686" spans="1:18" x14ac:dyDescent="0.25">
      <c r="A686" s="2">
        <v>46090</v>
      </c>
      <c r="B686" s="3" t="s">
        <v>48</v>
      </c>
      <c r="C686" s="3" t="s">
        <v>84</v>
      </c>
      <c r="D686" s="11" t="s">
        <v>987</v>
      </c>
      <c r="E686" s="3">
        <v>26.75</v>
      </c>
      <c r="F686" s="3" t="s">
        <v>172</v>
      </c>
      <c r="G686" s="4">
        <f t="shared" si="40"/>
        <v>26.75</v>
      </c>
      <c r="H686" s="3"/>
      <c r="I686" s="3"/>
      <c r="J686" s="3"/>
      <c r="K686" s="3"/>
      <c r="L686" s="3">
        <f t="shared" si="43"/>
        <v>0</v>
      </c>
      <c r="M686" s="3">
        <f t="shared" si="41"/>
        <v>0</v>
      </c>
      <c r="N686" s="3"/>
      <c r="O686" s="3"/>
      <c r="P686" s="3"/>
      <c r="Q686" s="3"/>
      <c r="R686" s="3"/>
    </row>
    <row r="687" spans="1:18" x14ac:dyDescent="0.25">
      <c r="A687" s="2">
        <v>46090</v>
      </c>
      <c r="B687" s="3" t="s">
        <v>48</v>
      </c>
      <c r="C687" s="3" t="s">
        <v>92</v>
      </c>
      <c r="D687" s="11" t="s">
        <v>988</v>
      </c>
      <c r="E687" s="3"/>
      <c r="F687" s="3">
        <f t="shared" ref="F687:F692" si="44">E687*5%</f>
        <v>0</v>
      </c>
      <c r="G687" s="4">
        <f t="shared" si="40"/>
        <v>0</v>
      </c>
      <c r="H687" s="3">
        <v>5675</v>
      </c>
      <c r="I687" s="3"/>
      <c r="J687" s="3"/>
      <c r="K687" s="3"/>
      <c r="L687" s="3">
        <f t="shared" si="43"/>
        <v>0</v>
      </c>
      <c r="M687" s="3">
        <f t="shared" si="41"/>
        <v>0</v>
      </c>
      <c r="N687" s="3"/>
      <c r="O687" s="3"/>
      <c r="P687" s="3"/>
      <c r="Q687" s="3"/>
      <c r="R687" s="3"/>
    </row>
    <row r="688" spans="1:18" x14ac:dyDescent="0.25">
      <c r="A688" s="2">
        <v>46090</v>
      </c>
      <c r="B688" s="3" t="s">
        <v>48</v>
      </c>
      <c r="C688" s="3" t="s">
        <v>49</v>
      </c>
      <c r="D688" s="11" t="s">
        <v>989</v>
      </c>
      <c r="E688" s="3">
        <v>1100</v>
      </c>
      <c r="F688" s="3">
        <f t="shared" si="44"/>
        <v>55</v>
      </c>
      <c r="G688" s="4">
        <f t="shared" si="40"/>
        <v>1155</v>
      </c>
      <c r="H688" s="3"/>
      <c r="I688" s="3"/>
      <c r="J688" s="3"/>
      <c r="K688" s="3"/>
      <c r="L688" s="3">
        <f t="shared" si="43"/>
        <v>0</v>
      </c>
      <c r="M688" s="3">
        <f t="shared" si="41"/>
        <v>0</v>
      </c>
      <c r="N688" s="3"/>
      <c r="O688" s="3"/>
      <c r="P688" s="3"/>
      <c r="Q688" s="3"/>
      <c r="R688" s="3"/>
    </row>
    <row r="689" spans="1:18" x14ac:dyDescent="0.25">
      <c r="A689" s="2">
        <v>46090</v>
      </c>
      <c r="B689" s="3" t="s">
        <v>48</v>
      </c>
      <c r="C689" s="3" t="s">
        <v>49</v>
      </c>
      <c r="D689" s="11" t="s">
        <v>990</v>
      </c>
      <c r="E689" s="3">
        <v>175</v>
      </c>
      <c r="F689" s="3">
        <f t="shared" si="44"/>
        <v>8.75</v>
      </c>
      <c r="G689" s="4">
        <f t="shared" si="40"/>
        <v>183.75</v>
      </c>
      <c r="H689" s="3"/>
      <c r="I689" s="3"/>
      <c r="J689" s="3"/>
      <c r="K689" s="3"/>
      <c r="L689" s="3">
        <f t="shared" si="43"/>
        <v>0</v>
      </c>
      <c r="M689" s="3">
        <f t="shared" si="41"/>
        <v>0</v>
      </c>
      <c r="N689" s="3"/>
      <c r="O689" s="3"/>
      <c r="P689" s="3"/>
      <c r="Q689" s="3"/>
      <c r="R689" s="3"/>
    </row>
    <row r="690" spans="1:18" x14ac:dyDescent="0.25">
      <c r="A690" s="2">
        <v>46090</v>
      </c>
      <c r="B690" s="3" t="s">
        <v>48</v>
      </c>
      <c r="C690" s="3" t="s">
        <v>49</v>
      </c>
      <c r="D690" s="11" t="s">
        <v>991</v>
      </c>
      <c r="E690" s="3">
        <v>75</v>
      </c>
      <c r="F690" s="3">
        <f t="shared" si="44"/>
        <v>3.75</v>
      </c>
      <c r="G690" s="4">
        <f t="shared" si="40"/>
        <v>78.75</v>
      </c>
      <c r="H690" s="3"/>
      <c r="I690" s="3"/>
      <c r="J690" s="3"/>
      <c r="K690" s="3"/>
      <c r="L690" s="3">
        <f t="shared" si="43"/>
        <v>0</v>
      </c>
      <c r="M690" s="3">
        <f t="shared" si="41"/>
        <v>0</v>
      </c>
      <c r="N690" s="3"/>
      <c r="O690" s="3"/>
      <c r="P690" s="3"/>
      <c r="Q690" s="3"/>
      <c r="R690" s="3"/>
    </row>
    <row r="691" spans="1:18" x14ac:dyDescent="0.25">
      <c r="A691" s="2">
        <v>46090</v>
      </c>
      <c r="B691" s="3" t="s">
        <v>48</v>
      </c>
      <c r="C691" s="3" t="s">
        <v>51</v>
      </c>
      <c r="D691" s="11" t="s">
        <v>992</v>
      </c>
      <c r="E691" s="3">
        <v>47.62</v>
      </c>
      <c r="F691" s="3">
        <f t="shared" si="44"/>
        <v>2.3809999999999998</v>
      </c>
      <c r="G691" s="4">
        <f t="shared" si="40"/>
        <v>50.000999999999998</v>
      </c>
      <c r="H691" s="3"/>
      <c r="I691" s="3"/>
      <c r="J691" s="3"/>
      <c r="K691" s="3"/>
      <c r="L691" s="3">
        <f t="shared" si="43"/>
        <v>0</v>
      </c>
      <c r="M691" s="3">
        <f t="shared" si="41"/>
        <v>0</v>
      </c>
      <c r="N691" s="3"/>
      <c r="O691" s="3"/>
      <c r="P691" s="3"/>
      <c r="Q691" s="3"/>
      <c r="R691" s="3"/>
    </row>
    <row r="692" spans="1:18" x14ac:dyDescent="0.25">
      <c r="A692" s="2">
        <v>46090</v>
      </c>
      <c r="B692" s="2" t="s">
        <v>288</v>
      </c>
      <c r="C692" s="3" t="s">
        <v>216</v>
      </c>
      <c r="D692" s="11" t="s">
        <v>993</v>
      </c>
      <c r="E692" s="3"/>
      <c r="F692" s="3">
        <f t="shared" si="44"/>
        <v>0</v>
      </c>
      <c r="G692" s="4">
        <f t="shared" si="40"/>
        <v>0</v>
      </c>
      <c r="H692" s="3"/>
      <c r="I692" s="3"/>
      <c r="J692" s="3"/>
      <c r="K692" s="3">
        <v>5564.35</v>
      </c>
      <c r="L692" s="3" t="s">
        <v>172</v>
      </c>
      <c r="M692" s="3">
        <f t="shared" si="41"/>
        <v>5564.35</v>
      </c>
      <c r="N692" s="3"/>
      <c r="O692" s="3"/>
      <c r="P692" s="3"/>
      <c r="Q692" s="3"/>
      <c r="R692" s="3"/>
    </row>
    <row r="693" spans="1:18" x14ac:dyDescent="0.25">
      <c r="A693" s="2">
        <v>46090</v>
      </c>
      <c r="B693" s="2" t="s">
        <v>288</v>
      </c>
      <c r="C693" s="3" t="s">
        <v>53</v>
      </c>
      <c r="D693" s="11" t="s">
        <v>994</v>
      </c>
      <c r="E693" s="3">
        <v>64.94</v>
      </c>
      <c r="F693" s="3" t="s">
        <v>172</v>
      </c>
      <c r="G693" s="4">
        <f t="shared" si="40"/>
        <v>64.94</v>
      </c>
      <c r="H693" s="3"/>
      <c r="I693" s="3"/>
      <c r="J693" s="3"/>
      <c r="K693" s="3"/>
      <c r="L693" s="3">
        <f>K693*5%</f>
        <v>0</v>
      </c>
      <c r="M693" s="3">
        <f t="shared" si="41"/>
        <v>0</v>
      </c>
      <c r="N693" s="3"/>
      <c r="O693" s="3"/>
      <c r="P693" s="3"/>
      <c r="Q693" s="3"/>
      <c r="R693" s="3"/>
    </row>
    <row r="694" spans="1:18" x14ac:dyDescent="0.25">
      <c r="A694" s="2">
        <v>46090</v>
      </c>
      <c r="B694" s="2" t="s">
        <v>288</v>
      </c>
      <c r="C694" s="3" t="s">
        <v>216</v>
      </c>
      <c r="D694" s="11" t="s">
        <v>995</v>
      </c>
      <c r="E694" s="3"/>
      <c r="F694" s="3">
        <f>E694*5%</f>
        <v>0</v>
      </c>
      <c r="G694" s="4">
        <f t="shared" si="40"/>
        <v>0</v>
      </c>
      <c r="H694" s="3"/>
      <c r="I694" s="3"/>
      <c r="J694" s="3"/>
      <c r="K694" s="3">
        <v>5144.9399999999996</v>
      </c>
      <c r="L694" s="3" t="s">
        <v>172</v>
      </c>
      <c r="M694" s="3">
        <f t="shared" si="41"/>
        <v>5144.9399999999996</v>
      </c>
      <c r="N694" s="3"/>
      <c r="O694" s="3"/>
      <c r="P694" s="3"/>
      <c r="Q694" s="3"/>
      <c r="R694" s="3"/>
    </row>
    <row r="695" spans="1:18" x14ac:dyDescent="0.25">
      <c r="A695" s="2">
        <v>46090</v>
      </c>
      <c r="B695" s="2" t="s">
        <v>288</v>
      </c>
      <c r="C695" s="3" t="s">
        <v>53</v>
      </c>
      <c r="D695" s="11" t="s">
        <v>996</v>
      </c>
      <c r="E695" s="3">
        <v>96.71</v>
      </c>
      <c r="F695" s="3" t="s">
        <v>172</v>
      </c>
      <c r="G695" s="4">
        <f t="shared" ref="G695:G758" si="45">IF(F695="NO TAX",E695,E695+F695)</f>
        <v>96.71</v>
      </c>
      <c r="H695" s="3"/>
      <c r="I695" s="3"/>
      <c r="J695" s="3"/>
      <c r="K695" s="3"/>
      <c r="L695" s="3">
        <f t="shared" ref="L695:L758" si="46">K695*5%</f>
        <v>0</v>
      </c>
      <c r="M695" s="3">
        <f t="shared" ref="M695:M758" si="47">IF(L695="NO TAX",K695,K695+L695)</f>
        <v>0</v>
      </c>
      <c r="N695" s="3"/>
      <c r="O695" s="3"/>
      <c r="P695" s="3"/>
      <c r="Q695" s="3"/>
      <c r="R695" s="3"/>
    </row>
    <row r="696" spans="1:18" x14ac:dyDescent="0.25">
      <c r="A696" s="2">
        <v>46091</v>
      </c>
      <c r="B696" s="3" t="s">
        <v>48</v>
      </c>
      <c r="C696" s="3" t="s">
        <v>49</v>
      </c>
      <c r="D696" s="11" t="s">
        <v>997</v>
      </c>
      <c r="E696" s="3">
        <v>23.81</v>
      </c>
      <c r="F696" s="3">
        <f>E696*5%</f>
        <v>1.1904999999999999</v>
      </c>
      <c r="G696" s="4">
        <f t="shared" si="45"/>
        <v>25.000499999999999</v>
      </c>
      <c r="H696" s="3"/>
      <c r="I696" s="3"/>
      <c r="J696" s="3"/>
      <c r="K696" s="3"/>
      <c r="L696" s="3">
        <f t="shared" si="46"/>
        <v>0</v>
      </c>
      <c r="M696" s="3">
        <f t="shared" si="47"/>
        <v>0</v>
      </c>
      <c r="N696" s="3"/>
      <c r="O696" s="3"/>
      <c r="P696" s="3"/>
      <c r="Q696" s="3"/>
      <c r="R696" s="3"/>
    </row>
    <row r="697" spans="1:18" x14ac:dyDescent="0.25">
      <c r="A697" s="2">
        <v>46092</v>
      </c>
      <c r="B697" s="3" t="s">
        <v>48</v>
      </c>
      <c r="C697" s="3" t="s">
        <v>49</v>
      </c>
      <c r="D697" s="11" t="s">
        <v>998</v>
      </c>
      <c r="E697" s="3">
        <v>45</v>
      </c>
      <c r="F697" s="3">
        <f>E697*5%</f>
        <v>2.25</v>
      </c>
      <c r="G697" s="4">
        <f t="shared" si="45"/>
        <v>47.25</v>
      </c>
      <c r="H697" s="3"/>
      <c r="I697" s="3"/>
      <c r="J697" s="3"/>
      <c r="K697" s="3"/>
      <c r="L697" s="3">
        <f t="shared" si="46"/>
        <v>0</v>
      </c>
      <c r="M697" s="3">
        <f t="shared" si="47"/>
        <v>0</v>
      </c>
      <c r="N697" s="3"/>
      <c r="O697" s="3"/>
      <c r="P697" s="3"/>
      <c r="Q697" s="3"/>
      <c r="R697" s="3"/>
    </row>
    <row r="698" spans="1:18" x14ac:dyDescent="0.25">
      <c r="A698" s="2">
        <v>46092</v>
      </c>
      <c r="B698" s="3" t="s">
        <v>48</v>
      </c>
      <c r="C698" s="198" t="s">
        <v>73</v>
      </c>
      <c r="D698" s="11" t="s">
        <v>999</v>
      </c>
      <c r="E698" s="3">
        <v>36</v>
      </c>
      <c r="F698" s="3" t="s">
        <v>172</v>
      </c>
      <c r="G698" s="4">
        <f t="shared" si="45"/>
        <v>36</v>
      </c>
      <c r="H698" s="3"/>
      <c r="I698" s="3"/>
      <c r="J698" s="3"/>
      <c r="K698" s="3"/>
      <c r="L698" s="3">
        <f t="shared" si="46"/>
        <v>0</v>
      </c>
      <c r="M698" s="3">
        <f t="shared" si="47"/>
        <v>0</v>
      </c>
      <c r="N698" s="3"/>
      <c r="O698" s="3"/>
      <c r="P698" s="3"/>
      <c r="Q698" s="3"/>
      <c r="R698" s="3"/>
    </row>
    <row r="699" spans="1:18" x14ac:dyDescent="0.25">
      <c r="A699" s="2">
        <v>46092</v>
      </c>
      <c r="B699" s="3" t="s">
        <v>48</v>
      </c>
      <c r="C699" s="3" t="s">
        <v>49</v>
      </c>
      <c r="D699" s="11" t="s">
        <v>1000</v>
      </c>
      <c r="E699" s="3">
        <v>20</v>
      </c>
      <c r="F699" s="3" t="s">
        <v>172</v>
      </c>
      <c r="G699" s="4">
        <f t="shared" si="45"/>
        <v>20</v>
      </c>
      <c r="H699" s="3"/>
      <c r="I699" s="3"/>
      <c r="J699" s="3"/>
      <c r="K699" s="3"/>
      <c r="L699" s="3">
        <f t="shared" si="46"/>
        <v>0</v>
      </c>
      <c r="M699" s="3">
        <f t="shared" si="47"/>
        <v>0</v>
      </c>
      <c r="N699" s="3"/>
      <c r="O699" s="3"/>
      <c r="P699" s="3"/>
      <c r="Q699" s="3"/>
      <c r="R699" s="3"/>
    </row>
    <row r="700" spans="1:18" x14ac:dyDescent="0.25">
      <c r="A700" s="2">
        <v>46093</v>
      </c>
      <c r="B700" s="3" t="s">
        <v>48</v>
      </c>
      <c r="C700" s="3" t="s">
        <v>80</v>
      </c>
      <c r="D700" s="11" t="s">
        <v>1001</v>
      </c>
      <c r="E700" s="3">
        <v>1100</v>
      </c>
      <c r="F700" s="3" t="s">
        <v>172</v>
      </c>
      <c r="G700" s="4">
        <f t="shared" si="45"/>
        <v>1100</v>
      </c>
      <c r="H700" s="3"/>
      <c r="I700" s="3"/>
      <c r="J700" s="3"/>
      <c r="K700" s="3"/>
      <c r="L700" s="3">
        <f t="shared" si="46"/>
        <v>0</v>
      </c>
      <c r="M700" s="3">
        <f t="shared" si="47"/>
        <v>0</v>
      </c>
      <c r="N700" s="3"/>
      <c r="O700" s="3"/>
      <c r="P700" s="3"/>
      <c r="Q700" s="3"/>
      <c r="R700" s="3"/>
    </row>
    <row r="701" spans="1:18" x14ac:dyDescent="0.25">
      <c r="A701" s="2">
        <v>46093</v>
      </c>
      <c r="B701" s="3" t="s">
        <v>48</v>
      </c>
      <c r="C701" s="3" t="s">
        <v>64</v>
      </c>
      <c r="D701" s="11" t="s">
        <v>1002</v>
      </c>
      <c r="E701" s="3">
        <v>100</v>
      </c>
      <c r="F701" s="3" t="s">
        <v>172</v>
      </c>
      <c r="G701" s="4">
        <f t="shared" si="45"/>
        <v>100</v>
      </c>
      <c r="H701" s="3"/>
      <c r="I701" s="3"/>
      <c r="J701" s="3"/>
      <c r="K701" s="3"/>
      <c r="L701" s="3">
        <f t="shared" si="46"/>
        <v>0</v>
      </c>
      <c r="M701" s="3">
        <f t="shared" si="47"/>
        <v>0</v>
      </c>
      <c r="N701" s="3"/>
      <c r="O701" s="3"/>
      <c r="P701" s="3"/>
      <c r="Q701" s="3"/>
      <c r="R701" s="3"/>
    </row>
    <row r="702" spans="1:18" x14ac:dyDescent="0.25">
      <c r="A702" s="2">
        <v>46093</v>
      </c>
      <c r="B702" s="3" t="s">
        <v>48</v>
      </c>
      <c r="C702" s="3" t="s">
        <v>49</v>
      </c>
      <c r="D702" s="11" t="s">
        <v>1003</v>
      </c>
      <c r="E702" s="3">
        <v>18</v>
      </c>
      <c r="F702" s="3" t="s">
        <v>172</v>
      </c>
      <c r="G702" s="4">
        <f t="shared" si="45"/>
        <v>18</v>
      </c>
      <c r="H702" s="3"/>
      <c r="I702" s="3"/>
      <c r="J702" s="3"/>
      <c r="K702" s="3"/>
      <c r="L702" s="3">
        <f t="shared" si="46"/>
        <v>0</v>
      </c>
      <c r="M702" s="3">
        <f t="shared" si="47"/>
        <v>0</v>
      </c>
      <c r="N702" s="3"/>
      <c r="O702" s="3"/>
      <c r="P702" s="3"/>
      <c r="Q702" s="3"/>
      <c r="R702" s="3"/>
    </row>
    <row r="703" spans="1:18" x14ac:dyDescent="0.25">
      <c r="A703" s="2">
        <v>46094</v>
      </c>
      <c r="B703" s="3" t="s">
        <v>48</v>
      </c>
      <c r="C703" s="3" t="s">
        <v>73</v>
      </c>
      <c r="D703" s="11" t="s">
        <v>1004</v>
      </c>
      <c r="E703" s="3">
        <v>55</v>
      </c>
      <c r="F703" s="3" t="s">
        <v>172</v>
      </c>
      <c r="G703" s="4">
        <f t="shared" si="45"/>
        <v>55</v>
      </c>
      <c r="H703" s="3"/>
      <c r="I703" s="3"/>
      <c r="J703" s="3"/>
      <c r="K703" s="3"/>
      <c r="L703" s="3">
        <f t="shared" si="46"/>
        <v>0</v>
      </c>
      <c r="M703" s="3">
        <f t="shared" si="47"/>
        <v>0</v>
      </c>
      <c r="N703" s="3"/>
      <c r="O703" s="3"/>
      <c r="P703" s="3"/>
      <c r="Q703" s="3"/>
      <c r="R703" s="3"/>
    </row>
    <row r="704" spans="1:18" x14ac:dyDescent="0.25">
      <c r="A704" s="2">
        <v>46094</v>
      </c>
      <c r="B704" s="3" t="s">
        <v>48</v>
      </c>
      <c r="C704" s="3" t="s">
        <v>84</v>
      </c>
      <c r="D704" s="11" t="s">
        <v>1005</v>
      </c>
      <c r="E704" s="3">
        <v>60</v>
      </c>
      <c r="F704" s="3" t="s">
        <v>172</v>
      </c>
      <c r="G704" s="4">
        <f t="shared" si="45"/>
        <v>60</v>
      </c>
      <c r="H704" s="3"/>
      <c r="I704" s="3"/>
      <c r="J704" s="3"/>
      <c r="K704" s="3"/>
      <c r="L704" s="3">
        <f t="shared" si="46"/>
        <v>0</v>
      </c>
      <c r="M704" s="3">
        <f t="shared" si="47"/>
        <v>0</v>
      </c>
      <c r="N704" s="3"/>
      <c r="O704" s="3"/>
      <c r="P704" s="3"/>
      <c r="Q704" s="3"/>
      <c r="R704" s="3"/>
    </row>
    <row r="705" spans="1:18" x14ac:dyDescent="0.25">
      <c r="A705" s="2">
        <v>46094</v>
      </c>
      <c r="B705" s="3" t="s">
        <v>48</v>
      </c>
      <c r="C705" s="3" t="s">
        <v>88</v>
      </c>
      <c r="D705" s="11" t="s">
        <v>1006</v>
      </c>
      <c r="E705" s="3">
        <v>3900</v>
      </c>
      <c r="F705" s="3" t="s">
        <v>172</v>
      </c>
      <c r="G705" s="4">
        <f t="shared" si="45"/>
        <v>3900</v>
      </c>
      <c r="H705" s="3"/>
      <c r="I705" s="3"/>
      <c r="J705" s="3"/>
      <c r="K705" s="3"/>
      <c r="L705" s="3">
        <f t="shared" si="46"/>
        <v>0</v>
      </c>
      <c r="M705" s="3">
        <f t="shared" si="47"/>
        <v>0</v>
      </c>
      <c r="N705" s="3"/>
      <c r="O705" s="3"/>
      <c r="P705" s="3"/>
      <c r="Q705" s="3"/>
      <c r="R705" s="3"/>
    </row>
    <row r="706" spans="1:18" x14ac:dyDescent="0.25">
      <c r="A706" s="2">
        <v>46094</v>
      </c>
      <c r="B706" s="3" t="s">
        <v>48</v>
      </c>
      <c r="C706" s="3" t="s">
        <v>91</v>
      </c>
      <c r="D706" s="11" t="s">
        <v>1007</v>
      </c>
      <c r="E706" s="3">
        <v>1300</v>
      </c>
      <c r="F706" s="3" t="s">
        <v>172</v>
      </c>
      <c r="G706" s="4">
        <f t="shared" si="45"/>
        <v>1300</v>
      </c>
      <c r="H706" s="3"/>
      <c r="I706" s="3"/>
      <c r="J706" s="3"/>
      <c r="K706" s="3"/>
      <c r="L706" s="3">
        <f t="shared" si="46"/>
        <v>0</v>
      </c>
      <c r="M706" s="3">
        <f t="shared" si="47"/>
        <v>0</v>
      </c>
      <c r="N706" s="3"/>
      <c r="O706" s="3"/>
      <c r="P706" s="3"/>
      <c r="Q706" s="3"/>
      <c r="R706" s="3"/>
    </row>
    <row r="707" spans="1:18" x14ac:dyDescent="0.25">
      <c r="A707" s="2">
        <v>46094</v>
      </c>
      <c r="B707" s="3" t="s">
        <v>48</v>
      </c>
      <c r="C707" s="3" t="s">
        <v>92</v>
      </c>
      <c r="D707" s="11" t="s">
        <v>1008</v>
      </c>
      <c r="E707" s="3"/>
      <c r="F707" s="3">
        <f>E707*5%</f>
        <v>0</v>
      </c>
      <c r="G707" s="4">
        <f t="shared" si="45"/>
        <v>0</v>
      </c>
      <c r="H707" s="3">
        <v>1800</v>
      </c>
      <c r="I707" s="3"/>
      <c r="J707" s="3"/>
      <c r="K707" s="3"/>
      <c r="L707" s="3">
        <f t="shared" si="46"/>
        <v>0</v>
      </c>
      <c r="M707" s="3">
        <f t="shared" si="47"/>
        <v>0</v>
      </c>
      <c r="N707" s="3"/>
      <c r="O707" s="3"/>
      <c r="P707" s="3"/>
      <c r="Q707" s="3"/>
      <c r="R707" s="3"/>
    </row>
    <row r="708" spans="1:18" x14ac:dyDescent="0.25">
      <c r="A708" s="2">
        <v>46094</v>
      </c>
      <c r="B708" s="3" t="s">
        <v>48</v>
      </c>
      <c r="C708" s="3" t="s">
        <v>49</v>
      </c>
      <c r="D708" s="11" t="s">
        <v>1009</v>
      </c>
      <c r="E708" s="3">
        <v>15</v>
      </c>
      <c r="F708" s="3" t="s">
        <v>172</v>
      </c>
      <c r="G708" s="4">
        <f t="shared" si="45"/>
        <v>15</v>
      </c>
      <c r="H708" s="3"/>
      <c r="I708" s="3"/>
      <c r="J708" s="3"/>
      <c r="K708" s="3"/>
      <c r="L708" s="3">
        <f t="shared" si="46"/>
        <v>0</v>
      </c>
      <c r="M708" s="3">
        <f t="shared" si="47"/>
        <v>0</v>
      </c>
      <c r="N708" s="3"/>
      <c r="O708" s="3"/>
      <c r="P708" s="3"/>
      <c r="Q708" s="3"/>
      <c r="R708" s="3"/>
    </row>
    <row r="709" spans="1:18" x14ac:dyDescent="0.25">
      <c r="A709" s="2">
        <v>46094</v>
      </c>
      <c r="B709" s="3" t="s">
        <v>48</v>
      </c>
      <c r="C709" s="3" t="s">
        <v>49</v>
      </c>
      <c r="D709" s="11" t="s">
        <v>1010</v>
      </c>
      <c r="E709" s="3">
        <v>132</v>
      </c>
      <c r="F709" s="3">
        <v>6</v>
      </c>
      <c r="G709" s="4">
        <f t="shared" si="45"/>
        <v>138</v>
      </c>
      <c r="H709" s="3"/>
      <c r="I709" s="3"/>
      <c r="J709" s="3"/>
      <c r="K709" s="3"/>
      <c r="L709" s="3">
        <f t="shared" si="46"/>
        <v>0</v>
      </c>
      <c r="M709" s="3">
        <f t="shared" si="47"/>
        <v>0</v>
      </c>
      <c r="N709" s="3"/>
      <c r="O709" s="3"/>
      <c r="P709" s="3"/>
      <c r="Q709" s="3"/>
      <c r="R709" s="3"/>
    </row>
    <row r="710" spans="1:18" x14ac:dyDescent="0.25">
      <c r="A710" s="2">
        <v>46094</v>
      </c>
      <c r="B710" s="3" t="s">
        <v>48</v>
      </c>
      <c r="C710" s="3" t="s">
        <v>92</v>
      </c>
      <c r="D710" s="11" t="s">
        <v>1011</v>
      </c>
      <c r="E710" s="3"/>
      <c r="F710" s="3">
        <f>E710*5%</f>
        <v>0</v>
      </c>
      <c r="G710" s="4">
        <f t="shared" si="45"/>
        <v>0</v>
      </c>
      <c r="H710" s="3">
        <v>50</v>
      </c>
      <c r="I710" s="3"/>
      <c r="J710" s="3"/>
      <c r="K710" s="3"/>
      <c r="L710" s="3">
        <f t="shared" si="46"/>
        <v>0</v>
      </c>
      <c r="M710" s="3">
        <f t="shared" si="47"/>
        <v>0</v>
      </c>
      <c r="N710" s="3"/>
      <c r="O710" s="3"/>
      <c r="P710" s="3"/>
      <c r="Q710" s="3"/>
      <c r="R710" s="3"/>
    </row>
    <row r="711" spans="1:18" x14ac:dyDescent="0.25">
      <c r="A711" s="2">
        <v>46094</v>
      </c>
      <c r="B711" s="3" t="s">
        <v>48</v>
      </c>
      <c r="C711" s="3" t="s">
        <v>226</v>
      </c>
      <c r="D711" s="11" t="s">
        <v>1012</v>
      </c>
      <c r="E711" s="3">
        <v>1155</v>
      </c>
      <c r="F711" s="3" t="s">
        <v>172</v>
      </c>
      <c r="G711" s="4">
        <f t="shared" si="45"/>
        <v>1155</v>
      </c>
      <c r="H711" s="3"/>
      <c r="I711" s="3"/>
      <c r="J711" s="3"/>
      <c r="K711" s="3"/>
      <c r="L711" s="3">
        <f t="shared" si="46"/>
        <v>0</v>
      </c>
      <c r="M711" s="3">
        <f t="shared" si="47"/>
        <v>0</v>
      </c>
      <c r="N711" s="3"/>
      <c r="O711" s="3"/>
      <c r="P711" s="3"/>
      <c r="Q711" s="3"/>
      <c r="R711" s="3"/>
    </row>
    <row r="712" spans="1:18" x14ac:dyDescent="0.25">
      <c r="A712" s="2">
        <v>46095</v>
      </c>
      <c r="B712" s="3" t="s">
        <v>48</v>
      </c>
      <c r="C712" s="3" t="s">
        <v>73</v>
      </c>
      <c r="D712" s="11" t="s">
        <v>1013</v>
      </c>
      <c r="E712" s="3">
        <v>16</v>
      </c>
      <c r="F712" s="3" t="s">
        <v>172</v>
      </c>
      <c r="G712" s="4">
        <f t="shared" si="45"/>
        <v>16</v>
      </c>
      <c r="H712" s="3"/>
      <c r="I712" s="3"/>
      <c r="J712" s="3"/>
      <c r="K712" s="3"/>
      <c r="L712" s="3">
        <f t="shared" si="46"/>
        <v>0</v>
      </c>
      <c r="M712" s="3">
        <f t="shared" si="47"/>
        <v>0</v>
      </c>
      <c r="N712" s="3"/>
      <c r="O712" s="3"/>
      <c r="P712" s="3"/>
      <c r="Q712" s="3"/>
      <c r="R712" s="3"/>
    </row>
    <row r="713" spans="1:18" x14ac:dyDescent="0.25">
      <c r="A713" s="2">
        <v>46095</v>
      </c>
      <c r="B713" s="3" t="s">
        <v>48</v>
      </c>
      <c r="C713" s="3" t="s">
        <v>92</v>
      </c>
      <c r="D713" s="11" t="s">
        <v>1014</v>
      </c>
      <c r="E713" s="3"/>
      <c r="F713" s="3">
        <f>E713*5%</f>
        <v>0</v>
      </c>
      <c r="G713" s="4">
        <f t="shared" si="45"/>
        <v>0</v>
      </c>
      <c r="H713" s="3">
        <v>50</v>
      </c>
      <c r="I713" s="3"/>
      <c r="J713" s="3"/>
      <c r="K713" s="3"/>
      <c r="L713" s="3">
        <f t="shared" si="46"/>
        <v>0</v>
      </c>
      <c r="M713" s="3">
        <f t="shared" si="47"/>
        <v>0</v>
      </c>
      <c r="N713" s="3"/>
      <c r="O713" s="3"/>
      <c r="P713" s="3"/>
      <c r="Q713" s="3"/>
      <c r="R713" s="3"/>
    </row>
    <row r="714" spans="1:18" x14ac:dyDescent="0.25">
      <c r="A714" s="2">
        <v>46095</v>
      </c>
      <c r="B714" s="3" t="s">
        <v>48</v>
      </c>
      <c r="C714" s="3" t="s">
        <v>92</v>
      </c>
      <c r="D714" s="11" t="s">
        <v>1015</v>
      </c>
      <c r="E714" s="3"/>
      <c r="F714" s="3">
        <f>E714*5%</f>
        <v>0</v>
      </c>
      <c r="G714" s="4">
        <f t="shared" si="45"/>
        <v>0</v>
      </c>
      <c r="H714" s="3">
        <v>50</v>
      </c>
      <c r="I714" s="3"/>
      <c r="J714" s="3"/>
      <c r="K714" s="3"/>
      <c r="L714" s="3">
        <f t="shared" si="46"/>
        <v>0</v>
      </c>
      <c r="M714" s="3">
        <f t="shared" si="47"/>
        <v>0</v>
      </c>
      <c r="N714" s="3"/>
      <c r="O714" s="3"/>
      <c r="P714" s="3"/>
      <c r="Q714" s="3"/>
      <c r="R714" s="3"/>
    </row>
    <row r="715" spans="1:18" x14ac:dyDescent="0.25">
      <c r="A715" s="2">
        <v>46095</v>
      </c>
      <c r="B715" s="3" t="s">
        <v>48</v>
      </c>
      <c r="C715" s="3" t="s">
        <v>73</v>
      </c>
      <c r="D715" s="11" t="s">
        <v>1016</v>
      </c>
      <c r="E715" s="3">
        <v>55</v>
      </c>
      <c r="F715" s="3" t="s">
        <v>172</v>
      </c>
      <c r="G715" s="4">
        <f t="shared" si="45"/>
        <v>55</v>
      </c>
      <c r="H715" s="3"/>
      <c r="I715" s="3"/>
      <c r="J715" s="3"/>
      <c r="K715" s="3"/>
      <c r="L715" s="3">
        <f t="shared" si="46"/>
        <v>0</v>
      </c>
      <c r="M715" s="3">
        <f t="shared" si="47"/>
        <v>0</v>
      </c>
      <c r="N715" s="3"/>
      <c r="O715" s="3"/>
      <c r="P715" s="3"/>
      <c r="Q715" s="3"/>
      <c r="R715" s="3"/>
    </row>
    <row r="716" spans="1:18" x14ac:dyDescent="0.25">
      <c r="A716" s="2">
        <v>46095</v>
      </c>
      <c r="B716" s="3" t="s">
        <v>48</v>
      </c>
      <c r="C716" s="3" t="s">
        <v>49</v>
      </c>
      <c r="D716" s="11" t="s">
        <v>1017</v>
      </c>
      <c r="E716" s="3">
        <v>4.5</v>
      </c>
      <c r="F716" s="3" t="s">
        <v>172</v>
      </c>
      <c r="G716" s="4">
        <f t="shared" si="45"/>
        <v>4.5</v>
      </c>
      <c r="H716" s="3"/>
      <c r="I716" s="3"/>
      <c r="J716" s="3"/>
      <c r="K716" s="3"/>
      <c r="L716" s="3">
        <f t="shared" si="46"/>
        <v>0</v>
      </c>
      <c r="M716" s="3">
        <f t="shared" si="47"/>
        <v>0</v>
      </c>
      <c r="N716" s="3"/>
      <c r="O716" s="3"/>
      <c r="P716" s="3"/>
      <c r="Q716" s="3"/>
      <c r="R716" s="3"/>
    </row>
    <row r="717" spans="1:18" x14ac:dyDescent="0.25">
      <c r="A717" s="2">
        <v>46095</v>
      </c>
      <c r="B717" s="3" t="s">
        <v>48</v>
      </c>
      <c r="C717" s="3" t="s">
        <v>92</v>
      </c>
      <c r="D717" s="11" t="s">
        <v>1018</v>
      </c>
      <c r="E717" s="3"/>
      <c r="F717" s="3">
        <f>E717*5%</f>
        <v>0</v>
      </c>
      <c r="G717" s="4">
        <f t="shared" si="45"/>
        <v>0</v>
      </c>
      <c r="H717" s="3">
        <v>50</v>
      </c>
      <c r="I717" s="3"/>
      <c r="J717" s="3"/>
      <c r="K717" s="3"/>
      <c r="L717" s="3">
        <f t="shared" si="46"/>
        <v>0</v>
      </c>
      <c r="M717" s="3">
        <f t="shared" si="47"/>
        <v>0</v>
      </c>
      <c r="N717" s="3"/>
      <c r="O717" s="3"/>
      <c r="P717" s="3"/>
      <c r="Q717" s="3"/>
      <c r="R717" s="3"/>
    </row>
    <row r="718" spans="1:18" x14ac:dyDescent="0.25">
      <c r="A718" s="2">
        <v>46095</v>
      </c>
      <c r="B718" s="3" t="s">
        <v>48</v>
      </c>
      <c r="C718" s="3" t="s">
        <v>73</v>
      </c>
      <c r="D718" s="11" t="s">
        <v>1019</v>
      </c>
      <c r="E718" s="3">
        <v>110</v>
      </c>
      <c r="F718" s="3" t="s">
        <v>172</v>
      </c>
      <c r="G718" s="4">
        <f t="shared" si="45"/>
        <v>110</v>
      </c>
      <c r="H718" s="3"/>
      <c r="I718" s="3"/>
      <c r="J718" s="3"/>
      <c r="K718" s="3"/>
      <c r="L718" s="3">
        <f t="shared" si="46"/>
        <v>0</v>
      </c>
      <c r="M718" s="3">
        <f t="shared" si="47"/>
        <v>0</v>
      </c>
      <c r="N718" s="3"/>
      <c r="O718" s="3"/>
      <c r="P718" s="3"/>
      <c r="Q718" s="3"/>
      <c r="R718" s="3"/>
    </row>
    <row r="719" spans="1:18" x14ac:dyDescent="0.25">
      <c r="A719" s="2">
        <v>46095</v>
      </c>
      <c r="B719" s="3" t="s">
        <v>48</v>
      </c>
      <c r="C719" s="3" t="s">
        <v>92</v>
      </c>
      <c r="D719" s="11" t="s">
        <v>1020</v>
      </c>
      <c r="E719" s="3"/>
      <c r="F719" s="3">
        <f>E719*5%</f>
        <v>0</v>
      </c>
      <c r="G719" s="4">
        <f t="shared" si="45"/>
        <v>0</v>
      </c>
      <c r="H719" s="3">
        <v>50</v>
      </c>
      <c r="I719" s="3"/>
      <c r="J719" s="3"/>
      <c r="K719" s="3"/>
      <c r="L719" s="3">
        <f t="shared" si="46"/>
        <v>0</v>
      </c>
      <c r="M719" s="3">
        <f t="shared" si="47"/>
        <v>0</v>
      </c>
      <c r="N719" s="3"/>
      <c r="O719" s="3"/>
      <c r="P719" s="3"/>
      <c r="Q719" s="3"/>
      <c r="R719" s="3"/>
    </row>
    <row r="720" spans="1:18" x14ac:dyDescent="0.25">
      <c r="A720" s="2">
        <v>46095</v>
      </c>
      <c r="B720" s="3" t="s">
        <v>48</v>
      </c>
      <c r="C720" s="3" t="s">
        <v>73</v>
      </c>
      <c r="D720" s="11" t="s">
        <v>1021</v>
      </c>
      <c r="E720" s="3">
        <v>55</v>
      </c>
      <c r="F720" s="3" t="s">
        <v>172</v>
      </c>
      <c r="G720" s="4">
        <f t="shared" si="45"/>
        <v>55</v>
      </c>
      <c r="H720" s="3"/>
      <c r="I720" s="3"/>
      <c r="J720" s="3"/>
      <c r="K720" s="3"/>
      <c r="L720" s="3">
        <f t="shared" si="46"/>
        <v>0</v>
      </c>
      <c r="M720" s="3">
        <f t="shared" si="47"/>
        <v>0</v>
      </c>
      <c r="N720" s="3"/>
      <c r="O720" s="3"/>
      <c r="P720" s="3"/>
      <c r="Q720" s="3"/>
      <c r="R720" s="3"/>
    </row>
    <row r="721" spans="1:18" x14ac:dyDescent="0.25">
      <c r="A721" s="2">
        <v>46095</v>
      </c>
      <c r="B721" s="3" t="s">
        <v>48</v>
      </c>
      <c r="C721" s="3" t="s">
        <v>92</v>
      </c>
      <c r="D721" s="11" t="s">
        <v>1022</v>
      </c>
      <c r="E721" s="3"/>
      <c r="F721" s="3">
        <f>E721*5%</f>
        <v>0</v>
      </c>
      <c r="G721" s="4">
        <f t="shared" si="45"/>
        <v>0</v>
      </c>
      <c r="H721" s="3">
        <v>50</v>
      </c>
      <c r="I721" s="3"/>
      <c r="J721" s="3"/>
      <c r="K721" s="3"/>
      <c r="L721" s="3">
        <f t="shared" si="46"/>
        <v>0</v>
      </c>
      <c r="M721" s="3">
        <f t="shared" si="47"/>
        <v>0</v>
      </c>
      <c r="N721" s="3"/>
      <c r="O721" s="3"/>
      <c r="P721" s="3"/>
      <c r="Q721" s="3"/>
      <c r="R721" s="3"/>
    </row>
    <row r="722" spans="1:18" x14ac:dyDescent="0.25">
      <c r="A722" s="2">
        <v>46095</v>
      </c>
      <c r="B722" s="2" t="s">
        <v>292</v>
      </c>
      <c r="C722" s="3" t="s">
        <v>223</v>
      </c>
      <c r="D722" s="11" t="s">
        <v>1023</v>
      </c>
      <c r="E722" s="3">
        <v>208.95</v>
      </c>
      <c r="F722" s="3" t="s">
        <v>172</v>
      </c>
      <c r="G722" s="4">
        <f t="shared" si="45"/>
        <v>208.95</v>
      </c>
      <c r="H722" s="3"/>
      <c r="I722" s="3"/>
      <c r="J722" s="3"/>
      <c r="K722" s="3"/>
      <c r="L722" s="3">
        <f t="shared" si="46"/>
        <v>0</v>
      </c>
      <c r="M722" s="3">
        <f t="shared" si="47"/>
        <v>0</v>
      </c>
      <c r="N722" s="3"/>
      <c r="O722" s="3"/>
      <c r="P722" s="3"/>
      <c r="Q722" s="3"/>
      <c r="R722" s="3"/>
    </row>
    <row r="723" spans="1:18" x14ac:dyDescent="0.25">
      <c r="A723" s="2">
        <v>46096</v>
      </c>
      <c r="B723" s="2" t="s">
        <v>285</v>
      </c>
      <c r="C723" s="3" t="s">
        <v>225</v>
      </c>
      <c r="D723" s="11" t="s">
        <v>1024</v>
      </c>
      <c r="E723" s="3">
        <v>-855</v>
      </c>
      <c r="F723" s="3" t="s">
        <v>172</v>
      </c>
      <c r="G723" s="4">
        <f t="shared" si="45"/>
        <v>-855</v>
      </c>
      <c r="H723" s="3"/>
      <c r="I723" s="3"/>
      <c r="J723" s="3"/>
      <c r="K723" s="3"/>
      <c r="L723" s="3">
        <f t="shared" si="46"/>
        <v>0</v>
      </c>
      <c r="M723" s="3">
        <f t="shared" si="47"/>
        <v>0</v>
      </c>
      <c r="N723" s="3"/>
      <c r="O723" s="3"/>
      <c r="P723" s="3"/>
      <c r="Q723" s="3"/>
      <c r="R723" s="3"/>
    </row>
    <row r="724" spans="1:18" x14ac:dyDescent="0.25">
      <c r="A724" s="2">
        <v>46097</v>
      </c>
      <c r="B724" s="3" t="s">
        <v>48</v>
      </c>
      <c r="C724" s="3" t="s">
        <v>92</v>
      </c>
      <c r="D724" s="11" t="s">
        <v>1025</v>
      </c>
      <c r="E724" s="3"/>
      <c r="F724" s="3">
        <f>E724*5%</f>
        <v>0</v>
      </c>
      <c r="G724" s="4">
        <f t="shared" si="45"/>
        <v>0</v>
      </c>
      <c r="H724" s="3">
        <v>50</v>
      </c>
      <c r="I724" s="3"/>
      <c r="J724" s="3"/>
      <c r="K724" s="3"/>
      <c r="L724" s="3">
        <f t="shared" si="46"/>
        <v>0</v>
      </c>
      <c r="M724" s="3">
        <f t="shared" si="47"/>
        <v>0</v>
      </c>
      <c r="N724" s="3"/>
      <c r="O724" s="3"/>
      <c r="P724" s="3"/>
      <c r="Q724" s="3"/>
      <c r="R724" s="3"/>
    </row>
    <row r="725" spans="1:18" x14ac:dyDescent="0.25">
      <c r="A725" s="2">
        <v>46097</v>
      </c>
      <c r="B725" s="3" t="s">
        <v>48</v>
      </c>
      <c r="C725" s="3" t="s">
        <v>92</v>
      </c>
      <c r="D725" s="11" t="s">
        <v>1026</v>
      </c>
      <c r="E725" s="3"/>
      <c r="F725" s="3">
        <f>E725*5%</f>
        <v>0</v>
      </c>
      <c r="G725" s="4">
        <f t="shared" si="45"/>
        <v>0</v>
      </c>
      <c r="H725" s="3">
        <v>50</v>
      </c>
      <c r="I725" s="3"/>
      <c r="J725" s="3"/>
      <c r="K725" s="3"/>
      <c r="L725" s="3">
        <f t="shared" si="46"/>
        <v>0</v>
      </c>
      <c r="M725" s="3">
        <f t="shared" si="47"/>
        <v>0</v>
      </c>
      <c r="N725" s="3"/>
      <c r="O725" s="3"/>
      <c r="P725" s="3"/>
      <c r="Q725" s="3"/>
      <c r="R725" s="3"/>
    </row>
    <row r="726" spans="1:18" x14ac:dyDescent="0.25">
      <c r="A726" s="2">
        <v>46097</v>
      </c>
      <c r="B726" s="3" t="s">
        <v>48</v>
      </c>
      <c r="C726" s="3" t="s">
        <v>64</v>
      </c>
      <c r="D726" s="11" t="s">
        <v>1027</v>
      </c>
      <c r="E726" s="3">
        <v>100</v>
      </c>
      <c r="F726" s="3" t="s">
        <v>172</v>
      </c>
      <c r="G726" s="4">
        <f t="shared" si="45"/>
        <v>100</v>
      </c>
      <c r="H726" s="3"/>
      <c r="I726" s="3"/>
      <c r="J726" s="3"/>
      <c r="K726" s="3"/>
      <c r="L726" s="3">
        <f t="shared" si="46"/>
        <v>0</v>
      </c>
      <c r="M726" s="3">
        <f t="shared" si="47"/>
        <v>0</v>
      </c>
      <c r="N726" s="3"/>
      <c r="O726" s="3"/>
      <c r="P726" s="3"/>
      <c r="Q726" s="3"/>
      <c r="R726" s="3"/>
    </row>
    <row r="727" spans="1:18" x14ac:dyDescent="0.25">
      <c r="A727" s="2">
        <v>46097</v>
      </c>
      <c r="B727" s="2" t="s">
        <v>285</v>
      </c>
      <c r="C727" s="3" t="s">
        <v>225</v>
      </c>
      <c r="D727" s="11" t="s">
        <v>1028</v>
      </c>
      <c r="E727" s="3">
        <v>2265</v>
      </c>
      <c r="F727" s="3" t="s">
        <v>172</v>
      </c>
      <c r="G727" s="4">
        <f t="shared" si="45"/>
        <v>2265</v>
      </c>
      <c r="H727" s="3"/>
      <c r="I727" s="3"/>
      <c r="J727" s="3"/>
      <c r="K727" s="3"/>
      <c r="L727" s="3">
        <f t="shared" si="46"/>
        <v>0</v>
      </c>
      <c r="M727" s="3">
        <f t="shared" si="47"/>
        <v>0</v>
      </c>
      <c r="N727" s="3"/>
      <c r="O727" s="3"/>
      <c r="P727" s="3"/>
      <c r="Q727" s="3"/>
      <c r="R727" s="3"/>
    </row>
    <row r="728" spans="1:18" x14ac:dyDescent="0.25">
      <c r="A728" s="2">
        <v>46097</v>
      </c>
      <c r="B728" s="2" t="s">
        <v>285</v>
      </c>
      <c r="C728" s="3" t="s">
        <v>81</v>
      </c>
      <c r="D728" s="11" t="s">
        <v>1029</v>
      </c>
      <c r="E728" s="3">
        <v>500</v>
      </c>
      <c r="F728" s="3" t="s">
        <v>172</v>
      </c>
      <c r="G728" s="4">
        <f t="shared" si="45"/>
        <v>500</v>
      </c>
      <c r="H728" s="3"/>
      <c r="I728" s="3"/>
      <c r="J728" s="3"/>
      <c r="K728" s="3"/>
      <c r="L728" s="3">
        <f t="shared" si="46"/>
        <v>0</v>
      </c>
      <c r="M728" s="3">
        <f t="shared" si="47"/>
        <v>0</v>
      </c>
      <c r="N728" s="3"/>
      <c r="O728" s="3"/>
      <c r="P728" s="3"/>
      <c r="Q728" s="3"/>
      <c r="R728" s="3"/>
    </row>
    <row r="729" spans="1:18" x14ac:dyDescent="0.25">
      <c r="A729" s="2">
        <v>46098</v>
      </c>
      <c r="B729" s="3" t="s">
        <v>48</v>
      </c>
      <c r="C729" s="3" t="s">
        <v>92</v>
      </c>
      <c r="D729" s="11" t="s">
        <v>1030</v>
      </c>
      <c r="E729" s="3"/>
      <c r="F729" s="3">
        <f>E729*5%</f>
        <v>0</v>
      </c>
      <c r="G729" s="4">
        <f t="shared" si="45"/>
        <v>0</v>
      </c>
      <c r="H729" s="3">
        <v>500</v>
      </c>
      <c r="I729" s="3"/>
      <c r="J729" s="3"/>
      <c r="K729" s="3"/>
      <c r="L729" s="3">
        <f t="shared" si="46"/>
        <v>0</v>
      </c>
      <c r="M729" s="3">
        <f t="shared" si="47"/>
        <v>0</v>
      </c>
      <c r="N729" s="3"/>
      <c r="O729" s="3"/>
      <c r="P729" s="3"/>
      <c r="Q729" s="3"/>
      <c r="R729" s="3"/>
    </row>
    <row r="730" spans="1:18" x14ac:dyDescent="0.25">
      <c r="A730" s="2">
        <v>46098</v>
      </c>
      <c r="B730" s="3" t="s">
        <v>48</v>
      </c>
      <c r="C730" s="3" t="s">
        <v>49</v>
      </c>
      <c r="D730" s="11" t="s">
        <v>1031</v>
      </c>
      <c r="E730" s="3">
        <v>38.5</v>
      </c>
      <c r="F730" s="3" t="s">
        <v>172</v>
      </c>
      <c r="G730" s="4">
        <f t="shared" si="45"/>
        <v>38.5</v>
      </c>
      <c r="H730" s="3"/>
      <c r="I730" s="3"/>
      <c r="J730" s="3"/>
      <c r="K730" s="3"/>
      <c r="L730" s="3">
        <f t="shared" si="46"/>
        <v>0</v>
      </c>
      <c r="M730" s="3">
        <f t="shared" si="47"/>
        <v>0</v>
      </c>
      <c r="N730" s="3"/>
      <c r="O730" s="3"/>
      <c r="P730" s="3"/>
      <c r="Q730" s="3"/>
      <c r="R730" s="3"/>
    </row>
    <row r="731" spans="1:18" x14ac:dyDescent="0.25">
      <c r="A731" s="2">
        <v>46098</v>
      </c>
      <c r="B731" s="3" t="s">
        <v>48</v>
      </c>
      <c r="C731" s="3" t="s">
        <v>66</v>
      </c>
      <c r="D731" s="11" t="s">
        <v>1032</v>
      </c>
      <c r="E731" s="3">
        <v>16</v>
      </c>
      <c r="F731" s="3" t="s">
        <v>172</v>
      </c>
      <c r="G731" s="4">
        <f t="shared" si="45"/>
        <v>16</v>
      </c>
      <c r="H731" s="3"/>
      <c r="I731" s="3"/>
      <c r="J731" s="3"/>
      <c r="K731" s="3"/>
      <c r="L731" s="3">
        <f t="shared" si="46"/>
        <v>0</v>
      </c>
      <c r="M731" s="3">
        <f t="shared" si="47"/>
        <v>0</v>
      </c>
      <c r="N731" s="3"/>
      <c r="O731" s="3"/>
      <c r="P731" s="3"/>
      <c r="Q731" s="3"/>
      <c r="R731" s="3"/>
    </row>
    <row r="732" spans="1:18" x14ac:dyDescent="0.25">
      <c r="A732" s="2">
        <v>46098</v>
      </c>
      <c r="B732" s="3" t="s">
        <v>48</v>
      </c>
      <c r="C732" s="3" t="s">
        <v>73</v>
      </c>
      <c r="D732" s="11" t="s">
        <v>1033</v>
      </c>
      <c r="E732" s="3">
        <v>55</v>
      </c>
      <c r="F732" s="3" t="s">
        <v>172</v>
      </c>
      <c r="G732" s="4">
        <f t="shared" si="45"/>
        <v>55</v>
      </c>
      <c r="H732" s="3"/>
      <c r="I732" s="3"/>
      <c r="J732" s="3"/>
      <c r="K732" s="3"/>
      <c r="L732" s="3">
        <f t="shared" si="46"/>
        <v>0</v>
      </c>
      <c r="M732" s="3">
        <f t="shared" si="47"/>
        <v>0</v>
      </c>
      <c r="N732" s="3"/>
      <c r="O732" s="3"/>
      <c r="P732" s="3"/>
      <c r="Q732" s="3"/>
      <c r="R732" s="3"/>
    </row>
    <row r="733" spans="1:18" x14ac:dyDescent="0.25">
      <c r="A733" s="2">
        <v>46099</v>
      </c>
      <c r="B733" s="3" t="s">
        <v>48</v>
      </c>
      <c r="C733" s="3" t="s">
        <v>91</v>
      </c>
      <c r="D733" s="11" t="s">
        <v>1034</v>
      </c>
      <c r="E733" s="3">
        <v>1750</v>
      </c>
      <c r="F733" s="3" t="s">
        <v>172</v>
      </c>
      <c r="G733" s="4">
        <f t="shared" si="45"/>
        <v>1750</v>
      </c>
      <c r="H733" s="3"/>
      <c r="I733" s="3"/>
      <c r="J733" s="3"/>
      <c r="K733" s="3"/>
      <c r="L733" s="3">
        <f t="shared" si="46"/>
        <v>0</v>
      </c>
      <c r="M733" s="3">
        <f t="shared" si="47"/>
        <v>0</v>
      </c>
      <c r="N733" s="3"/>
      <c r="O733" s="3"/>
      <c r="P733" s="3"/>
      <c r="Q733" s="3"/>
      <c r="R733" s="3"/>
    </row>
    <row r="734" spans="1:18" x14ac:dyDescent="0.25">
      <c r="A734" s="2">
        <v>46099</v>
      </c>
      <c r="B734" s="3" t="s">
        <v>48</v>
      </c>
      <c r="C734" s="3" t="s">
        <v>90</v>
      </c>
      <c r="D734" s="11" t="s">
        <v>1035</v>
      </c>
      <c r="E734" s="3"/>
      <c r="F734" s="3">
        <f>E734*5%</f>
        <v>0</v>
      </c>
      <c r="G734" s="4">
        <f t="shared" si="45"/>
        <v>0</v>
      </c>
      <c r="H734" s="3"/>
      <c r="I734" s="3"/>
      <c r="J734" s="3">
        <v>2500</v>
      </c>
      <c r="K734" s="3"/>
      <c r="L734" s="3">
        <f t="shared" si="46"/>
        <v>0</v>
      </c>
      <c r="M734" s="3">
        <f t="shared" si="47"/>
        <v>0</v>
      </c>
      <c r="N734" s="3"/>
      <c r="O734" s="3"/>
      <c r="P734" s="3"/>
      <c r="Q734" s="3"/>
      <c r="R734" s="3"/>
    </row>
    <row r="735" spans="1:18" x14ac:dyDescent="0.25">
      <c r="A735" s="2">
        <v>46099</v>
      </c>
      <c r="B735" s="3" t="s">
        <v>48</v>
      </c>
      <c r="C735" s="3" t="s">
        <v>73</v>
      </c>
      <c r="D735" s="11" t="s">
        <v>1036</v>
      </c>
      <c r="E735" s="3">
        <v>55</v>
      </c>
      <c r="F735" s="3" t="s">
        <v>172</v>
      </c>
      <c r="G735" s="4">
        <f t="shared" si="45"/>
        <v>55</v>
      </c>
      <c r="H735" s="3"/>
      <c r="I735" s="3"/>
      <c r="J735" s="3"/>
      <c r="K735" s="3"/>
      <c r="L735" s="3">
        <f t="shared" si="46"/>
        <v>0</v>
      </c>
      <c r="M735" s="3">
        <f t="shared" si="47"/>
        <v>0</v>
      </c>
      <c r="N735" s="3"/>
      <c r="O735" s="3"/>
      <c r="P735" s="3"/>
      <c r="Q735" s="3"/>
      <c r="R735" s="3"/>
    </row>
    <row r="736" spans="1:18" x14ac:dyDescent="0.25">
      <c r="A736" s="2">
        <v>46099</v>
      </c>
      <c r="B736" s="3" t="s">
        <v>48</v>
      </c>
      <c r="C736" s="3" t="s">
        <v>73</v>
      </c>
      <c r="D736" s="11" t="s">
        <v>1037</v>
      </c>
      <c r="E736" s="3">
        <v>53</v>
      </c>
      <c r="F736" s="3" t="s">
        <v>172</v>
      </c>
      <c r="G736" s="4">
        <f t="shared" si="45"/>
        <v>53</v>
      </c>
      <c r="H736" s="3"/>
      <c r="I736" s="3"/>
      <c r="J736" s="3"/>
      <c r="K736" s="3"/>
      <c r="L736" s="3">
        <f t="shared" si="46"/>
        <v>0</v>
      </c>
      <c r="M736" s="3">
        <f t="shared" si="47"/>
        <v>0</v>
      </c>
      <c r="N736" s="3"/>
      <c r="O736" s="3"/>
      <c r="P736" s="3"/>
      <c r="Q736" s="3"/>
      <c r="R736" s="3"/>
    </row>
    <row r="737" spans="1:18" x14ac:dyDescent="0.25">
      <c r="A737" s="2">
        <v>46099</v>
      </c>
      <c r="B737" s="3" t="s">
        <v>48</v>
      </c>
      <c r="C737" s="3" t="s">
        <v>93</v>
      </c>
      <c r="D737" s="11" t="s">
        <v>1038</v>
      </c>
      <c r="E737" s="3">
        <v>10300</v>
      </c>
      <c r="F737" s="3" t="s">
        <v>172</v>
      </c>
      <c r="G737" s="4">
        <f t="shared" si="45"/>
        <v>10300</v>
      </c>
      <c r="H737" s="3"/>
      <c r="I737" s="3"/>
      <c r="J737" s="3"/>
      <c r="K737" s="3"/>
      <c r="L737" s="3">
        <f t="shared" si="46"/>
        <v>0</v>
      </c>
      <c r="M737" s="3">
        <f t="shared" si="47"/>
        <v>0</v>
      </c>
      <c r="N737" s="3"/>
      <c r="O737" s="3"/>
      <c r="P737" s="3"/>
      <c r="Q737" s="3"/>
      <c r="R737" s="3"/>
    </row>
    <row r="738" spans="1:18" x14ac:dyDescent="0.25">
      <c r="A738" s="2">
        <v>46099</v>
      </c>
      <c r="B738" s="3" t="s">
        <v>48</v>
      </c>
      <c r="C738" s="3" t="s">
        <v>64</v>
      </c>
      <c r="D738" s="11" t="s">
        <v>1039</v>
      </c>
      <c r="E738" s="3">
        <v>100</v>
      </c>
      <c r="F738" s="3" t="s">
        <v>172</v>
      </c>
      <c r="G738" s="4">
        <f t="shared" si="45"/>
        <v>100</v>
      </c>
      <c r="H738" s="3"/>
      <c r="I738" s="3"/>
      <c r="J738" s="3"/>
      <c r="K738" s="3"/>
      <c r="L738" s="3">
        <f t="shared" si="46"/>
        <v>0</v>
      </c>
      <c r="M738" s="3">
        <f t="shared" si="47"/>
        <v>0</v>
      </c>
      <c r="N738" s="3"/>
      <c r="O738" s="3"/>
      <c r="P738" s="3"/>
      <c r="Q738" s="3"/>
      <c r="R738" s="3"/>
    </row>
    <row r="739" spans="1:18" x14ac:dyDescent="0.25">
      <c r="A739" s="2">
        <v>46099</v>
      </c>
      <c r="B739" s="3" t="s">
        <v>48</v>
      </c>
      <c r="C739" s="3" t="s">
        <v>73</v>
      </c>
      <c r="D739" s="11" t="s">
        <v>1040</v>
      </c>
      <c r="E739" s="3">
        <v>4200</v>
      </c>
      <c r="F739" s="3" t="s">
        <v>172</v>
      </c>
      <c r="G739" s="4">
        <f t="shared" si="45"/>
        <v>4200</v>
      </c>
      <c r="H739" s="3"/>
      <c r="I739" s="3"/>
      <c r="J739" s="3"/>
      <c r="K739" s="3"/>
      <c r="L739" s="3">
        <f t="shared" si="46"/>
        <v>0</v>
      </c>
      <c r="M739" s="3">
        <f t="shared" si="47"/>
        <v>0</v>
      </c>
      <c r="N739" s="3"/>
      <c r="O739" s="3"/>
      <c r="P739" s="3"/>
      <c r="Q739" s="3"/>
      <c r="R739" s="3"/>
    </row>
    <row r="740" spans="1:18" x14ac:dyDescent="0.25">
      <c r="A740" s="2">
        <v>46104</v>
      </c>
      <c r="B740" s="3" t="s">
        <v>48</v>
      </c>
      <c r="C740" s="3" t="s">
        <v>84</v>
      </c>
      <c r="D740" s="11" t="s">
        <v>1041</v>
      </c>
      <c r="E740" s="3">
        <v>80</v>
      </c>
      <c r="F740" s="3" t="s">
        <v>172</v>
      </c>
      <c r="G740" s="4">
        <f t="shared" si="45"/>
        <v>80</v>
      </c>
      <c r="H740" s="3"/>
      <c r="I740" s="3"/>
      <c r="J740" s="3"/>
      <c r="K740" s="3"/>
      <c r="L740" s="3">
        <f t="shared" si="46"/>
        <v>0</v>
      </c>
      <c r="M740" s="3">
        <f t="shared" si="47"/>
        <v>0</v>
      </c>
      <c r="N740" s="3"/>
      <c r="O740" s="3"/>
      <c r="P740" s="3"/>
      <c r="Q740" s="3"/>
      <c r="R740" s="3"/>
    </row>
    <row r="741" spans="1:18" x14ac:dyDescent="0.25">
      <c r="A741" s="2">
        <v>46104</v>
      </c>
      <c r="B741" s="3" t="s">
        <v>48</v>
      </c>
      <c r="C741" s="3" t="s">
        <v>73</v>
      </c>
      <c r="D741" s="11" t="s">
        <v>1042</v>
      </c>
      <c r="E741" s="3">
        <v>479.25</v>
      </c>
      <c r="F741" s="3" t="s">
        <v>172</v>
      </c>
      <c r="G741" s="4">
        <f t="shared" si="45"/>
        <v>479.25</v>
      </c>
      <c r="H741" s="3"/>
      <c r="I741" s="3"/>
      <c r="J741" s="3"/>
      <c r="K741" s="3"/>
      <c r="L741" s="3">
        <f t="shared" si="46"/>
        <v>0</v>
      </c>
      <c r="M741" s="3">
        <f t="shared" si="47"/>
        <v>0</v>
      </c>
      <c r="N741" s="3"/>
      <c r="O741" s="3"/>
      <c r="P741" s="3"/>
      <c r="Q741" s="3"/>
      <c r="R741" s="3"/>
    </row>
    <row r="742" spans="1:18" x14ac:dyDescent="0.25">
      <c r="A742" s="2">
        <v>46104</v>
      </c>
      <c r="B742" s="3" t="s">
        <v>48</v>
      </c>
      <c r="C742" s="3" t="s">
        <v>73</v>
      </c>
      <c r="D742" s="11" t="s">
        <v>1043</v>
      </c>
      <c r="E742" s="3">
        <v>60.25</v>
      </c>
      <c r="F742" s="3" t="s">
        <v>172</v>
      </c>
      <c r="G742" s="4">
        <f t="shared" si="45"/>
        <v>60.25</v>
      </c>
      <c r="H742" s="3"/>
      <c r="I742" s="3"/>
      <c r="J742" s="3"/>
      <c r="K742" s="3"/>
      <c r="L742" s="3">
        <f t="shared" si="46"/>
        <v>0</v>
      </c>
      <c r="M742" s="3">
        <f t="shared" si="47"/>
        <v>0</v>
      </c>
      <c r="N742" s="3"/>
      <c r="O742" s="3"/>
      <c r="P742" s="3"/>
      <c r="Q742" s="3"/>
      <c r="R742" s="3"/>
    </row>
    <row r="743" spans="1:18" x14ac:dyDescent="0.25">
      <c r="A743" s="2">
        <v>46104</v>
      </c>
      <c r="B743" s="3" t="s">
        <v>48</v>
      </c>
      <c r="C743" s="3" t="s">
        <v>73</v>
      </c>
      <c r="D743" s="11" t="s">
        <v>1044</v>
      </c>
      <c r="E743" s="3">
        <v>35</v>
      </c>
      <c r="F743" s="3" t="s">
        <v>172</v>
      </c>
      <c r="G743" s="4">
        <f t="shared" si="45"/>
        <v>35</v>
      </c>
      <c r="H743" s="3"/>
      <c r="I743" s="3"/>
      <c r="J743" s="3"/>
      <c r="K743" s="3"/>
      <c r="L743" s="3">
        <f t="shared" si="46"/>
        <v>0</v>
      </c>
      <c r="M743" s="3">
        <f t="shared" si="47"/>
        <v>0</v>
      </c>
      <c r="N743" s="3"/>
      <c r="O743" s="3"/>
      <c r="P743" s="3"/>
      <c r="Q743" s="3"/>
      <c r="R743" s="3"/>
    </row>
    <row r="744" spans="1:18" x14ac:dyDescent="0.25">
      <c r="A744" s="2">
        <v>46104</v>
      </c>
      <c r="B744" s="3" t="s">
        <v>48</v>
      </c>
      <c r="C744" s="3" t="s">
        <v>74</v>
      </c>
      <c r="D744" s="11" t="s">
        <v>1045</v>
      </c>
      <c r="E744" s="3">
        <v>2297</v>
      </c>
      <c r="F744" s="3" t="s">
        <v>172</v>
      </c>
      <c r="G744" s="4">
        <f t="shared" si="45"/>
        <v>2297</v>
      </c>
      <c r="H744" s="3"/>
      <c r="I744" s="3"/>
      <c r="J744" s="3"/>
      <c r="K744" s="3"/>
      <c r="L744" s="3">
        <f t="shared" si="46"/>
        <v>0</v>
      </c>
      <c r="M744" s="3">
        <f t="shared" si="47"/>
        <v>0</v>
      </c>
      <c r="N744" s="3"/>
      <c r="O744" s="3"/>
      <c r="P744" s="3"/>
      <c r="Q744" s="3"/>
      <c r="R744" s="3"/>
    </row>
    <row r="745" spans="1:18" x14ac:dyDescent="0.25">
      <c r="A745" s="2">
        <v>46104</v>
      </c>
      <c r="B745" s="3" t="s">
        <v>48</v>
      </c>
      <c r="C745" s="3" t="s">
        <v>92</v>
      </c>
      <c r="D745" s="11" t="s">
        <v>1046</v>
      </c>
      <c r="E745" s="3"/>
      <c r="F745" s="3">
        <f>E745*5%</f>
        <v>0</v>
      </c>
      <c r="G745" s="4">
        <f t="shared" si="45"/>
        <v>0</v>
      </c>
      <c r="H745" s="3">
        <v>50</v>
      </c>
      <c r="I745" s="3"/>
      <c r="J745" s="3"/>
      <c r="K745" s="3"/>
      <c r="L745" s="3">
        <f t="shared" si="46"/>
        <v>0</v>
      </c>
      <c r="M745" s="3">
        <f t="shared" si="47"/>
        <v>0</v>
      </c>
      <c r="N745" s="3"/>
      <c r="O745" s="3"/>
      <c r="P745" s="3"/>
      <c r="Q745" s="3"/>
      <c r="R745" s="3"/>
    </row>
    <row r="746" spans="1:18" x14ac:dyDescent="0.25">
      <c r="A746" s="2">
        <v>46104</v>
      </c>
      <c r="B746" s="2" t="s">
        <v>285</v>
      </c>
      <c r="C746" s="3" t="s">
        <v>225</v>
      </c>
      <c r="D746" s="11" t="s">
        <v>1047</v>
      </c>
      <c r="E746" s="3">
        <v>730</v>
      </c>
      <c r="F746" s="3" t="s">
        <v>172</v>
      </c>
      <c r="G746" s="4">
        <f t="shared" si="45"/>
        <v>730</v>
      </c>
      <c r="H746" s="3"/>
      <c r="I746" s="3"/>
      <c r="J746" s="3"/>
      <c r="K746" s="3"/>
      <c r="L746" s="3">
        <f t="shared" si="46"/>
        <v>0</v>
      </c>
      <c r="M746" s="3">
        <f t="shared" si="47"/>
        <v>0</v>
      </c>
      <c r="N746" s="3"/>
      <c r="O746" s="3"/>
      <c r="P746" s="3"/>
      <c r="Q746" s="3"/>
      <c r="R746" s="3"/>
    </row>
    <row r="747" spans="1:18" x14ac:dyDescent="0.25">
      <c r="A747" s="2">
        <v>46105</v>
      </c>
      <c r="B747" s="3" t="s">
        <v>48</v>
      </c>
      <c r="C747" s="3" t="s">
        <v>78</v>
      </c>
      <c r="D747" s="11" t="s">
        <v>1048</v>
      </c>
      <c r="E747" s="3">
        <v>335</v>
      </c>
      <c r="F747" s="3" t="s">
        <v>172</v>
      </c>
      <c r="G747" s="4">
        <f t="shared" si="45"/>
        <v>335</v>
      </c>
      <c r="H747" s="3"/>
      <c r="I747" s="3"/>
      <c r="J747" s="3"/>
      <c r="K747" s="3"/>
      <c r="L747" s="3">
        <f t="shared" si="46"/>
        <v>0</v>
      </c>
      <c r="M747" s="3">
        <f t="shared" si="47"/>
        <v>0</v>
      </c>
      <c r="N747" s="3"/>
      <c r="O747" s="3"/>
      <c r="P747" s="3"/>
      <c r="Q747" s="3"/>
      <c r="R747" s="3"/>
    </row>
    <row r="748" spans="1:18" x14ac:dyDescent="0.25">
      <c r="A748" s="2">
        <v>46105</v>
      </c>
      <c r="B748" s="3" t="s">
        <v>48</v>
      </c>
      <c r="C748" s="3" t="s">
        <v>73</v>
      </c>
      <c r="D748" s="11" t="s">
        <v>1049</v>
      </c>
      <c r="E748" s="3">
        <v>55</v>
      </c>
      <c r="F748" s="3" t="s">
        <v>172</v>
      </c>
      <c r="G748" s="4">
        <f t="shared" si="45"/>
        <v>55</v>
      </c>
      <c r="H748" s="3"/>
      <c r="I748" s="3"/>
      <c r="J748" s="3"/>
      <c r="K748" s="3"/>
      <c r="L748" s="3">
        <f t="shared" si="46"/>
        <v>0</v>
      </c>
      <c r="M748" s="3">
        <f t="shared" si="47"/>
        <v>0</v>
      </c>
      <c r="N748" s="3"/>
      <c r="O748" s="3"/>
      <c r="P748" s="3"/>
      <c r="Q748" s="3"/>
      <c r="R748" s="3"/>
    </row>
    <row r="749" spans="1:18" x14ac:dyDescent="0.25">
      <c r="A749" s="2">
        <v>46105</v>
      </c>
      <c r="B749" s="3" t="s">
        <v>48</v>
      </c>
      <c r="C749" s="3" t="s">
        <v>64</v>
      </c>
      <c r="D749" s="11" t="s">
        <v>1050</v>
      </c>
      <c r="E749" s="3">
        <v>100</v>
      </c>
      <c r="F749" s="3" t="s">
        <v>172</v>
      </c>
      <c r="G749" s="4">
        <f t="shared" si="45"/>
        <v>100</v>
      </c>
      <c r="H749" s="3"/>
      <c r="I749" s="3"/>
      <c r="J749" s="3"/>
      <c r="K749" s="3"/>
      <c r="L749" s="3">
        <f t="shared" si="46"/>
        <v>0</v>
      </c>
      <c r="M749" s="3">
        <f t="shared" si="47"/>
        <v>0</v>
      </c>
      <c r="N749" s="3"/>
      <c r="O749" s="3"/>
      <c r="P749" s="3"/>
      <c r="Q749" s="3"/>
      <c r="R749" s="3"/>
    </row>
    <row r="750" spans="1:18" x14ac:dyDescent="0.25">
      <c r="A750" s="2">
        <v>46105</v>
      </c>
      <c r="B750" s="3" t="s">
        <v>48</v>
      </c>
      <c r="C750" s="3" t="s">
        <v>49</v>
      </c>
      <c r="D750" s="11" t="s">
        <v>1051</v>
      </c>
      <c r="E750" s="3">
        <v>62</v>
      </c>
      <c r="F750" s="3">
        <v>3</v>
      </c>
      <c r="G750" s="4">
        <f t="shared" si="45"/>
        <v>65</v>
      </c>
      <c r="H750" s="3"/>
      <c r="I750" s="3"/>
      <c r="J750" s="3"/>
      <c r="K750" s="3"/>
      <c r="L750" s="3">
        <f t="shared" si="46"/>
        <v>0</v>
      </c>
      <c r="M750" s="3">
        <f t="shared" si="47"/>
        <v>0</v>
      </c>
      <c r="N750" s="3"/>
      <c r="O750" s="3"/>
      <c r="P750" s="3"/>
      <c r="Q750" s="3"/>
      <c r="R750" s="3"/>
    </row>
    <row r="751" spans="1:18" x14ac:dyDescent="0.25">
      <c r="A751" s="2">
        <v>46106</v>
      </c>
      <c r="B751" s="3" t="s">
        <v>48</v>
      </c>
      <c r="C751" s="3" t="s">
        <v>70</v>
      </c>
      <c r="D751" s="11" t="s">
        <v>1052</v>
      </c>
      <c r="E751" s="3">
        <v>17</v>
      </c>
      <c r="F751" s="3" t="s">
        <v>172</v>
      </c>
      <c r="G751" s="4">
        <f t="shared" si="45"/>
        <v>17</v>
      </c>
      <c r="H751" s="3"/>
      <c r="I751" s="3"/>
      <c r="J751" s="3"/>
      <c r="K751" s="3"/>
      <c r="L751" s="3">
        <f t="shared" si="46"/>
        <v>0</v>
      </c>
      <c r="M751" s="3">
        <f t="shared" si="47"/>
        <v>0</v>
      </c>
      <c r="N751" s="3"/>
      <c r="O751" s="3"/>
      <c r="P751" s="3"/>
      <c r="Q751" s="3"/>
      <c r="R751" s="3"/>
    </row>
    <row r="752" spans="1:18" x14ac:dyDescent="0.25">
      <c r="A752" s="2">
        <v>46106</v>
      </c>
      <c r="B752" s="3" t="s">
        <v>48</v>
      </c>
      <c r="C752" s="3" t="s">
        <v>66</v>
      </c>
      <c r="D752" s="11" t="s">
        <v>1053</v>
      </c>
      <c r="E752" s="3">
        <v>200</v>
      </c>
      <c r="F752" s="3" t="s">
        <v>172</v>
      </c>
      <c r="G752" s="4">
        <f t="shared" si="45"/>
        <v>200</v>
      </c>
      <c r="H752" s="3"/>
      <c r="I752" s="3"/>
      <c r="J752" s="3"/>
      <c r="K752" s="3"/>
      <c r="L752" s="3">
        <f t="shared" si="46"/>
        <v>0</v>
      </c>
      <c r="M752" s="3">
        <f t="shared" si="47"/>
        <v>0</v>
      </c>
      <c r="N752" s="3"/>
      <c r="O752" s="3"/>
      <c r="P752" s="3"/>
      <c r="Q752" s="3"/>
      <c r="R752" s="3"/>
    </row>
    <row r="753" spans="1:18" x14ac:dyDescent="0.25">
      <c r="A753" s="2">
        <v>46106</v>
      </c>
      <c r="B753" s="3" t="s">
        <v>48</v>
      </c>
      <c r="C753" s="3" t="s">
        <v>51</v>
      </c>
      <c r="D753" s="11" t="s">
        <v>1054</v>
      </c>
      <c r="E753" s="3">
        <v>238.09100000000001</v>
      </c>
      <c r="F753" s="3">
        <f>E753*5%</f>
        <v>11.90455</v>
      </c>
      <c r="G753" s="4">
        <f t="shared" si="45"/>
        <v>249.99555000000001</v>
      </c>
      <c r="H753" s="3"/>
      <c r="I753" s="3"/>
      <c r="J753" s="3"/>
      <c r="K753" s="3"/>
      <c r="L753" s="3">
        <f t="shared" si="46"/>
        <v>0</v>
      </c>
      <c r="M753" s="3">
        <f t="shared" si="47"/>
        <v>0</v>
      </c>
      <c r="N753" s="3"/>
      <c r="O753" s="3"/>
      <c r="P753" s="3"/>
      <c r="Q753" s="3"/>
      <c r="R753" s="3"/>
    </row>
    <row r="754" spans="1:18" x14ac:dyDescent="0.25">
      <c r="A754" s="2">
        <v>46106</v>
      </c>
      <c r="B754" s="3" t="s">
        <v>48</v>
      </c>
      <c r="C754" s="3" t="s">
        <v>73</v>
      </c>
      <c r="D754" s="11" t="s">
        <v>1055</v>
      </c>
      <c r="E754" s="3">
        <v>110</v>
      </c>
      <c r="F754" s="3" t="s">
        <v>172</v>
      </c>
      <c r="G754" s="4">
        <f t="shared" si="45"/>
        <v>110</v>
      </c>
      <c r="H754" s="3"/>
      <c r="I754" s="3"/>
      <c r="J754" s="3"/>
      <c r="K754" s="3"/>
      <c r="L754" s="3">
        <f t="shared" si="46"/>
        <v>0</v>
      </c>
      <c r="M754" s="3">
        <f t="shared" si="47"/>
        <v>0</v>
      </c>
      <c r="N754" s="3"/>
      <c r="O754" s="3"/>
      <c r="P754" s="3"/>
      <c r="Q754" s="3"/>
      <c r="R754" s="3"/>
    </row>
    <row r="755" spans="1:18" x14ac:dyDescent="0.25">
      <c r="A755" s="2">
        <v>46106</v>
      </c>
      <c r="B755" s="3" t="s">
        <v>48</v>
      </c>
      <c r="C755" s="3" t="s">
        <v>73</v>
      </c>
      <c r="D755" s="11" t="s">
        <v>1056</v>
      </c>
      <c r="E755" s="3">
        <v>52</v>
      </c>
      <c r="F755" s="3" t="s">
        <v>172</v>
      </c>
      <c r="G755" s="4">
        <f t="shared" si="45"/>
        <v>52</v>
      </c>
      <c r="H755" s="3"/>
      <c r="I755" s="3"/>
      <c r="J755" s="3"/>
      <c r="K755" s="3"/>
      <c r="L755" s="3">
        <f t="shared" si="46"/>
        <v>0</v>
      </c>
      <c r="M755" s="3">
        <f t="shared" si="47"/>
        <v>0</v>
      </c>
      <c r="N755" s="3"/>
      <c r="O755" s="3"/>
      <c r="P755" s="3"/>
      <c r="Q755" s="3"/>
      <c r="R755" s="3"/>
    </row>
    <row r="756" spans="1:18" x14ac:dyDescent="0.25">
      <c r="A756" s="2">
        <v>46106</v>
      </c>
      <c r="B756" s="3" t="s">
        <v>48</v>
      </c>
      <c r="C756" s="3" t="s">
        <v>49</v>
      </c>
      <c r="D756" s="11" t="s">
        <v>1057</v>
      </c>
      <c r="E756" s="3">
        <v>25</v>
      </c>
      <c r="F756" s="3">
        <v>1</v>
      </c>
      <c r="G756" s="4">
        <f t="shared" si="45"/>
        <v>26</v>
      </c>
      <c r="H756" s="3"/>
      <c r="I756" s="3"/>
      <c r="J756" s="3"/>
      <c r="K756" s="3"/>
      <c r="L756" s="3">
        <f t="shared" si="46"/>
        <v>0</v>
      </c>
      <c r="M756" s="3">
        <f t="shared" si="47"/>
        <v>0</v>
      </c>
      <c r="N756" s="3"/>
      <c r="O756" s="3"/>
      <c r="P756" s="3"/>
      <c r="Q756" s="3"/>
      <c r="R756" s="3"/>
    </row>
    <row r="757" spans="1:18" x14ac:dyDescent="0.25">
      <c r="A757" s="2">
        <v>46106</v>
      </c>
      <c r="B757" s="3" t="s">
        <v>48</v>
      </c>
      <c r="C757" s="3" t="s">
        <v>49</v>
      </c>
      <c r="D757" s="11" t="s">
        <v>1058</v>
      </c>
      <c r="E757" s="3">
        <v>35</v>
      </c>
      <c r="F757" s="3" t="s">
        <v>172</v>
      </c>
      <c r="G757" s="4">
        <f t="shared" si="45"/>
        <v>35</v>
      </c>
      <c r="H757" s="3"/>
      <c r="I757" s="3"/>
      <c r="J757" s="3"/>
      <c r="K757" s="3"/>
      <c r="L757" s="3">
        <f t="shared" si="46"/>
        <v>0</v>
      </c>
      <c r="M757" s="3">
        <f t="shared" si="47"/>
        <v>0</v>
      </c>
      <c r="N757" s="3"/>
      <c r="O757" s="3"/>
      <c r="P757" s="3"/>
      <c r="Q757" s="3"/>
      <c r="R757" s="3"/>
    </row>
    <row r="758" spans="1:18" x14ac:dyDescent="0.25">
      <c r="A758" s="2">
        <v>46106</v>
      </c>
      <c r="B758" s="3" t="s">
        <v>48</v>
      </c>
      <c r="C758" s="3" t="s">
        <v>66</v>
      </c>
      <c r="D758" s="11" t="s">
        <v>1059</v>
      </c>
      <c r="E758" s="3">
        <v>15</v>
      </c>
      <c r="F758" s="3" t="s">
        <v>172</v>
      </c>
      <c r="G758" s="4">
        <f t="shared" si="45"/>
        <v>15</v>
      </c>
      <c r="H758" s="3"/>
      <c r="I758" s="3"/>
      <c r="J758" s="3"/>
      <c r="K758" s="3"/>
      <c r="L758" s="3">
        <f t="shared" si="46"/>
        <v>0</v>
      </c>
      <c r="M758" s="3">
        <f t="shared" si="47"/>
        <v>0</v>
      </c>
      <c r="N758" s="3"/>
      <c r="O758" s="3"/>
      <c r="P758" s="3"/>
      <c r="Q758" s="3"/>
      <c r="R758" s="3"/>
    </row>
    <row r="759" spans="1:18" x14ac:dyDescent="0.25">
      <c r="A759" s="2">
        <v>46106</v>
      </c>
      <c r="B759" s="3" t="s">
        <v>48</v>
      </c>
      <c r="C759" s="3" t="s">
        <v>49</v>
      </c>
      <c r="D759" s="11" t="s">
        <v>1060</v>
      </c>
      <c r="E759" s="3">
        <v>0</v>
      </c>
      <c r="F759" s="3">
        <v>187.857</v>
      </c>
      <c r="G759" s="4">
        <f t="shared" ref="G759:G792" si="48">IF(F759="NO TAX",E759,E759+F759)</f>
        <v>187.857</v>
      </c>
      <c r="H759" s="3"/>
      <c r="I759" s="3"/>
      <c r="J759" s="3"/>
      <c r="K759" s="3"/>
      <c r="L759" s="3">
        <f t="shared" ref="L759:L792" si="49">K759*5%</f>
        <v>0</v>
      </c>
      <c r="M759" s="3">
        <f t="shared" ref="M759:M792" si="50">IF(L759="NO TAX",K759,K759+L759)</f>
        <v>0</v>
      </c>
      <c r="N759" s="3"/>
      <c r="O759" s="3"/>
      <c r="P759" s="3"/>
      <c r="Q759" s="3"/>
      <c r="R759" s="3"/>
    </row>
    <row r="760" spans="1:18" x14ac:dyDescent="0.25">
      <c r="A760" s="2">
        <v>46106</v>
      </c>
      <c r="B760" s="3" t="s">
        <v>48</v>
      </c>
      <c r="C760" s="3" t="s">
        <v>90</v>
      </c>
      <c r="D760" s="11" t="s">
        <v>1061</v>
      </c>
      <c r="E760" s="3"/>
      <c r="F760" s="3">
        <f>E760*5%</f>
        <v>0</v>
      </c>
      <c r="G760" s="4">
        <f t="shared" si="48"/>
        <v>0</v>
      </c>
      <c r="H760" s="3"/>
      <c r="I760" s="3"/>
      <c r="J760" s="3">
        <v>3757.14</v>
      </c>
      <c r="K760" s="3"/>
      <c r="L760" s="3">
        <f t="shared" si="49"/>
        <v>0</v>
      </c>
      <c r="M760" s="3">
        <f t="shared" si="50"/>
        <v>0</v>
      </c>
      <c r="N760" s="3"/>
      <c r="O760" s="3"/>
      <c r="P760" s="3"/>
      <c r="Q760" s="3"/>
      <c r="R760" s="3"/>
    </row>
    <row r="761" spans="1:18" x14ac:dyDescent="0.25">
      <c r="A761" s="2">
        <v>46107</v>
      </c>
      <c r="B761" s="3" t="s">
        <v>48</v>
      </c>
      <c r="C761" s="3" t="s">
        <v>73</v>
      </c>
      <c r="D761" s="11" t="s">
        <v>1062</v>
      </c>
      <c r="E761" s="3">
        <v>55</v>
      </c>
      <c r="F761" s="3" t="s">
        <v>172</v>
      </c>
      <c r="G761" s="4">
        <f t="shared" si="48"/>
        <v>55</v>
      </c>
      <c r="H761" s="3"/>
      <c r="I761" s="3"/>
      <c r="J761" s="3"/>
      <c r="K761" s="3"/>
      <c r="L761" s="3">
        <f t="shared" si="49"/>
        <v>0</v>
      </c>
      <c r="M761" s="3">
        <f t="shared" si="50"/>
        <v>0</v>
      </c>
      <c r="N761" s="3"/>
      <c r="O761" s="3"/>
      <c r="P761" s="3"/>
      <c r="Q761" s="3"/>
      <c r="R761" s="3"/>
    </row>
    <row r="762" spans="1:18" x14ac:dyDescent="0.25">
      <c r="A762" s="2">
        <v>46107</v>
      </c>
      <c r="B762" s="3" t="s">
        <v>48</v>
      </c>
      <c r="C762" s="3" t="s">
        <v>92</v>
      </c>
      <c r="D762" s="11" t="s">
        <v>1063</v>
      </c>
      <c r="E762" s="3"/>
      <c r="F762" s="3">
        <f>E762*5%</f>
        <v>0</v>
      </c>
      <c r="G762" s="4">
        <f t="shared" si="48"/>
        <v>0</v>
      </c>
      <c r="H762" s="3">
        <v>50</v>
      </c>
      <c r="I762" s="3"/>
      <c r="J762" s="3"/>
      <c r="K762" s="3"/>
      <c r="L762" s="3">
        <f t="shared" si="49"/>
        <v>0</v>
      </c>
      <c r="M762" s="3">
        <f t="shared" si="50"/>
        <v>0</v>
      </c>
      <c r="N762" s="3"/>
      <c r="O762" s="3"/>
      <c r="P762" s="3"/>
      <c r="Q762" s="3"/>
      <c r="R762" s="3"/>
    </row>
    <row r="763" spans="1:18" x14ac:dyDescent="0.25">
      <c r="A763" s="2">
        <v>46108</v>
      </c>
      <c r="B763" s="3" t="s">
        <v>48</v>
      </c>
      <c r="C763" s="198" t="s">
        <v>91</v>
      </c>
      <c r="D763" s="11" t="s">
        <v>1064</v>
      </c>
      <c r="E763" s="3">
        <v>2700</v>
      </c>
      <c r="F763" s="3" t="s">
        <v>172</v>
      </c>
      <c r="G763" s="4">
        <f t="shared" si="48"/>
        <v>2700</v>
      </c>
      <c r="H763" s="3"/>
      <c r="I763" s="3"/>
      <c r="J763" s="3"/>
      <c r="K763" s="3"/>
      <c r="L763" s="3">
        <f t="shared" si="49"/>
        <v>0</v>
      </c>
      <c r="M763" s="3">
        <f t="shared" si="50"/>
        <v>0</v>
      </c>
      <c r="N763" s="3"/>
      <c r="O763" s="3"/>
      <c r="P763" s="3"/>
      <c r="Q763" s="3"/>
      <c r="R763" s="3"/>
    </row>
    <row r="764" spans="1:18" x14ac:dyDescent="0.25">
      <c r="A764" s="2">
        <v>46109</v>
      </c>
      <c r="B764" s="3" t="s">
        <v>48</v>
      </c>
      <c r="C764" s="3" t="s">
        <v>70</v>
      </c>
      <c r="D764" s="11" t="s">
        <v>1065</v>
      </c>
      <c r="E764" s="3">
        <v>10.5</v>
      </c>
      <c r="F764" s="3" t="s">
        <v>172</v>
      </c>
      <c r="G764" s="4">
        <f t="shared" si="48"/>
        <v>10.5</v>
      </c>
      <c r="H764" s="3"/>
      <c r="I764" s="3"/>
      <c r="J764" s="3"/>
      <c r="K764" s="3"/>
      <c r="L764" s="3">
        <f t="shared" si="49"/>
        <v>0</v>
      </c>
      <c r="M764" s="3">
        <f t="shared" si="50"/>
        <v>0</v>
      </c>
      <c r="N764" s="3"/>
      <c r="O764" s="3"/>
      <c r="P764" s="3"/>
      <c r="Q764" s="3"/>
      <c r="R764" s="3"/>
    </row>
    <row r="765" spans="1:18" x14ac:dyDescent="0.25">
      <c r="A765" s="2">
        <v>46109</v>
      </c>
      <c r="B765" s="3" t="s">
        <v>48</v>
      </c>
      <c r="C765" s="3" t="s">
        <v>73</v>
      </c>
      <c r="D765" s="11" t="s">
        <v>1066</v>
      </c>
      <c r="E765" s="3">
        <v>55</v>
      </c>
      <c r="F765" s="3" t="s">
        <v>172</v>
      </c>
      <c r="G765" s="4">
        <f t="shared" si="48"/>
        <v>55</v>
      </c>
      <c r="H765" s="3"/>
      <c r="I765" s="3"/>
      <c r="J765" s="3"/>
      <c r="K765" s="3"/>
      <c r="L765" s="3">
        <f t="shared" si="49"/>
        <v>0</v>
      </c>
      <c r="M765" s="3">
        <f t="shared" si="50"/>
        <v>0</v>
      </c>
      <c r="N765" s="3"/>
      <c r="O765" s="3"/>
      <c r="P765" s="3"/>
      <c r="Q765" s="3"/>
      <c r="R765" s="3"/>
    </row>
    <row r="766" spans="1:18" x14ac:dyDescent="0.25">
      <c r="A766" s="2">
        <v>46109</v>
      </c>
      <c r="B766" s="3" t="s">
        <v>48</v>
      </c>
      <c r="C766" s="3" t="s">
        <v>92</v>
      </c>
      <c r="D766" s="11" t="s">
        <v>1067</v>
      </c>
      <c r="E766" s="3"/>
      <c r="F766" s="3">
        <f>E766*5%</f>
        <v>0</v>
      </c>
      <c r="G766" s="4">
        <f t="shared" si="48"/>
        <v>0</v>
      </c>
      <c r="H766" s="3">
        <v>500</v>
      </c>
      <c r="I766" s="3"/>
      <c r="J766" s="3"/>
      <c r="K766" s="3"/>
      <c r="L766" s="3">
        <f t="shared" si="49"/>
        <v>0</v>
      </c>
      <c r="M766" s="3">
        <f t="shared" si="50"/>
        <v>0</v>
      </c>
      <c r="N766" s="3"/>
      <c r="O766" s="3"/>
      <c r="P766" s="3"/>
      <c r="Q766" s="3"/>
      <c r="R766" s="3"/>
    </row>
    <row r="767" spans="1:18" x14ac:dyDescent="0.25">
      <c r="A767" s="2">
        <v>46109</v>
      </c>
      <c r="B767" s="3" t="s">
        <v>48</v>
      </c>
      <c r="C767" s="3" t="s">
        <v>92</v>
      </c>
      <c r="D767" s="11" t="s">
        <v>1068</v>
      </c>
      <c r="E767" s="3"/>
      <c r="F767" s="3">
        <f>E767*5%</f>
        <v>0</v>
      </c>
      <c r="G767" s="4">
        <f t="shared" si="48"/>
        <v>0</v>
      </c>
      <c r="H767" s="3">
        <v>500</v>
      </c>
      <c r="I767" s="3"/>
      <c r="J767" s="3"/>
      <c r="K767" s="3"/>
      <c r="L767" s="3">
        <f t="shared" si="49"/>
        <v>0</v>
      </c>
      <c r="M767" s="3">
        <f t="shared" si="50"/>
        <v>0</v>
      </c>
      <c r="N767" s="3"/>
      <c r="O767" s="3"/>
      <c r="P767" s="3"/>
      <c r="Q767" s="3"/>
      <c r="R767" s="3"/>
    </row>
    <row r="768" spans="1:18" x14ac:dyDescent="0.25">
      <c r="A768" s="2">
        <v>46109</v>
      </c>
      <c r="B768" s="3" t="s">
        <v>48</v>
      </c>
      <c r="C768" s="3" t="s">
        <v>92</v>
      </c>
      <c r="D768" s="11" t="s">
        <v>1069</v>
      </c>
      <c r="E768" s="3"/>
      <c r="F768" s="3">
        <f>E768*5%</f>
        <v>0</v>
      </c>
      <c r="G768" s="4">
        <f t="shared" si="48"/>
        <v>0</v>
      </c>
      <c r="H768" s="3">
        <v>500</v>
      </c>
      <c r="I768" s="3"/>
      <c r="J768" s="3"/>
      <c r="K768" s="3"/>
      <c r="L768" s="3">
        <f t="shared" si="49"/>
        <v>0</v>
      </c>
      <c r="M768" s="3">
        <f t="shared" si="50"/>
        <v>0</v>
      </c>
      <c r="N768" s="3"/>
      <c r="O768" s="3"/>
      <c r="P768" s="3"/>
      <c r="Q768" s="3"/>
      <c r="R768" s="3"/>
    </row>
    <row r="769" spans="1:18" x14ac:dyDescent="0.25">
      <c r="A769" s="2">
        <v>46109</v>
      </c>
      <c r="B769" s="3" t="s">
        <v>48</v>
      </c>
      <c r="C769" s="3" t="s">
        <v>92</v>
      </c>
      <c r="D769" s="11" t="s">
        <v>1070</v>
      </c>
      <c r="E769" s="3"/>
      <c r="F769" s="3">
        <f>E769*5%</f>
        <v>0</v>
      </c>
      <c r="G769" s="4">
        <f t="shared" si="48"/>
        <v>0</v>
      </c>
      <c r="H769" s="3">
        <v>50</v>
      </c>
      <c r="I769" s="3"/>
      <c r="J769" s="3"/>
      <c r="K769" s="3"/>
      <c r="L769" s="3">
        <f t="shared" si="49"/>
        <v>0</v>
      </c>
      <c r="M769" s="3">
        <f t="shared" si="50"/>
        <v>0</v>
      </c>
      <c r="N769" s="3"/>
      <c r="O769" s="3"/>
      <c r="P769" s="3"/>
      <c r="Q769" s="3"/>
      <c r="R769" s="3"/>
    </row>
    <row r="770" spans="1:18" x14ac:dyDescent="0.25">
      <c r="A770" s="2">
        <v>46109</v>
      </c>
      <c r="B770" s="3" t="s">
        <v>48</v>
      </c>
      <c r="C770" s="3" t="s">
        <v>64</v>
      </c>
      <c r="D770" s="11" t="s">
        <v>1071</v>
      </c>
      <c r="E770" s="3">
        <v>100</v>
      </c>
      <c r="F770" s="3" t="s">
        <v>172</v>
      </c>
      <c r="G770" s="4">
        <f t="shared" si="48"/>
        <v>100</v>
      </c>
      <c r="H770" s="3"/>
      <c r="I770" s="3"/>
      <c r="J770" s="3"/>
      <c r="K770" s="3"/>
      <c r="L770" s="3">
        <f t="shared" si="49"/>
        <v>0</v>
      </c>
      <c r="M770" s="3">
        <f t="shared" si="50"/>
        <v>0</v>
      </c>
      <c r="N770" s="3"/>
      <c r="O770" s="3"/>
      <c r="P770" s="3"/>
      <c r="Q770" s="3"/>
      <c r="R770" s="3"/>
    </row>
    <row r="771" spans="1:18" x14ac:dyDescent="0.25">
      <c r="A771" s="2">
        <v>46109</v>
      </c>
      <c r="B771" s="3" t="s">
        <v>48</v>
      </c>
      <c r="C771" s="3" t="s">
        <v>49</v>
      </c>
      <c r="D771" s="11" t="s">
        <v>1072</v>
      </c>
      <c r="E771" s="3">
        <v>120</v>
      </c>
      <c r="F771" s="3" t="s">
        <v>172</v>
      </c>
      <c r="G771" s="4">
        <f t="shared" si="48"/>
        <v>120</v>
      </c>
      <c r="H771" s="3"/>
      <c r="I771" s="3"/>
      <c r="J771" s="3"/>
      <c r="K771" s="3"/>
      <c r="L771" s="3">
        <f t="shared" si="49"/>
        <v>0</v>
      </c>
      <c r="M771" s="3">
        <f t="shared" si="50"/>
        <v>0</v>
      </c>
      <c r="N771" s="3"/>
      <c r="O771" s="3"/>
      <c r="P771" s="3"/>
      <c r="Q771" s="3"/>
      <c r="R771" s="3"/>
    </row>
    <row r="772" spans="1:18" x14ac:dyDescent="0.25">
      <c r="A772" s="2">
        <v>46109</v>
      </c>
      <c r="B772" s="3" t="s">
        <v>48</v>
      </c>
      <c r="C772" s="3" t="s">
        <v>49</v>
      </c>
      <c r="D772" s="11" t="s">
        <v>1073</v>
      </c>
      <c r="E772" s="3">
        <v>92</v>
      </c>
      <c r="F772" s="3">
        <v>4.5</v>
      </c>
      <c r="G772" s="4">
        <f t="shared" si="48"/>
        <v>96.5</v>
      </c>
      <c r="H772" s="3"/>
      <c r="I772" s="3"/>
      <c r="J772" s="3"/>
      <c r="K772" s="3"/>
      <c r="L772" s="3">
        <f t="shared" si="49"/>
        <v>0</v>
      </c>
      <c r="M772" s="3">
        <f t="shared" si="50"/>
        <v>0</v>
      </c>
      <c r="N772" s="3"/>
      <c r="O772" s="3"/>
      <c r="P772" s="3"/>
      <c r="Q772" s="3"/>
      <c r="R772" s="3"/>
    </row>
    <row r="773" spans="1:18" x14ac:dyDescent="0.25">
      <c r="A773" s="2">
        <v>46111</v>
      </c>
      <c r="B773" s="3" t="s">
        <v>48</v>
      </c>
      <c r="C773" s="3" t="s">
        <v>73</v>
      </c>
      <c r="D773" s="11" t="s">
        <v>1074</v>
      </c>
      <c r="E773" s="3">
        <v>55</v>
      </c>
      <c r="F773" s="3" t="s">
        <v>172</v>
      </c>
      <c r="G773" s="4">
        <f t="shared" si="48"/>
        <v>55</v>
      </c>
      <c r="H773" s="3"/>
      <c r="I773" s="3"/>
      <c r="J773" s="3"/>
      <c r="K773" s="3"/>
      <c r="L773" s="3">
        <f t="shared" si="49"/>
        <v>0</v>
      </c>
      <c r="M773" s="3">
        <f t="shared" si="50"/>
        <v>0</v>
      </c>
      <c r="N773" s="3"/>
      <c r="O773" s="3"/>
      <c r="P773" s="3"/>
      <c r="Q773" s="3"/>
      <c r="R773" s="3"/>
    </row>
    <row r="774" spans="1:18" x14ac:dyDescent="0.25">
      <c r="A774" s="2">
        <v>46111</v>
      </c>
      <c r="B774" s="3" t="s">
        <v>48</v>
      </c>
      <c r="C774" s="3" t="s">
        <v>66</v>
      </c>
      <c r="D774" s="11" t="s">
        <v>1075</v>
      </c>
      <c r="E774" s="3">
        <v>50</v>
      </c>
      <c r="F774" s="3" t="s">
        <v>172</v>
      </c>
      <c r="G774" s="4">
        <f t="shared" si="48"/>
        <v>50</v>
      </c>
      <c r="H774" s="3"/>
      <c r="I774" s="3"/>
      <c r="J774" s="3"/>
      <c r="K774" s="3"/>
      <c r="L774" s="3">
        <f t="shared" si="49"/>
        <v>0</v>
      </c>
      <c r="M774" s="3">
        <f t="shared" si="50"/>
        <v>0</v>
      </c>
      <c r="N774" s="3"/>
      <c r="O774" s="3"/>
      <c r="P774" s="3"/>
      <c r="Q774" s="3"/>
      <c r="R774" s="3"/>
    </row>
    <row r="775" spans="1:18" x14ac:dyDescent="0.25">
      <c r="A775" s="2">
        <v>46112</v>
      </c>
      <c r="B775" s="3" t="s">
        <v>92</v>
      </c>
      <c r="C775" s="3" t="s">
        <v>91</v>
      </c>
      <c r="D775" s="11" t="s">
        <v>1076</v>
      </c>
      <c r="E775" s="3"/>
      <c r="F775" s="3">
        <f>E775*5%</f>
        <v>0</v>
      </c>
      <c r="G775" s="4">
        <f t="shared" si="48"/>
        <v>0</v>
      </c>
      <c r="H775" s="3">
        <v>-855</v>
      </c>
      <c r="I775" s="3"/>
      <c r="J775" s="3"/>
      <c r="K775" s="3"/>
      <c r="L775" s="3">
        <f t="shared" si="49"/>
        <v>0</v>
      </c>
      <c r="M775" s="3">
        <f t="shared" si="50"/>
        <v>0</v>
      </c>
      <c r="N775" s="3"/>
      <c r="O775" s="3"/>
      <c r="P775" s="3"/>
      <c r="Q775" s="3"/>
      <c r="R775" s="3"/>
    </row>
    <row r="776" spans="1:18" x14ac:dyDescent="0.25">
      <c r="A776" s="2">
        <v>46112</v>
      </c>
      <c r="B776" s="3" t="s">
        <v>48</v>
      </c>
      <c r="C776" s="3" t="s">
        <v>70</v>
      </c>
      <c r="D776" s="11" t="s">
        <v>1077</v>
      </c>
      <c r="E776" s="3">
        <v>16</v>
      </c>
      <c r="F776" s="3" t="s">
        <v>172</v>
      </c>
      <c r="G776" s="4">
        <f t="shared" si="48"/>
        <v>16</v>
      </c>
      <c r="H776" s="3"/>
      <c r="I776" s="3"/>
      <c r="J776" s="3"/>
      <c r="K776" s="3"/>
      <c r="L776" s="3">
        <f t="shared" si="49"/>
        <v>0</v>
      </c>
      <c r="M776" s="3">
        <f t="shared" si="50"/>
        <v>0</v>
      </c>
      <c r="N776" s="3"/>
      <c r="O776" s="3"/>
      <c r="P776" s="3"/>
      <c r="Q776" s="3"/>
      <c r="R776" s="3"/>
    </row>
    <row r="777" spans="1:18" x14ac:dyDescent="0.25">
      <c r="A777" s="2">
        <v>46112</v>
      </c>
      <c r="B777" s="3" t="s">
        <v>48</v>
      </c>
      <c r="C777" s="3" t="s">
        <v>65</v>
      </c>
      <c r="D777" s="11" t="s">
        <v>1078</v>
      </c>
      <c r="E777" s="3">
        <v>5000</v>
      </c>
      <c r="F777" s="3" t="s">
        <v>172</v>
      </c>
      <c r="G777" s="4">
        <f t="shared" si="48"/>
        <v>5000</v>
      </c>
      <c r="H777" s="3"/>
      <c r="I777" s="3"/>
      <c r="J777" s="3"/>
      <c r="K777" s="3"/>
      <c r="L777" s="3">
        <f t="shared" si="49"/>
        <v>0</v>
      </c>
      <c r="M777" s="3">
        <f t="shared" si="50"/>
        <v>0</v>
      </c>
      <c r="N777" s="3"/>
      <c r="O777" s="3"/>
      <c r="P777" s="3"/>
      <c r="Q777" s="3"/>
      <c r="R777" s="3"/>
    </row>
    <row r="778" spans="1:18" x14ac:dyDescent="0.25">
      <c r="A778" s="2">
        <v>46112</v>
      </c>
      <c r="B778" s="3" t="s">
        <v>48</v>
      </c>
      <c r="C778" s="3" t="s">
        <v>92</v>
      </c>
      <c r="D778" s="11" t="s">
        <v>1079</v>
      </c>
      <c r="E778" s="3"/>
      <c r="F778" s="3" t="s">
        <v>172</v>
      </c>
      <c r="G778" s="4">
        <f t="shared" si="48"/>
        <v>0</v>
      </c>
      <c r="H778" s="3">
        <v>1000</v>
      </c>
      <c r="I778" s="3"/>
      <c r="J778" s="3"/>
      <c r="K778" s="3"/>
      <c r="L778" s="3">
        <f t="shared" si="49"/>
        <v>0</v>
      </c>
      <c r="M778" s="3">
        <f t="shared" si="50"/>
        <v>0</v>
      </c>
      <c r="N778" s="3"/>
      <c r="O778" s="3"/>
      <c r="P778" s="3"/>
      <c r="Q778" s="3"/>
      <c r="R778" s="3"/>
    </row>
    <row r="779" spans="1:18" x14ac:dyDescent="0.25">
      <c r="A779" s="2">
        <v>46112</v>
      </c>
      <c r="B779" s="3" t="s">
        <v>48</v>
      </c>
      <c r="C779" s="3" t="s">
        <v>91</v>
      </c>
      <c r="D779" s="11" t="s">
        <v>1080</v>
      </c>
      <c r="E779" s="3">
        <v>5200</v>
      </c>
      <c r="F779" s="3" t="s">
        <v>172</v>
      </c>
      <c r="G779" s="4">
        <f t="shared" si="48"/>
        <v>5200</v>
      </c>
      <c r="H779" s="3"/>
      <c r="I779" s="3"/>
      <c r="J779" s="3"/>
      <c r="K779" s="3"/>
      <c r="L779" s="3">
        <f t="shared" si="49"/>
        <v>0</v>
      </c>
      <c r="M779" s="3">
        <f t="shared" si="50"/>
        <v>0</v>
      </c>
      <c r="N779" s="3"/>
      <c r="O779" s="3"/>
      <c r="P779" s="3"/>
      <c r="Q779" s="3"/>
      <c r="R779" s="3"/>
    </row>
    <row r="780" spans="1:18" x14ac:dyDescent="0.25">
      <c r="A780" s="2">
        <v>46112</v>
      </c>
      <c r="B780" s="3" t="s">
        <v>48</v>
      </c>
      <c r="C780" s="3" t="s">
        <v>92</v>
      </c>
      <c r="D780" s="11" t="s">
        <v>1081</v>
      </c>
      <c r="E780" s="3"/>
      <c r="F780" s="3" t="s">
        <v>172</v>
      </c>
      <c r="G780" s="4">
        <f t="shared" si="48"/>
        <v>0</v>
      </c>
      <c r="H780" s="3">
        <v>100</v>
      </c>
      <c r="I780" s="3"/>
      <c r="J780" s="3"/>
      <c r="K780" s="3"/>
      <c r="L780" s="3">
        <f t="shared" si="49"/>
        <v>0</v>
      </c>
      <c r="M780" s="3">
        <f t="shared" si="50"/>
        <v>0</v>
      </c>
      <c r="N780" s="3"/>
      <c r="O780" s="3"/>
      <c r="P780" s="3"/>
      <c r="Q780" s="3"/>
      <c r="R780" s="3"/>
    </row>
    <row r="781" spans="1:18" x14ac:dyDescent="0.25">
      <c r="A781" s="2">
        <v>46112</v>
      </c>
      <c r="B781" s="3" t="s">
        <v>48</v>
      </c>
      <c r="C781" s="3" t="s">
        <v>91</v>
      </c>
      <c r="D781" s="11" t="s">
        <v>1082</v>
      </c>
      <c r="E781" s="3">
        <v>2000</v>
      </c>
      <c r="F781" s="3" t="s">
        <v>172</v>
      </c>
      <c r="G781" s="4">
        <f t="shared" si="48"/>
        <v>2000</v>
      </c>
      <c r="H781" s="3"/>
      <c r="I781" s="3"/>
      <c r="J781" s="3"/>
      <c r="K781" s="3"/>
      <c r="L781" s="3">
        <f t="shared" si="49"/>
        <v>0</v>
      </c>
      <c r="M781" s="3">
        <f t="shared" si="50"/>
        <v>0</v>
      </c>
      <c r="N781" s="3"/>
      <c r="O781" s="3"/>
      <c r="P781" s="3"/>
      <c r="Q781" s="3"/>
      <c r="R781" s="3"/>
    </row>
    <row r="782" spans="1:18" x14ac:dyDescent="0.25">
      <c r="A782" s="2">
        <v>46112</v>
      </c>
      <c r="B782" s="3" t="s">
        <v>48</v>
      </c>
      <c r="C782" s="3" t="s">
        <v>91</v>
      </c>
      <c r="D782" s="11" t="s">
        <v>1083</v>
      </c>
      <c r="E782" s="3">
        <v>1850</v>
      </c>
      <c r="F782" s="3" t="s">
        <v>172</v>
      </c>
      <c r="G782" s="4">
        <f t="shared" si="48"/>
        <v>1850</v>
      </c>
      <c r="H782" s="3"/>
      <c r="I782" s="3"/>
      <c r="J782" s="3"/>
      <c r="K782" s="3"/>
      <c r="L782" s="3">
        <f t="shared" si="49"/>
        <v>0</v>
      </c>
      <c r="M782" s="3">
        <f t="shared" si="50"/>
        <v>0</v>
      </c>
      <c r="N782" s="3"/>
      <c r="O782" s="3"/>
      <c r="P782" s="3"/>
      <c r="Q782" s="3"/>
      <c r="R782" s="3"/>
    </row>
    <row r="783" spans="1:18" x14ac:dyDescent="0.25">
      <c r="A783" s="2">
        <v>46112</v>
      </c>
      <c r="B783" s="3" t="s">
        <v>48</v>
      </c>
      <c r="C783" s="3" t="s">
        <v>91</v>
      </c>
      <c r="D783" s="11" t="s">
        <v>1084</v>
      </c>
      <c r="E783" s="3">
        <v>1200</v>
      </c>
      <c r="F783" s="3" t="s">
        <v>172</v>
      </c>
      <c r="G783" s="4">
        <f t="shared" si="48"/>
        <v>1200</v>
      </c>
      <c r="H783" s="3"/>
      <c r="I783" s="3"/>
      <c r="J783" s="3"/>
      <c r="K783" s="3"/>
      <c r="L783" s="3">
        <f t="shared" si="49"/>
        <v>0</v>
      </c>
      <c r="M783" s="3">
        <f t="shared" si="50"/>
        <v>0</v>
      </c>
      <c r="N783" s="3"/>
      <c r="O783" s="3"/>
      <c r="P783" s="3"/>
      <c r="Q783" s="3"/>
      <c r="R783" s="3"/>
    </row>
    <row r="784" spans="1:18" x14ac:dyDescent="0.25">
      <c r="A784" s="2">
        <v>46112</v>
      </c>
      <c r="B784" s="3" t="s">
        <v>48</v>
      </c>
      <c r="C784" s="3" t="s">
        <v>91</v>
      </c>
      <c r="D784" s="11" t="s">
        <v>1085</v>
      </c>
      <c r="E784" s="3">
        <v>1000</v>
      </c>
      <c r="F784" s="3" t="s">
        <v>172</v>
      </c>
      <c r="G784" s="4">
        <f t="shared" si="48"/>
        <v>1000</v>
      </c>
      <c r="H784" s="3"/>
      <c r="I784" s="3"/>
      <c r="J784" s="3"/>
      <c r="K784" s="3"/>
      <c r="L784" s="3">
        <f t="shared" si="49"/>
        <v>0</v>
      </c>
      <c r="M784" s="3">
        <f t="shared" si="50"/>
        <v>0</v>
      </c>
      <c r="N784" s="3"/>
      <c r="O784" s="3"/>
      <c r="P784" s="3"/>
      <c r="Q784" s="3"/>
      <c r="R784" s="3"/>
    </row>
    <row r="785" spans="1:18" x14ac:dyDescent="0.25">
      <c r="A785" s="2">
        <v>46112</v>
      </c>
      <c r="B785" s="2" t="s">
        <v>286</v>
      </c>
      <c r="C785" s="3" t="s">
        <v>65</v>
      </c>
      <c r="D785" s="11" t="s">
        <v>1086</v>
      </c>
      <c r="E785" s="3">
        <v>1000</v>
      </c>
      <c r="F785" s="3" t="s">
        <v>172</v>
      </c>
      <c r="G785" s="4">
        <f t="shared" si="48"/>
        <v>1000</v>
      </c>
      <c r="H785" s="3"/>
      <c r="I785" s="3"/>
      <c r="J785" s="3"/>
      <c r="K785" s="3"/>
      <c r="L785" s="3">
        <f t="shared" si="49"/>
        <v>0</v>
      </c>
      <c r="M785" s="3">
        <f t="shared" si="50"/>
        <v>0</v>
      </c>
      <c r="N785" s="3"/>
      <c r="O785" s="3"/>
      <c r="P785" s="3"/>
      <c r="Q785" s="3"/>
      <c r="R785" s="3"/>
    </row>
    <row r="786" spans="1:18" x14ac:dyDescent="0.25">
      <c r="A786" s="2">
        <v>46112</v>
      </c>
      <c r="B786" s="3" t="s">
        <v>48</v>
      </c>
      <c r="C786" s="3" t="s">
        <v>90</v>
      </c>
      <c r="D786" s="11" t="s">
        <v>1087</v>
      </c>
      <c r="E786" s="3"/>
      <c r="F786" s="3">
        <f t="shared" ref="F786:F787" si="51">E786*5%</f>
        <v>0</v>
      </c>
      <c r="G786" s="4">
        <f t="shared" si="48"/>
        <v>0</v>
      </c>
      <c r="H786" s="3"/>
      <c r="I786" s="3"/>
      <c r="J786" s="3">
        <v>1000</v>
      </c>
      <c r="K786" s="3"/>
      <c r="L786" s="3">
        <f t="shared" si="49"/>
        <v>0</v>
      </c>
      <c r="M786" s="3">
        <f t="shared" si="50"/>
        <v>0</v>
      </c>
      <c r="N786" s="3"/>
      <c r="O786" s="3"/>
      <c r="P786" s="3"/>
      <c r="Q786" s="3"/>
      <c r="R786" s="3"/>
    </row>
    <row r="787" spans="1:18" x14ac:dyDescent="0.25">
      <c r="A787" s="2">
        <v>46112</v>
      </c>
      <c r="B787" s="3" t="s">
        <v>48</v>
      </c>
      <c r="C787" s="3" t="s">
        <v>92</v>
      </c>
      <c r="D787" s="11" t="s">
        <v>1088</v>
      </c>
      <c r="E787" s="3"/>
      <c r="F787" s="3">
        <f t="shared" si="51"/>
        <v>0</v>
      </c>
      <c r="G787" s="4">
        <f t="shared" si="48"/>
        <v>0</v>
      </c>
      <c r="H787" s="3">
        <v>100</v>
      </c>
      <c r="I787" s="3"/>
      <c r="J787" s="3"/>
      <c r="K787" s="3"/>
      <c r="L787" s="3">
        <f t="shared" si="49"/>
        <v>0</v>
      </c>
      <c r="M787" s="3">
        <f t="shared" si="50"/>
        <v>0</v>
      </c>
      <c r="N787" s="3"/>
      <c r="O787" s="3"/>
      <c r="P787" s="3"/>
      <c r="Q787" s="3"/>
      <c r="R787" s="3"/>
    </row>
    <row r="788" spans="1:18" x14ac:dyDescent="0.25">
      <c r="A788" s="2">
        <v>46112</v>
      </c>
      <c r="B788" s="3" t="s">
        <v>48</v>
      </c>
      <c r="C788" s="3" t="s">
        <v>49</v>
      </c>
      <c r="D788" s="11" t="s">
        <v>1089</v>
      </c>
      <c r="E788" s="3">
        <v>13</v>
      </c>
      <c r="F788" s="3" t="s">
        <v>172</v>
      </c>
      <c r="G788" s="4">
        <f t="shared" si="48"/>
        <v>13</v>
      </c>
      <c r="H788" s="3"/>
      <c r="I788" s="3"/>
      <c r="J788" s="3"/>
      <c r="K788" s="3"/>
      <c r="L788" s="3">
        <f t="shared" si="49"/>
        <v>0</v>
      </c>
      <c r="M788" s="3">
        <f t="shared" si="50"/>
        <v>0</v>
      </c>
      <c r="N788" s="3"/>
      <c r="O788" s="3"/>
      <c r="P788" s="3"/>
      <c r="Q788" s="3"/>
      <c r="R788" s="3"/>
    </row>
    <row r="789" spans="1:18" x14ac:dyDescent="0.25">
      <c r="A789" s="2">
        <v>46112</v>
      </c>
      <c r="B789" s="3" t="s">
        <v>48</v>
      </c>
      <c r="C789" s="3" t="s">
        <v>64</v>
      </c>
      <c r="D789" s="11" t="s">
        <v>1090</v>
      </c>
      <c r="E789" s="3">
        <v>100</v>
      </c>
      <c r="F789" s="3" t="s">
        <v>172</v>
      </c>
      <c r="G789" s="4">
        <f t="shared" si="48"/>
        <v>100</v>
      </c>
      <c r="H789" s="3"/>
      <c r="I789" s="3"/>
      <c r="J789" s="3"/>
      <c r="K789" s="3"/>
      <c r="L789" s="3">
        <f t="shared" si="49"/>
        <v>0</v>
      </c>
      <c r="M789" s="3">
        <f t="shared" si="50"/>
        <v>0</v>
      </c>
      <c r="N789" s="3"/>
      <c r="O789" s="3"/>
      <c r="P789" s="3"/>
      <c r="Q789" s="3"/>
      <c r="R789" s="3"/>
    </row>
    <row r="790" spans="1:18" x14ac:dyDescent="0.25">
      <c r="A790" s="2">
        <v>46112</v>
      </c>
      <c r="B790" s="2" t="s">
        <v>285</v>
      </c>
      <c r="C790" s="3" t="s">
        <v>225</v>
      </c>
      <c r="D790" s="11" t="s">
        <v>1091</v>
      </c>
      <c r="E790" s="3">
        <v>1706</v>
      </c>
      <c r="F790" s="3" t="s">
        <v>172</v>
      </c>
      <c r="G790" s="4">
        <f t="shared" si="48"/>
        <v>1706</v>
      </c>
      <c r="H790" s="3"/>
      <c r="I790" s="3"/>
      <c r="J790" s="3"/>
      <c r="K790" s="3"/>
      <c r="L790" s="3">
        <f t="shared" si="49"/>
        <v>0</v>
      </c>
      <c r="M790" s="3">
        <f t="shared" si="50"/>
        <v>0</v>
      </c>
      <c r="N790" s="3"/>
      <c r="O790" s="3"/>
      <c r="P790" s="3"/>
      <c r="Q790" s="3"/>
      <c r="R790" s="3"/>
    </row>
    <row r="791" spans="1:18" x14ac:dyDescent="0.25">
      <c r="A791" s="2">
        <v>46112</v>
      </c>
      <c r="B791" s="3" t="s">
        <v>289</v>
      </c>
      <c r="C791" s="3" t="s">
        <v>73</v>
      </c>
      <c r="D791" s="11" t="s">
        <v>1092</v>
      </c>
      <c r="E791" s="3">
        <v>26000</v>
      </c>
      <c r="F791" s="3" t="s">
        <v>172</v>
      </c>
      <c r="G791" s="4">
        <f t="shared" si="48"/>
        <v>26000</v>
      </c>
      <c r="H791" s="3"/>
      <c r="I791" s="3"/>
      <c r="J791" s="3"/>
      <c r="K791" s="3"/>
      <c r="L791" s="3">
        <f t="shared" si="49"/>
        <v>0</v>
      </c>
      <c r="M791" s="3">
        <f t="shared" si="50"/>
        <v>0</v>
      </c>
      <c r="N791" s="3"/>
      <c r="O791" s="3"/>
      <c r="P791" s="3"/>
      <c r="Q791" s="3"/>
      <c r="R791" s="3"/>
    </row>
    <row r="792" spans="1:18" x14ac:dyDescent="0.25">
      <c r="A792" s="2">
        <v>46111</v>
      </c>
      <c r="B792" s="3" t="s">
        <v>290</v>
      </c>
      <c r="C792" s="3" t="s">
        <v>56</v>
      </c>
      <c r="D792" s="11" t="s">
        <v>1093</v>
      </c>
      <c r="E792" s="3">
        <v>646</v>
      </c>
      <c r="F792" s="3" t="s">
        <v>172</v>
      </c>
      <c r="G792" s="4">
        <f t="shared" si="48"/>
        <v>646</v>
      </c>
      <c r="H792" s="3"/>
      <c r="I792" s="3"/>
      <c r="J792" s="3"/>
      <c r="K792" s="3"/>
      <c r="L792" s="3">
        <f t="shared" si="49"/>
        <v>0</v>
      </c>
      <c r="M792" s="3">
        <f t="shared" si="50"/>
        <v>0</v>
      </c>
      <c r="N792" s="3"/>
      <c r="O792" s="3"/>
      <c r="P792" s="3"/>
      <c r="Q792" s="3"/>
      <c r="R792" s="3"/>
    </row>
  </sheetData>
  <autoFilter ref="A1:R792" xr:uid="{633728B8-F090-4926-8E22-52714E545C1F}"/>
  <phoneticPr fontId="14" type="noConversion"/>
  <dataValidations count="3">
    <dataValidation type="list" allowBlank="1" showInputMessage="1" showErrorMessage="1" sqref="C1:C281 C285:C300 C304:C468" xr:uid="{E0D0C978-E5DD-421F-87A1-77093762BFD1}">
      <formula1>$U$1:$U$58</formula1>
    </dataValidation>
    <dataValidation type="list" allowBlank="1" showInputMessage="1" showErrorMessage="1" sqref="B1:B468 B516 B485 B488 B511 B537 B553:B555 B585 B594 B604:B606 B634:B635 B600 B646:B1048576" xr:uid="{353C685B-CE5D-4E21-A6FC-E006B0FC46EC}">
      <formula1>$V$1:$V$21</formula1>
    </dataValidation>
    <dataValidation type="list" allowBlank="1" showInputMessage="1" sqref="C282:C284 C301:C303 C469:C557 C559:C653" xr:uid="{18B0A9AA-DAAF-4A88-B318-2F559A895AE3}">
      <formula1>$U$1:$U$45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5CEBD-29BA-4740-B980-C92DE255FFD2}">
  <sheetPr codeName="Sheet4"/>
  <dimension ref="B8:AF128"/>
  <sheetViews>
    <sheetView showGridLines="0" topLeftCell="A103" workbookViewId="0">
      <selection activeCell="D52" sqref="D52"/>
    </sheetView>
  </sheetViews>
  <sheetFormatPr defaultRowHeight="15" x14ac:dyDescent="0.25"/>
  <cols>
    <col min="2" max="2" width="22.7109375" bestFit="1" customWidth="1"/>
    <col min="3" max="3" width="29.85546875" bestFit="1" customWidth="1"/>
    <col min="4" max="4" width="27.28515625" bestFit="1" customWidth="1"/>
    <col min="5" max="5" width="27.42578125" bestFit="1" customWidth="1"/>
    <col min="6" max="6" width="22.5703125" bestFit="1" customWidth="1"/>
    <col min="7" max="7" width="26.28515625" bestFit="1" customWidth="1"/>
    <col min="8" max="8" width="43.28515625" bestFit="1" customWidth="1"/>
    <col min="9" max="9" width="29.42578125" bestFit="1" customWidth="1"/>
    <col min="10" max="10" width="39" bestFit="1" customWidth="1"/>
    <col min="11" max="11" width="23.140625" bestFit="1" customWidth="1"/>
    <col min="12" max="12" width="22.5703125" bestFit="1" customWidth="1"/>
    <col min="13" max="13" width="28.140625" bestFit="1" customWidth="1"/>
    <col min="14" max="14" width="19.42578125" bestFit="1" customWidth="1"/>
    <col min="15" max="15" width="24.85546875" bestFit="1" customWidth="1"/>
    <col min="16" max="16" width="21.7109375" bestFit="1" customWidth="1"/>
    <col min="17" max="17" width="29.85546875" bestFit="1" customWidth="1"/>
    <col min="18" max="18" width="16.5703125" bestFit="1" customWidth="1"/>
    <col min="19" max="19" width="34.85546875" bestFit="1" customWidth="1"/>
    <col min="20" max="20" width="16.5703125" bestFit="1" customWidth="1"/>
    <col min="21" max="21" width="34.85546875" bestFit="1" customWidth="1"/>
    <col min="22" max="22" width="21.7109375" bestFit="1" customWidth="1"/>
    <col min="23" max="23" width="29.85546875" bestFit="1" customWidth="1"/>
    <col min="24" max="24" width="16.5703125" bestFit="1" customWidth="1"/>
    <col min="25" max="25" width="29.85546875" bestFit="1" customWidth="1"/>
    <col min="26" max="26" width="16.5703125" bestFit="1" customWidth="1"/>
    <col min="27" max="27" width="29.85546875" bestFit="1" customWidth="1"/>
    <col min="28" max="28" width="16.5703125" bestFit="1" customWidth="1"/>
    <col min="29" max="29" width="29.85546875" bestFit="1" customWidth="1"/>
    <col min="30" max="30" width="16.5703125" bestFit="1" customWidth="1"/>
    <col min="31" max="31" width="34.85546875" bestFit="1" customWidth="1"/>
    <col min="32" max="32" width="21.7109375" bestFit="1" customWidth="1"/>
  </cols>
  <sheetData>
    <row r="8" spans="2:10" x14ac:dyDescent="0.25">
      <c r="B8" s="3" t="s">
        <v>176</v>
      </c>
      <c r="C8" s="3" t="s">
        <v>177</v>
      </c>
      <c r="D8" s="3" t="s">
        <v>178</v>
      </c>
      <c r="E8" s="3" t="s">
        <v>179</v>
      </c>
      <c r="F8" s="3" t="s">
        <v>180</v>
      </c>
      <c r="G8" s="3" t="s">
        <v>181</v>
      </c>
      <c r="H8" s="3" t="s">
        <v>182</v>
      </c>
      <c r="I8" s="3" t="s">
        <v>183</v>
      </c>
      <c r="J8" s="3" t="s">
        <v>184</v>
      </c>
    </row>
    <row r="9" spans="2:10" x14ac:dyDescent="0.25">
      <c r="B9" s="3">
        <v>331071.83553101338</v>
      </c>
      <c r="C9" s="3">
        <v>292678.12680521182</v>
      </c>
      <c r="D9" s="3">
        <v>2622872.469000001</v>
      </c>
      <c r="E9" s="3">
        <v>299273.43192173366</v>
      </c>
      <c r="F9" s="3">
        <v>295661.13150284498</v>
      </c>
      <c r="G9" s="3">
        <v>1133857.8500000001</v>
      </c>
      <c r="H9" s="3">
        <v>786636</v>
      </c>
      <c r="I9" s="3">
        <v>10350</v>
      </c>
      <c r="J9" s="3"/>
    </row>
    <row r="10" spans="2:10" x14ac:dyDescent="0.25">
      <c r="B10" s="3" t="s">
        <v>185</v>
      </c>
      <c r="C10" s="3" t="s">
        <v>186</v>
      </c>
      <c r="D10" s="3" t="s">
        <v>187</v>
      </c>
      <c r="E10" s="3" t="s">
        <v>188</v>
      </c>
      <c r="F10" s="3" t="s">
        <v>189</v>
      </c>
      <c r="G10" s="3" t="s">
        <v>190</v>
      </c>
      <c r="H10" s="3" t="s">
        <v>191</v>
      </c>
      <c r="I10" s="83"/>
      <c r="J10" s="178"/>
    </row>
    <row r="11" spans="2:10" x14ac:dyDescent="0.25">
      <c r="B11" s="3">
        <v>11527.700369</v>
      </c>
      <c r="C11" s="3">
        <v>10141.50019972</v>
      </c>
      <c r="D11" s="3">
        <v>46332.824999999997</v>
      </c>
      <c r="E11" s="3">
        <v>7192.464888775</v>
      </c>
      <c r="F11" s="3">
        <v>7157.4356843311252</v>
      </c>
      <c r="G11" s="3">
        <v>30965.854500000001</v>
      </c>
      <c r="H11" s="3">
        <v>0</v>
      </c>
      <c r="I11" s="179"/>
      <c r="J11" s="180"/>
    </row>
    <row r="19" spans="2:15" x14ac:dyDescent="0.25">
      <c r="B19" s="3" t="s">
        <v>176</v>
      </c>
      <c r="C19" s="3" t="s">
        <v>177</v>
      </c>
      <c r="D19" s="3" t="s">
        <v>192</v>
      </c>
      <c r="E19" s="3" t="s">
        <v>179</v>
      </c>
      <c r="F19" s="3" t="s">
        <v>193</v>
      </c>
      <c r="G19" s="3" t="s">
        <v>181</v>
      </c>
      <c r="H19" s="3" t="s">
        <v>182</v>
      </c>
      <c r="I19" s="3" t="s">
        <v>183</v>
      </c>
      <c r="J19" s="3" t="s">
        <v>184</v>
      </c>
    </row>
    <row r="20" spans="2:15" x14ac:dyDescent="0.25">
      <c r="B20" s="3">
        <v>68106.083612433213</v>
      </c>
      <c r="C20" s="3">
        <v>59893.34205758122</v>
      </c>
      <c r="D20" s="3">
        <v>638430.47479999985</v>
      </c>
      <c r="E20" s="3">
        <v>95995.717442870489</v>
      </c>
      <c r="F20" s="3">
        <v>93152.306177814506</v>
      </c>
      <c r="G20" s="3">
        <v>336308</v>
      </c>
      <c r="H20" s="3"/>
      <c r="I20" s="3">
        <v>46219</v>
      </c>
      <c r="J20" s="3"/>
    </row>
    <row r="21" spans="2:15" x14ac:dyDescent="0.25">
      <c r="B21" s="3" t="s">
        <v>185</v>
      </c>
      <c r="C21" s="3" t="s">
        <v>186</v>
      </c>
      <c r="D21" s="3" t="s">
        <v>194</v>
      </c>
      <c r="E21" s="3" t="s">
        <v>188</v>
      </c>
      <c r="F21" s="3" t="s">
        <v>189</v>
      </c>
      <c r="G21" s="3" t="s">
        <v>195</v>
      </c>
      <c r="H21" s="3" t="s">
        <v>191</v>
      </c>
      <c r="I21" s="83"/>
      <c r="J21" s="178"/>
    </row>
    <row r="22" spans="2:15" x14ac:dyDescent="0.25">
      <c r="B22" s="3">
        <v>0</v>
      </c>
      <c r="C22" s="3">
        <v>0</v>
      </c>
      <c r="D22" s="3">
        <v>0</v>
      </c>
      <c r="E22" s="3">
        <v>17753.940268017497</v>
      </c>
      <c r="F22" s="3">
        <v>17667.503266677413</v>
      </c>
      <c r="G22" s="3">
        <v>45380.72071704</v>
      </c>
      <c r="H22" s="3">
        <v>0</v>
      </c>
      <c r="I22" s="179"/>
      <c r="J22" s="180"/>
    </row>
    <row r="31" spans="2:15" x14ac:dyDescent="0.25">
      <c r="B31" s="181" t="s">
        <v>175</v>
      </c>
      <c r="C31" s="3" t="s">
        <v>196</v>
      </c>
      <c r="D31" s="3" t="s">
        <v>294</v>
      </c>
      <c r="E31" s="3" t="s">
        <v>301</v>
      </c>
      <c r="F31" s="3" t="s">
        <v>197</v>
      </c>
      <c r="G31" s="3" t="s">
        <v>198</v>
      </c>
      <c r="H31" s="3" t="s">
        <v>199</v>
      </c>
      <c r="I31" s="3" t="s">
        <v>200</v>
      </c>
      <c r="J31" s="3" t="s">
        <v>201</v>
      </c>
      <c r="K31" s="3" t="s">
        <v>202</v>
      </c>
      <c r="L31" s="3" t="s">
        <v>203</v>
      </c>
      <c r="M31" s="3" t="s">
        <v>204</v>
      </c>
      <c r="N31" s="3" t="s">
        <v>205</v>
      </c>
      <c r="O31" s="3" t="s">
        <v>206</v>
      </c>
    </row>
    <row r="32" spans="2:15" x14ac:dyDescent="0.25">
      <c r="B32" s="169" t="s">
        <v>92</v>
      </c>
      <c r="C32" s="269">
        <v>2965</v>
      </c>
      <c r="D32" s="269">
        <v>0</v>
      </c>
      <c r="E32" s="4">
        <v>2965</v>
      </c>
      <c r="F32" s="269">
        <v>-855</v>
      </c>
      <c r="G32" s="269"/>
      <c r="H32" s="269"/>
      <c r="I32" s="269">
        <v>0</v>
      </c>
      <c r="J32" s="269">
        <v>0</v>
      </c>
      <c r="K32" s="269"/>
      <c r="L32" s="269"/>
      <c r="M32" s="269"/>
      <c r="N32" s="269"/>
      <c r="O32" s="269"/>
    </row>
    <row r="33" spans="2:15" x14ac:dyDescent="0.25">
      <c r="B33" s="169" t="s">
        <v>48</v>
      </c>
      <c r="C33" s="269">
        <v>1162035.2400476192</v>
      </c>
      <c r="D33" s="269">
        <v>5550.3705023809534</v>
      </c>
      <c r="E33" s="4">
        <v>1167585.6105500003</v>
      </c>
      <c r="F33" s="269">
        <v>109525</v>
      </c>
      <c r="G33" s="269">
        <v>121137.14</v>
      </c>
      <c r="H33" s="269"/>
      <c r="I33" s="269">
        <v>0</v>
      </c>
      <c r="J33" s="269">
        <v>0</v>
      </c>
      <c r="K33" s="269">
        <v>79635</v>
      </c>
      <c r="L33" s="269"/>
      <c r="M33" s="269">
        <v>54600</v>
      </c>
      <c r="N33" s="269"/>
      <c r="O33" s="269"/>
    </row>
    <row r="34" spans="2:15" x14ac:dyDescent="0.25">
      <c r="B34" s="169" t="s">
        <v>54</v>
      </c>
      <c r="C34" s="269">
        <v>59340</v>
      </c>
      <c r="D34" s="269">
        <v>2967</v>
      </c>
      <c r="E34" s="4">
        <v>62307</v>
      </c>
      <c r="F34" s="269"/>
      <c r="G34" s="269"/>
      <c r="H34" s="269"/>
      <c r="I34" s="269">
        <v>0</v>
      </c>
      <c r="J34" s="269">
        <v>0</v>
      </c>
      <c r="K34" s="269"/>
      <c r="L34" s="269"/>
      <c r="M34" s="269"/>
      <c r="N34" s="269"/>
      <c r="O34" s="269"/>
    </row>
    <row r="35" spans="2:15" x14ac:dyDescent="0.25">
      <c r="B35" s="169" t="s">
        <v>49</v>
      </c>
      <c r="C35" s="269"/>
      <c r="D35" s="269">
        <v>0</v>
      </c>
      <c r="E35" s="4">
        <v>0</v>
      </c>
      <c r="F35" s="269"/>
      <c r="G35" s="269">
        <v>12815</v>
      </c>
      <c r="H35" s="269"/>
      <c r="I35" s="269">
        <v>0</v>
      </c>
      <c r="J35" s="269">
        <v>0</v>
      </c>
      <c r="K35" s="269"/>
      <c r="L35" s="269"/>
      <c r="M35" s="269"/>
      <c r="N35" s="269"/>
      <c r="O35" s="269"/>
    </row>
    <row r="36" spans="2:15" s="275" customFormat="1" x14ac:dyDescent="0.25">
      <c r="B36" s="273" t="s">
        <v>292</v>
      </c>
      <c r="C36" s="270">
        <v>4123.5600000000004</v>
      </c>
      <c r="D36" s="270">
        <v>0</v>
      </c>
      <c r="E36" s="274">
        <v>4123.5600000000004</v>
      </c>
      <c r="F36" s="270"/>
      <c r="G36" s="270"/>
      <c r="H36" s="270"/>
      <c r="I36" s="270">
        <v>0</v>
      </c>
      <c r="J36" s="270">
        <v>0</v>
      </c>
      <c r="K36" s="270"/>
      <c r="L36" s="270"/>
      <c r="M36" s="270"/>
      <c r="N36" s="270"/>
      <c r="O36" s="270"/>
    </row>
    <row r="37" spans="2:15" x14ac:dyDescent="0.25">
      <c r="B37" s="169" t="s">
        <v>56</v>
      </c>
      <c r="C37" s="269"/>
      <c r="D37" s="269">
        <v>0</v>
      </c>
      <c r="E37" s="4">
        <v>0</v>
      </c>
      <c r="F37" s="269">
        <v>600</v>
      </c>
      <c r="G37" s="269"/>
      <c r="H37" s="269"/>
      <c r="I37" s="269">
        <v>0</v>
      </c>
      <c r="J37" s="269">
        <v>0</v>
      </c>
      <c r="K37" s="269"/>
      <c r="L37" s="269"/>
      <c r="M37" s="269"/>
      <c r="N37" s="269"/>
      <c r="O37" s="269"/>
    </row>
    <row r="38" spans="2:15" x14ac:dyDescent="0.25">
      <c r="B38" s="273" t="s">
        <v>291</v>
      </c>
      <c r="C38" s="270">
        <v>27386.55</v>
      </c>
      <c r="D38" s="270">
        <v>0</v>
      </c>
      <c r="E38" s="274">
        <v>27386.55</v>
      </c>
      <c r="F38" s="270">
        <v>1926</v>
      </c>
      <c r="G38" s="270"/>
      <c r="H38" s="270"/>
      <c r="I38" s="270">
        <v>0</v>
      </c>
      <c r="J38" s="270">
        <v>0</v>
      </c>
      <c r="K38" s="270"/>
      <c r="L38" s="270"/>
      <c r="M38" s="270"/>
      <c r="N38" s="270"/>
      <c r="O38" s="270"/>
    </row>
    <row r="39" spans="2:15" x14ac:dyDescent="0.25">
      <c r="B39" s="169" t="s">
        <v>287</v>
      </c>
      <c r="C39" s="269">
        <v>19039.47</v>
      </c>
      <c r="D39" s="269">
        <v>0</v>
      </c>
      <c r="E39" s="4">
        <v>19039.47</v>
      </c>
      <c r="F39" s="269">
        <v>10885.59</v>
      </c>
      <c r="G39" s="269"/>
      <c r="H39" s="269"/>
      <c r="I39" s="269">
        <v>0</v>
      </c>
      <c r="J39" s="269">
        <v>0</v>
      </c>
      <c r="K39" s="269"/>
      <c r="L39" s="269"/>
      <c r="M39" s="269"/>
      <c r="N39" s="269"/>
      <c r="O39" s="269"/>
    </row>
    <row r="40" spans="2:15" s="275" customFormat="1" x14ac:dyDescent="0.25">
      <c r="B40" s="273" t="s">
        <v>288</v>
      </c>
      <c r="C40" s="270">
        <v>200576.55</v>
      </c>
      <c r="D40" s="270">
        <v>7174.7825000000003</v>
      </c>
      <c r="E40" s="274">
        <v>207751.33249999999</v>
      </c>
      <c r="F40" s="270"/>
      <c r="G40" s="270"/>
      <c r="H40" s="270">
        <v>10709.29</v>
      </c>
      <c r="I40" s="270">
        <v>0</v>
      </c>
      <c r="J40" s="270">
        <v>10709.29</v>
      </c>
      <c r="K40" s="270"/>
      <c r="L40" s="270"/>
      <c r="M40" s="270"/>
      <c r="N40" s="270"/>
      <c r="O40" s="270"/>
    </row>
    <row r="41" spans="2:15" s="275" customFormat="1" x14ac:dyDescent="0.25">
      <c r="B41" s="273" t="s">
        <v>285</v>
      </c>
      <c r="C41" s="270">
        <v>26172.07</v>
      </c>
      <c r="D41" s="270">
        <v>0</v>
      </c>
      <c r="E41" s="274">
        <v>26172.07</v>
      </c>
      <c r="F41" s="270">
        <v>5827</v>
      </c>
      <c r="G41" s="270"/>
      <c r="H41" s="270">
        <v>-6532.47</v>
      </c>
      <c r="I41" s="270">
        <v>45</v>
      </c>
      <c r="J41" s="270">
        <v>-6487.47</v>
      </c>
      <c r="K41" s="270"/>
      <c r="L41" s="270"/>
      <c r="M41" s="270"/>
      <c r="N41" s="270"/>
      <c r="O41" s="270"/>
    </row>
    <row r="42" spans="2:15" x14ac:dyDescent="0.25">
      <c r="B42" s="169" t="s">
        <v>290</v>
      </c>
      <c r="C42" s="269">
        <v>11555.25</v>
      </c>
      <c r="D42" s="269">
        <v>0</v>
      </c>
      <c r="E42" s="4">
        <v>11555.25</v>
      </c>
      <c r="F42" s="269"/>
      <c r="G42" s="269"/>
      <c r="H42" s="269"/>
      <c r="I42" s="269">
        <v>0</v>
      </c>
      <c r="J42" s="269">
        <v>0</v>
      </c>
      <c r="K42" s="269"/>
      <c r="L42" s="269"/>
      <c r="M42" s="269"/>
      <c r="N42" s="269"/>
      <c r="O42" s="269"/>
    </row>
    <row r="43" spans="2:15" x14ac:dyDescent="0.25">
      <c r="B43" s="169" t="s">
        <v>289</v>
      </c>
      <c r="C43" s="269">
        <v>33600</v>
      </c>
      <c r="D43" s="269">
        <v>0</v>
      </c>
      <c r="E43" s="4">
        <v>33600</v>
      </c>
      <c r="F43" s="269"/>
      <c r="G43" s="269"/>
      <c r="H43" s="269"/>
      <c r="I43" s="269">
        <v>0</v>
      </c>
      <c r="J43" s="269">
        <v>0</v>
      </c>
      <c r="K43" s="269"/>
      <c r="L43" s="269"/>
      <c r="M43" s="269"/>
      <c r="N43" s="269"/>
      <c r="O43" s="269"/>
    </row>
    <row r="44" spans="2:15" x14ac:dyDescent="0.25">
      <c r="B44" s="169" t="s">
        <v>286</v>
      </c>
      <c r="C44" s="269">
        <v>13000</v>
      </c>
      <c r="D44" s="269">
        <v>0</v>
      </c>
      <c r="E44" s="4">
        <v>13000</v>
      </c>
      <c r="F44" s="269"/>
      <c r="G44" s="269"/>
      <c r="H44" s="269"/>
      <c r="I44" s="269">
        <v>0</v>
      </c>
      <c r="J44" s="269">
        <v>0</v>
      </c>
      <c r="K44" s="269"/>
      <c r="L44" s="269"/>
      <c r="M44" s="269"/>
      <c r="N44" s="269"/>
      <c r="O44" s="269"/>
    </row>
    <row r="45" spans="2:15" x14ac:dyDescent="0.25">
      <c r="B45" s="169" t="s">
        <v>174</v>
      </c>
      <c r="C45" s="269">
        <v>1559793.6900476194</v>
      </c>
      <c r="D45" s="269">
        <v>15692.153002380954</v>
      </c>
      <c r="E45" s="4">
        <v>1575485.8430500005</v>
      </c>
      <c r="F45" s="269">
        <v>127908.59</v>
      </c>
      <c r="G45" s="269">
        <v>133952.14000000001</v>
      </c>
      <c r="H45" s="269">
        <v>4176.8200000000006</v>
      </c>
      <c r="I45" s="269">
        <v>45</v>
      </c>
      <c r="J45" s="269">
        <v>4221.8200000000006</v>
      </c>
      <c r="K45" s="269">
        <v>79635</v>
      </c>
      <c r="L45" s="269"/>
      <c r="M45" s="269">
        <v>54600</v>
      </c>
      <c r="N45" s="269"/>
      <c r="O45" s="269"/>
    </row>
    <row r="69" spans="2:32" x14ac:dyDescent="0.25">
      <c r="B69" s="3"/>
      <c r="C69" s="181" t="s">
        <v>173</v>
      </c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</row>
    <row r="70" spans="2:32" x14ac:dyDescent="0.25">
      <c r="B70" s="3"/>
      <c r="C70" s="3" t="s">
        <v>48</v>
      </c>
      <c r="D70" s="3"/>
      <c r="E70" s="3" t="s">
        <v>293</v>
      </c>
      <c r="F70" s="3"/>
      <c r="G70" s="3" t="s">
        <v>49</v>
      </c>
      <c r="H70" s="3"/>
      <c r="I70" s="3" t="s">
        <v>92</v>
      </c>
      <c r="J70" s="3"/>
      <c r="K70" s="3" t="s">
        <v>56</v>
      </c>
      <c r="L70" s="3"/>
      <c r="M70" s="3" t="s">
        <v>54</v>
      </c>
      <c r="N70" s="3"/>
      <c r="O70" s="3" t="s">
        <v>287</v>
      </c>
      <c r="P70" s="3"/>
      <c r="Q70" s="3" t="s">
        <v>285</v>
      </c>
      <c r="R70" s="3"/>
      <c r="S70" s="3" t="s">
        <v>292</v>
      </c>
      <c r="T70" s="3"/>
      <c r="U70" s="3" t="s">
        <v>288</v>
      </c>
      <c r="V70" s="3"/>
      <c r="W70" s="3" t="s">
        <v>286</v>
      </c>
      <c r="X70" s="3"/>
      <c r="Y70" s="3" t="s">
        <v>291</v>
      </c>
      <c r="Z70" s="3"/>
      <c r="AA70" s="3" t="s">
        <v>289</v>
      </c>
      <c r="AB70" s="3"/>
      <c r="AC70" s="3" t="s">
        <v>290</v>
      </c>
      <c r="AD70" s="3"/>
      <c r="AE70" s="3" t="s">
        <v>207</v>
      </c>
      <c r="AF70" s="3" t="s">
        <v>208</v>
      </c>
    </row>
    <row r="71" spans="2:32" x14ac:dyDescent="0.25">
      <c r="B71" s="181" t="s">
        <v>175</v>
      </c>
      <c r="C71" s="3" t="s">
        <v>196</v>
      </c>
      <c r="D71" s="3" t="s">
        <v>202</v>
      </c>
      <c r="E71" s="3" t="s">
        <v>196</v>
      </c>
      <c r="F71" s="3" t="s">
        <v>202</v>
      </c>
      <c r="G71" s="3" t="s">
        <v>196</v>
      </c>
      <c r="H71" s="3" t="s">
        <v>202</v>
      </c>
      <c r="I71" s="3" t="s">
        <v>196</v>
      </c>
      <c r="J71" s="3" t="s">
        <v>202</v>
      </c>
      <c r="K71" s="3" t="s">
        <v>196</v>
      </c>
      <c r="L71" s="3" t="s">
        <v>202</v>
      </c>
      <c r="M71" s="3" t="s">
        <v>196</v>
      </c>
      <c r="N71" s="3" t="s">
        <v>202</v>
      </c>
      <c r="O71" s="3" t="s">
        <v>196</v>
      </c>
      <c r="P71" s="3" t="s">
        <v>202</v>
      </c>
      <c r="Q71" s="3" t="s">
        <v>196</v>
      </c>
      <c r="R71" s="3" t="s">
        <v>202</v>
      </c>
      <c r="S71" s="3" t="s">
        <v>196</v>
      </c>
      <c r="T71" s="3" t="s">
        <v>202</v>
      </c>
      <c r="U71" s="3" t="s">
        <v>196</v>
      </c>
      <c r="V71" s="3" t="s">
        <v>202</v>
      </c>
      <c r="W71" s="3" t="s">
        <v>196</v>
      </c>
      <c r="X71" s="3" t="s">
        <v>202</v>
      </c>
      <c r="Y71" s="3" t="s">
        <v>196</v>
      </c>
      <c r="Z71" s="3" t="s">
        <v>202</v>
      </c>
      <c r="AA71" s="3" t="s">
        <v>196</v>
      </c>
      <c r="AB71" s="3" t="s">
        <v>202</v>
      </c>
      <c r="AC71" s="3" t="s">
        <v>196</v>
      </c>
      <c r="AD71" s="3" t="s">
        <v>202</v>
      </c>
      <c r="AE71" s="3"/>
      <c r="AF71" s="3"/>
    </row>
    <row r="72" spans="2:32" x14ac:dyDescent="0.25">
      <c r="B72" s="169" t="s">
        <v>49</v>
      </c>
      <c r="C72" s="3">
        <v>85762.758571428581</v>
      </c>
      <c r="D72" s="3">
        <v>9205</v>
      </c>
      <c r="E72" s="3"/>
      <c r="F72" s="3"/>
      <c r="G72" s="3"/>
      <c r="H72" s="3"/>
      <c r="I72" s="3"/>
      <c r="J72" s="3"/>
      <c r="K72" s="3"/>
      <c r="L72" s="3"/>
      <c r="M72" s="3"/>
      <c r="N72" s="3"/>
      <c r="O72" s="3">
        <v>10451.459999999999</v>
      </c>
      <c r="P72" s="3"/>
      <c r="Q72" s="3">
        <v>2740.8200000000006</v>
      </c>
      <c r="R72" s="3"/>
      <c r="S72" s="3"/>
      <c r="T72" s="3"/>
      <c r="U72" s="3"/>
      <c r="V72" s="3"/>
      <c r="W72" s="3"/>
      <c r="X72" s="3"/>
      <c r="Y72" s="3">
        <v>25886.55</v>
      </c>
      <c r="Z72" s="3"/>
      <c r="AA72" s="3"/>
      <c r="AB72" s="3"/>
      <c r="AC72" s="3"/>
      <c r="AD72" s="3"/>
      <c r="AE72" s="243">
        <v>124841.5885714286</v>
      </c>
      <c r="AF72" s="243">
        <v>9205</v>
      </c>
    </row>
    <row r="73" spans="2:32" x14ac:dyDescent="0.25">
      <c r="B73" s="169" t="s">
        <v>73</v>
      </c>
      <c r="C73" s="3">
        <v>89606</v>
      </c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>
        <v>33600</v>
      </c>
      <c r="AB73" s="3"/>
      <c r="AC73" s="3"/>
      <c r="AD73" s="3"/>
      <c r="AE73" s="243">
        <v>123206</v>
      </c>
      <c r="AF73" s="3"/>
    </row>
    <row r="74" spans="2:32" x14ac:dyDescent="0.25">
      <c r="B74" s="169" t="s">
        <v>68</v>
      </c>
      <c r="C74" s="3">
        <v>482.10000000000008</v>
      </c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>
        <v>202</v>
      </c>
      <c r="R74" s="3"/>
      <c r="S74" s="3">
        <v>735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243">
        <v>1419.1000000000001</v>
      </c>
      <c r="AF74" s="3"/>
    </row>
    <row r="75" spans="2:32" x14ac:dyDescent="0.25">
      <c r="B75" s="169" t="s">
        <v>70</v>
      </c>
      <c r="C75" s="3">
        <v>1541.25</v>
      </c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243">
        <v>1541.25</v>
      </c>
      <c r="AF75" s="3"/>
    </row>
    <row r="76" spans="2:32" x14ac:dyDescent="0.25">
      <c r="B76" s="169" t="s">
        <v>293</v>
      </c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</row>
    <row r="77" spans="2:32" x14ac:dyDescent="0.25">
      <c r="B77" s="169" t="s">
        <v>84</v>
      </c>
      <c r="C77" s="3">
        <v>936.25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243">
        <v>936.25</v>
      </c>
      <c r="AF77" s="3"/>
    </row>
    <row r="78" spans="2:32" x14ac:dyDescent="0.25">
      <c r="B78" s="169" t="s">
        <v>92</v>
      </c>
      <c r="C78" s="3">
        <v>0</v>
      </c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>
        <v>0</v>
      </c>
      <c r="AF78" s="3"/>
    </row>
    <row r="79" spans="2:32" x14ac:dyDescent="0.25">
      <c r="B79" s="169" t="s">
        <v>64</v>
      </c>
      <c r="C79" s="3">
        <v>7213</v>
      </c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243">
        <v>7213</v>
      </c>
      <c r="AF79" s="3"/>
    </row>
    <row r="80" spans="2:32" x14ac:dyDescent="0.25">
      <c r="B80" s="169" t="s">
        <v>91</v>
      </c>
      <c r="C80" s="3">
        <v>700294</v>
      </c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243">
        <v>700294</v>
      </c>
      <c r="AF80" s="3"/>
    </row>
    <row r="81" spans="2:32" x14ac:dyDescent="0.25">
      <c r="B81" s="169" t="s">
        <v>75</v>
      </c>
      <c r="C81" s="3">
        <v>1800</v>
      </c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>
        <v>8088.01</v>
      </c>
      <c r="P81" s="3"/>
      <c r="Q81" s="3">
        <v>7323.81</v>
      </c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243">
        <v>17211.82</v>
      </c>
      <c r="AF81" s="3"/>
    </row>
    <row r="82" spans="2:32" x14ac:dyDescent="0.25">
      <c r="B82" s="169" t="s">
        <v>76</v>
      </c>
      <c r="C82" s="3">
        <v>1102</v>
      </c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243">
        <v>1102</v>
      </c>
      <c r="AF82" s="3"/>
    </row>
    <row r="83" spans="2:32" x14ac:dyDescent="0.25">
      <c r="B83" s="169" t="s">
        <v>56</v>
      </c>
      <c r="C83" s="3">
        <v>3000</v>
      </c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>
        <v>7339.75</v>
      </c>
      <c r="AD83" s="3"/>
      <c r="AE83" s="243">
        <v>10339.75</v>
      </c>
      <c r="AF83" s="3"/>
    </row>
    <row r="84" spans="2:32" x14ac:dyDescent="0.25">
      <c r="B84" s="169" t="s">
        <v>90</v>
      </c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</row>
    <row r="85" spans="2:32" x14ac:dyDescent="0.25">
      <c r="B85" s="169" t="s">
        <v>51</v>
      </c>
      <c r="C85" s="3">
        <v>1095.2443333333333</v>
      </c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243">
        <v>1095.2443333333333</v>
      </c>
      <c r="AF85" s="3"/>
    </row>
    <row r="86" spans="2:32" x14ac:dyDescent="0.25">
      <c r="B86" s="169" t="s">
        <v>93</v>
      </c>
      <c r="C86" s="3">
        <v>40600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243">
        <v>40600</v>
      </c>
      <c r="AF86" s="3"/>
    </row>
    <row r="87" spans="2:32" x14ac:dyDescent="0.25">
      <c r="B87" s="169" t="s">
        <v>78</v>
      </c>
      <c r="C87" s="3">
        <v>4431.95</v>
      </c>
      <c r="D87" s="3">
        <v>70430</v>
      </c>
      <c r="E87" s="3"/>
      <c r="F87" s="3"/>
      <c r="G87" s="3"/>
      <c r="H87" s="3"/>
      <c r="I87" s="3">
        <v>2965</v>
      </c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243">
        <v>7396.95</v>
      </c>
      <c r="AF87" s="243">
        <v>70430</v>
      </c>
    </row>
    <row r="88" spans="2:32" x14ac:dyDescent="0.25">
      <c r="B88" s="169" t="s">
        <v>62</v>
      </c>
      <c r="C88" s="3">
        <v>770</v>
      </c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243">
        <v>770</v>
      </c>
      <c r="AF88" s="3"/>
    </row>
    <row r="89" spans="2:32" x14ac:dyDescent="0.25">
      <c r="B89" s="169" t="s">
        <v>88</v>
      </c>
      <c r="C89" s="3">
        <v>4362</v>
      </c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>
        <v>196</v>
      </c>
      <c r="R89" s="3"/>
      <c r="S89" s="3"/>
      <c r="T89" s="3"/>
      <c r="U89" s="3">
        <v>15388</v>
      </c>
      <c r="V89" s="3"/>
      <c r="W89" s="3"/>
      <c r="X89" s="3"/>
      <c r="Y89" s="3"/>
      <c r="Z89" s="3"/>
      <c r="AA89" s="3"/>
      <c r="AB89" s="3"/>
      <c r="AC89" s="3"/>
      <c r="AD89" s="3"/>
      <c r="AE89" s="243">
        <v>19946</v>
      </c>
      <c r="AF89" s="3"/>
    </row>
    <row r="90" spans="2:32" x14ac:dyDescent="0.25">
      <c r="B90" s="169" t="s">
        <v>81</v>
      </c>
      <c r="C90" s="3">
        <v>2500</v>
      </c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>
        <v>500</v>
      </c>
      <c r="P90" s="3"/>
      <c r="Q90" s="3">
        <v>4150</v>
      </c>
      <c r="R90" s="3"/>
      <c r="S90" s="3"/>
      <c r="T90" s="3"/>
      <c r="U90" s="3"/>
      <c r="V90" s="3"/>
      <c r="W90" s="3"/>
      <c r="X90" s="3"/>
      <c r="Y90" s="3">
        <v>500</v>
      </c>
      <c r="Z90" s="3"/>
      <c r="AA90" s="3"/>
      <c r="AB90" s="3"/>
      <c r="AC90" s="3"/>
      <c r="AD90" s="3"/>
      <c r="AE90" s="243">
        <v>7650</v>
      </c>
      <c r="AF90" s="3"/>
    </row>
    <row r="91" spans="2:32" x14ac:dyDescent="0.25">
      <c r="B91" s="169" t="s">
        <v>61</v>
      </c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>
        <v>6000</v>
      </c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243">
        <v>6000</v>
      </c>
      <c r="AF91" s="3"/>
    </row>
    <row r="92" spans="2:32" x14ac:dyDescent="0.25">
      <c r="B92" s="169" t="s">
        <v>66</v>
      </c>
      <c r="C92" s="3">
        <v>1563</v>
      </c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>
        <v>161.59</v>
      </c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243">
        <v>1724.59</v>
      </c>
      <c r="AF92" s="3"/>
    </row>
    <row r="93" spans="2:32" x14ac:dyDescent="0.25">
      <c r="B93" s="169" t="s">
        <v>80</v>
      </c>
      <c r="C93" s="3">
        <v>6945.9471428571433</v>
      </c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243">
        <v>6945.9471428571433</v>
      </c>
      <c r="AF93" s="3"/>
    </row>
    <row r="94" spans="2:32" x14ac:dyDescent="0.25">
      <c r="B94" s="169" t="s">
        <v>67</v>
      </c>
      <c r="C94" s="3">
        <v>45</v>
      </c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243">
        <v>45</v>
      </c>
      <c r="AF94" s="3"/>
    </row>
    <row r="95" spans="2:32" x14ac:dyDescent="0.25">
      <c r="B95" s="169" t="s">
        <v>59</v>
      </c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>
        <v>2389.48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243">
        <v>2389.48</v>
      </c>
      <c r="AF95" s="3"/>
    </row>
    <row r="96" spans="2:32" x14ac:dyDescent="0.25">
      <c r="B96" s="169" t="s">
        <v>151</v>
      </c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>
        <v>41400</v>
      </c>
      <c r="V96" s="3"/>
      <c r="W96" s="3"/>
      <c r="X96" s="3"/>
      <c r="Y96" s="3"/>
      <c r="Z96" s="3"/>
      <c r="AA96" s="3"/>
      <c r="AB96" s="3"/>
      <c r="AC96" s="3"/>
      <c r="AD96" s="3"/>
      <c r="AE96" s="243">
        <v>41400</v>
      </c>
      <c r="AF96" s="3"/>
    </row>
    <row r="97" spans="2:32" x14ac:dyDescent="0.25">
      <c r="B97" s="169" t="s">
        <v>82</v>
      </c>
      <c r="C97" s="3">
        <v>2134.0100000000002</v>
      </c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>
        <v>181.85</v>
      </c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243">
        <v>2315.86</v>
      </c>
      <c r="AF97" s="3"/>
    </row>
    <row r="98" spans="2:32" x14ac:dyDescent="0.25">
      <c r="B98" s="169" t="s">
        <v>71</v>
      </c>
      <c r="C98" s="3">
        <v>3312.62</v>
      </c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243">
        <v>3312.62</v>
      </c>
      <c r="AF98" s="3"/>
    </row>
    <row r="99" spans="2:32" x14ac:dyDescent="0.25">
      <c r="B99" s="169" t="s">
        <v>65</v>
      </c>
      <c r="C99" s="3">
        <v>16000</v>
      </c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>
        <v>13000</v>
      </c>
      <c r="X99" s="3"/>
      <c r="Y99" s="3"/>
      <c r="Z99" s="3"/>
      <c r="AA99" s="3"/>
      <c r="AB99" s="3"/>
      <c r="AC99" s="3"/>
      <c r="AD99" s="3"/>
      <c r="AE99" s="243">
        <v>29000</v>
      </c>
      <c r="AF99" s="3"/>
    </row>
    <row r="100" spans="2:32" x14ac:dyDescent="0.25">
      <c r="B100" s="169" t="s">
        <v>74</v>
      </c>
      <c r="C100" s="3">
        <v>9379.75</v>
      </c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243">
        <v>9379.75</v>
      </c>
      <c r="AF100" s="3"/>
    </row>
    <row r="101" spans="2:32" x14ac:dyDescent="0.25">
      <c r="B101" s="169" t="s">
        <v>95</v>
      </c>
      <c r="C101" s="3">
        <v>0</v>
      </c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>
        <v>0</v>
      </c>
      <c r="AF101" s="3"/>
    </row>
    <row r="102" spans="2:32" x14ac:dyDescent="0.25">
      <c r="B102" s="169" t="s">
        <v>216</v>
      </c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</row>
    <row r="103" spans="2:32" x14ac:dyDescent="0.25">
      <c r="B103" s="169" t="s">
        <v>217</v>
      </c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>
        <v>37976.400000000001</v>
      </c>
      <c r="V103" s="3"/>
      <c r="W103" s="3"/>
      <c r="X103" s="3"/>
      <c r="Y103" s="3"/>
      <c r="Z103" s="3"/>
      <c r="AA103" s="3"/>
      <c r="AB103" s="3"/>
      <c r="AC103" s="3"/>
      <c r="AD103" s="3"/>
      <c r="AE103" s="243">
        <v>37976.400000000001</v>
      </c>
      <c r="AF103" s="3"/>
    </row>
    <row r="104" spans="2:32" x14ac:dyDescent="0.25">
      <c r="B104" s="169" t="s">
        <v>58</v>
      </c>
      <c r="C104" s="3">
        <v>280</v>
      </c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>
        <v>280</v>
      </c>
      <c r="AF104" s="3"/>
    </row>
    <row r="105" spans="2:32" x14ac:dyDescent="0.25">
      <c r="B105" s="169" t="s">
        <v>85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>
        <v>32142.5</v>
      </c>
      <c r="N105" s="3"/>
      <c r="O105" s="3"/>
      <c r="P105" s="3"/>
      <c r="Q105" s="3"/>
      <c r="R105" s="3"/>
      <c r="S105" s="3"/>
      <c r="T105" s="3"/>
      <c r="U105" s="3">
        <v>61216.75</v>
      </c>
      <c r="V105" s="3"/>
      <c r="W105" s="3"/>
      <c r="X105" s="3"/>
      <c r="Y105" s="3"/>
      <c r="Z105" s="3"/>
      <c r="AA105" s="3"/>
      <c r="AB105" s="3"/>
      <c r="AC105" s="3"/>
      <c r="AD105" s="3"/>
      <c r="AE105" s="3">
        <v>93359.25</v>
      </c>
      <c r="AF105" s="3"/>
    </row>
    <row r="106" spans="2:32" x14ac:dyDescent="0.25">
      <c r="B106" s="169" t="s">
        <v>86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>
        <v>9890</v>
      </c>
      <c r="N106" s="3"/>
      <c r="O106" s="3"/>
      <c r="P106" s="3"/>
      <c r="Q106" s="3"/>
      <c r="R106" s="3"/>
      <c r="S106" s="3"/>
      <c r="T106" s="3"/>
      <c r="U106" s="3">
        <v>16110</v>
      </c>
      <c r="V106" s="3"/>
      <c r="W106" s="3"/>
      <c r="X106" s="3"/>
      <c r="Y106" s="3"/>
      <c r="Z106" s="3"/>
      <c r="AA106" s="3"/>
      <c r="AB106" s="3"/>
      <c r="AC106" s="3"/>
      <c r="AD106" s="3"/>
      <c r="AE106" s="3">
        <v>26000</v>
      </c>
      <c r="AF106" s="3"/>
    </row>
    <row r="107" spans="2:32" x14ac:dyDescent="0.25">
      <c r="B107" s="169" t="s">
        <v>87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>
        <v>17307.5</v>
      </c>
      <c r="N107" s="3"/>
      <c r="O107" s="3"/>
      <c r="P107" s="3"/>
      <c r="Q107" s="3"/>
      <c r="R107" s="3"/>
      <c r="S107" s="3"/>
      <c r="T107" s="3"/>
      <c r="U107" s="3">
        <v>28192.5</v>
      </c>
      <c r="V107" s="3"/>
      <c r="W107" s="3"/>
      <c r="X107" s="3"/>
      <c r="Y107" s="3"/>
      <c r="Z107" s="3"/>
      <c r="AA107" s="3"/>
      <c r="AB107" s="3"/>
      <c r="AC107" s="3"/>
      <c r="AD107" s="3"/>
      <c r="AE107" s="3">
        <v>45500</v>
      </c>
      <c r="AF107" s="3"/>
    </row>
    <row r="108" spans="2:32" x14ac:dyDescent="0.25">
      <c r="B108" s="169" t="s">
        <v>53</v>
      </c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>
        <v>292.89999999999998</v>
      </c>
      <c r="V108" s="3"/>
      <c r="W108" s="3"/>
      <c r="X108" s="3"/>
      <c r="Y108" s="3"/>
      <c r="Z108" s="3"/>
      <c r="AA108" s="3"/>
      <c r="AB108" s="3"/>
      <c r="AC108" s="3"/>
      <c r="AD108" s="3"/>
      <c r="AE108" s="3">
        <v>292.89999999999998</v>
      </c>
      <c r="AF108" s="3"/>
    </row>
    <row r="109" spans="2:32" x14ac:dyDescent="0.25">
      <c r="B109" s="169" t="s">
        <v>77</v>
      </c>
      <c r="C109" s="3">
        <v>16211.97</v>
      </c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>
        <v>16211.97</v>
      </c>
      <c r="AF109" s="3"/>
    </row>
    <row r="110" spans="2:32" x14ac:dyDescent="0.25">
      <c r="B110" s="169" t="s">
        <v>83</v>
      </c>
      <c r="C110" s="3">
        <v>2433.6800000000003</v>
      </c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>
        <v>2433.6800000000003</v>
      </c>
      <c r="AF110" s="3"/>
    </row>
    <row r="111" spans="2:32" x14ac:dyDescent="0.25">
      <c r="B111" s="169" t="s">
        <v>96</v>
      </c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</row>
    <row r="112" spans="2:32" x14ac:dyDescent="0.25">
      <c r="B112" s="169" t="s">
        <v>98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</row>
    <row r="113" spans="2:32" x14ac:dyDescent="0.25">
      <c r="B113" s="169" t="s">
        <v>99</v>
      </c>
      <c r="C113" s="3">
        <v>40221.96</v>
      </c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>
        <v>40221.96</v>
      </c>
      <c r="AF113" s="3"/>
    </row>
    <row r="114" spans="2:32" x14ac:dyDescent="0.25">
      <c r="B114" s="169" t="s">
        <v>100</v>
      </c>
      <c r="C114" s="3">
        <v>7875</v>
      </c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>
        <v>7875</v>
      </c>
      <c r="AF114" s="3"/>
    </row>
    <row r="115" spans="2:32" x14ac:dyDescent="0.25">
      <c r="B115" s="169" t="s">
        <v>101</v>
      </c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</row>
    <row r="116" spans="2:32" x14ac:dyDescent="0.25">
      <c r="B116" s="169" t="s">
        <v>102</v>
      </c>
      <c r="C116" s="3">
        <v>160</v>
      </c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>
        <v>160</v>
      </c>
      <c r="AF116" s="3"/>
    </row>
    <row r="117" spans="2:32" x14ac:dyDescent="0.25">
      <c r="B117" s="169" t="s">
        <v>52</v>
      </c>
      <c r="C117" s="3">
        <v>385</v>
      </c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>
        <v>385</v>
      </c>
      <c r="AF117" s="3"/>
    </row>
    <row r="118" spans="2:32" x14ac:dyDescent="0.25">
      <c r="B118" s="169" t="s">
        <v>55</v>
      </c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>
        <v>4215.5</v>
      </c>
      <c r="AD118" s="3"/>
      <c r="AE118" s="3">
        <v>4215.5</v>
      </c>
      <c r="AF118" s="3"/>
    </row>
    <row r="119" spans="2:32" x14ac:dyDescent="0.25">
      <c r="B119" s="169" t="s">
        <v>220</v>
      </c>
      <c r="C119" s="3">
        <v>100000</v>
      </c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>
        <v>100000</v>
      </c>
      <c r="AF119" s="3"/>
    </row>
    <row r="120" spans="2:32" x14ac:dyDescent="0.25">
      <c r="B120" s="169" t="s">
        <v>63</v>
      </c>
      <c r="C120" s="3">
        <v>3937</v>
      </c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>
        <v>3937</v>
      </c>
      <c r="AF120" s="3"/>
    </row>
    <row r="121" spans="2:32" x14ac:dyDescent="0.25">
      <c r="B121" s="169" t="s">
        <v>221</v>
      </c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</row>
    <row r="122" spans="2:32" x14ac:dyDescent="0.25">
      <c r="B122" s="169" t="s">
        <v>222</v>
      </c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>
        <v>1000</v>
      </c>
      <c r="Z122" s="3"/>
      <c r="AA122" s="3"/>
      <c r="AB122" s="3"/>
      <c r="AC122" s="3"/>
      <c r="AD122" s="3"/>
      <c r="AE122" s="3">
        <v>1000</v>
      </c>
      <c r="AF122" s="3"/>
    </row>
    <row r="123" spans="2:32" x14ac:dyDescent="0.25">
      <c r="B123" s="169" t="s">
        <v>223</v>
      </c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>
        <v>999.07999999999993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>
        <v>999.07999999999993</v>
      </c>
      <c r="AF123" s="3"/>
    </row>
    <row r="124" spans="2:32" x14ac:dyDescent="0.25">
      <c r="B124" s="169" t="s">
        <v>224</v>
      </c>
      <c r="C124" s="3">
        <v>498.75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>
        <v>498.75</v>
      </c>
      <c r="AF124" s="3"/>
    </row>
    <row r="125" spans="2:32" x14ac:dyDescent="0.25">
      <c r="B125" s="169" t="s">
        <v>225</v>
      </c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>
        <v>5216</v>
      </c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>
        <v>5216</v>
      </c>
      <c r="AF125" s="3"/>
    </row>
    <row r="126" spans="2:32" x14ac:dyDescent="0.25">
      <c r="B126" s="169" t="s">
        <v>89</v>
      </c>
      <c r="C126" s="3">
        <v>4000</v>
      </c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>
        <v>4000</v>
      </c>
      <c r="AF126" s="3"/>
    </row>
    <row r="127" spans="2:32" x14ac:dyDescent="0.25">
      <c r="B127" s="169" t="s">
        <v>226</v>
      </c>
      <c r="C127" s="3">
        <v>1155</v>
      </c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>
        <v>1155</v>
      </c>
      <c r="AF127" s="3"/>
    </row>
    <row r="128" spans="2:32" x14ac:dyDescent="0.25">
      <c r="B128" s="169" t="s">
        <v>174</v>
      </c>
      <c r="C128" s="3">
        <v>1162035.240047619</v>
      </c>
      <c r="D128" s="3">
        <v>79635</v>
      </c>
      <c r="E128" s="3"/>
      <c r="F128" s="3"/>
      <c r="G128" s="3"/>
      <c r="H128" s="3"/>
      <c r="I128" s="3">
        <v>2965</v>
      </c>
      <c r="J128" s="3"/>
      <c r="K128" s="3"/>
      <c r="L128" s="3"/>
      <c r="M128" s="3">
        <v>59340</v>
      </c>
      <c r="N128" s="3"/>
      <c r="O128" s="3">
        <v>19039.47</v>
      </c>
      <c r="P128" s="3"/>
      <c r="Q128" s="3">
        <v>26172.07</v>
      </c>
      <c r="R128" s="3"/>
      <c r="S128" s="3">
        <v>4123.5599999999995</v>
      </c>
      <c r="T128" s="3"/>
      <c r="U128" s="3">
        <v>200576.55</v>
      </c>
      <c r="V128" s="3"/>
      <c r="W128" s="3">
        <v>13000</v>
      </c>
      <c r="X128" s="3"/>
      <c r="Y128" s="3">
        <v>27386.55</v>
      </c>
      <c r="Z128" s="3"/>
      <c r="AA128" s="3">
        <v>33600</v>
      </c>
      <c r="AB128" s="3"/>
      <c r="AC128" s="3">
        <v>11555.25</v>
      </c>
      <c r="AD128" s="3"/>
      <c r="AE128" s="3">
        <v>1559793.6900476189</v>
      </c>
      <c r="AF128" s="3">
        <v>79635</v>
      </c>
    </row>
  </sheetData>
  <pageMargins left="0.7" right="0.7" top="0.75" bottom="0.75" header="0.3" footer="0.3"/>
  <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4572B-CDC0-4A51-8CAB-F921BF2B687E}">
  <sheetPr codeName="Sheet5"/>
  <dimension ref="A1:AL85"/>
  <sheetViews>
    <sheetView showGridLines="0" workbookViewId="0">
      <selection activeCell="F37" sqref="F37"/>
    </sheetView>
  </sheetViews>
  <sheetFormatPr defaultRowHeight="15" x14ac:dyDescent="0.25"/>
  <cols>
    <col min="1" max="1" width="30" customWidth="1"/>
    <col min="2" max="2" width="31.5703125" customWidth="1"/>
    <col min="3" max="3" width="28.42578125" bestFit="1" customWidth="1"/>
    <col min="4" max="4" width="23.85546875" customWidth="1"/>
    <col min="5" max="5" width="27.5703125" bestFit="1" customWidth="1"/>
    <col min="6" max="6" width="26" bestFit="1" customWidth="1"/>
    <col min="7" max="7" width="26.5703125" bestFit="1" customWidth="1"/>
    <col min="17" max="17" width="18.5703125" bestFit="1" customWidth="1"/>
    <col min="18" max="18" width="29" bestFit="1" customWidth="1"/>
    <col min="19" max="19" width="12" bestFit="1" customWidth="1"/>
    <col min="20" max="20" width="1.42578125" customWidth="1"/>
    <col min="21" max="21" width="23" bestFit="1" customWidth="1"/>
    <col min="22" max="22" width="31.7109375" bestFit="1" customWidth="1"/>
    <col min="23" max="23" width="12" bestFit="1" customWidth="1"/>
    <col min="25" max="25" width="11.42578125" customWidth="1"/>
    <col min="26" max="26" width="8.5703125" bestFit="1" customWidth="1"/>
    <col min="27" max="27" width="24.28515625" bestFit="1" customWidth="1"/>
    <col min="28" max="28" width="20.7109375" bestFit="1" customWidth="1"/>
    <col min="29" max="29" width="12" bestFit="1" customWidth="1"/>
    <col min="30" max="30" width="32" bestFit="1" customWidth="1"/>
    <col min="31" max="31" width="30.85546875" bestFit="1" customWidth="1"/>
    <col min="33" max="33" width="26.42578125" bestFit="1" customWidth="1"/>
    <col min="34" max="34" width="20.7109375" bestFit="1" customWidth="1"/>
    <col min="35" max="35" width="12" bestFit="1" customWidth="1"/>
    <col min="36" max="36" width="31.140625" bestFit="1" customWidth="1"/>
    <col min="37" max="37" width="30.85546875" bestFit="1" customWidth="1"/>
    <col min="38" max="38" width="7.7109375" customWidth="1"/>
  </cols>
  <sheetData>
    <row r="1" spans="1:38" ht="15.75" thickBot="1" x14ac:dyDescent="0.3">
      <c r="A1" s="12"/>
      <c r="B1" s="13"/>
      <c r="C1" s="13"/>
      <c r="D1" s="14"/>
      <c r="E1" s="15"/>
      <c r="F1" s="16"/>
      <c r="G1" s="16"/>
      <c r="H1" s="17"/>
      <c r="Q1" s="247" t="s">
        <v>103</v>
      </c>
      <c r="R1" s="248"/>
      <c r="S1" s="248"/>
      <c r="T1" s="248"/>
      <c r="U1" s="248"/>
      <c r="V1" s="248"/>
      <c r="W1" s="249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</row>
    <row r="2" spans="1:38" ht="16.5" thickBot="1" x14ac:dyDescent="0.3">
      <c r="A2" s="19"/>
      <c r="B2" s="20" t="s">
        <v>104</v>
      </c>
      <c r="C2" s="21">
        <f>B12+B18-(B14+B20)</f>
        <v>3092277.7548000007</v>
      </c>
      <c r="D2" s="22"/>
      <c r="E2" s="23"/>
      <c r="F2" s="24"/>
      <c r="G2" s="24"/>
      <c r="H2" s="25"/>
      <c r="Q2" s="250"/>
      <c r="R2" s="251"/>
      <c r="S2" s="251"/>
      <c r="T2" s="251"/>
      <c r="U2" s="251"/>
      <c r="V2" s="251"/>
      <c r="W2" s="252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</row>
    <row r="3" spans="1:38" ht="21.75" thickBot="1" x14ac:dyDescent="0.4">
      <c r="A3" s="19"/>
      <c r="B3" s="26"/>
      <c r="C3" s="26"/>
      <c r="D3" s="22"/>
      <c r="E3" s="23"/>
      <c r="F3" s="24"/>
      <c r="G3" s="24"/>
      <c r="H3" s="25"/>
      <c r="Q3" s="253" t="s">
        <v>105</v>
      </c>
      <c r="R3" s="254"/>
      <c r="S3" s="254"/>
      <c r="T3" s="254"/>
      <c r="U3" s="254"/>
      <c r="V3" s="254"/>
      <c r="W3" s="255"/>
      <c r="Z3" s="18"/>
      <c r="AA3" s="27"/>
      <c r="AB3" s="28"/>
      <c r="AC3" s="28"/>
      <c r="AD3" s="28"/>
      <c r="AE3" s="29"/>
      <c r="AF3" s="18"/>
      <c r="AG3" s="27"/>
      <c r="AH3" s="28"/>
      <c r="AI3" s="28"/>
      <c r="AJ3" s="28"/>
      <c r="AK3" s="29"/>
      <c r="AL3" s="18"/>
    </row>
    <row r="4" spans="1:38" ht="16.5" thickBot="1" x14ac:dyDescent="0.3">
      <c r="A4" s="30" t="s">
        <v>106</v>
      </c>
      <c r="B4" s="31">
        <f>GETPIVOTDATA(" S.Gross W/T",PIVOT!$B$8)+GETPIVOTDATA(" S.Gross W/T",PIVOT!$B$19)-GETPIVOTDATA(" S.R. Gross W/T",PIVOT!$B$10)-GETPIVOTDATA(" S.R. Gross W/T",PIVOT!$B$21)</f>
        <v>387650.21877444658</v>
      </c>
      <c r="C4" s="30" t="s">
        <v>107</v>
      </c>
      <c r="D4" s="31">
        <f>GETPIVOTDATA(" Purch.Gross W/T",PIVOT!$B$8)+GETPIVOTDATA(" Purch.Gross W/T",PIVOT!$B$19)-GETPIVOTDATA(" M.P.Gross W/T",PIVOT!$B$10)-GETPIVOTDATA(" M.P.Gross W/T",PIVOT!$B$21)</f>
        <v>370322.74420781166</v>
      </c>
      <c r="E4" s="27"/>
      <c r="F4" s="256" t="s">
        <v>108</v>
      </c>
      <c r="G4" s="259">
        <f>(B6-D6)+9773.122577+995</f>
        <v>-10790.407489577834</v>
      </c>
      <c r="H4" s="29"/>
      <c r="Q4" s="262" t="s">
        <v>302</v>
      </c>
      <c r="R4" s="263"/>
      <c r="S4" s="263"/>
      <c r="T4" s="263"/>
      <c r="U4" s="263"/>
      <c r="V4" s="263"/>
      <c r="W4" s="264"/>
      <c r="Z4" s="18"/>
      <c r="AA4" s="32" t="s">
        <v>109</v>
      </c>
      <c r="AD4" s="33" t="s">
        <v>110</v>
      </c>
      <c r="AE4" s="34"/>
      <c r="AF4" s="18"/>
      <c r="AG4" s="32" t="s">
        <v>288</v>
      </c>
      <c r="AJ4" s="33" t="s">
        <v>110</v>
      </c>
      <c r="AK4" s="34"/>
      <c r="AL4" s="18"/>
    </row>
    <row r="5" spans="1:38" ht="15.75" thickBot="1" x14ac:dyDescent="0.3">
      <c r="A5" s="12"/>
      <c r="B5" s="13"/>
      <c r="C5" s="13"/>
      <c r="D5" s="14"/>
      <c r="E5" s="35"/>
      <c r="F5" s="257"/>
      <c r="G5" s="260"/>
      <c r="H5" s="34"/>
      <c r="Q5" s="27"/>
      <c r="R5" s="28"/>
      <c r="S5" s="28"/>
      <c r="T5" s="36"/>
      <c r="U5" s="28"/>
      <c r="V5" s="28"/>
      <c r="W5" s="37"/>
      <c r="Z5" s="18"/>
      <c r="AA5" s="38">
        <f>GETPIVOTDATA("  EXPE WITH TAX (BILL)",PIVOT!$B$31,"PMT METHOD","CASH ON HAND")+GETPIVOTDATA(" ADVANCE (BILL)",PIVOT!$B$31,"PMT METHOD","CASH ON HAND")+GETPIVOTDATA(" PERSONAL EX (BILL)",PIVOT!$B$31,"PMT METHOD","CASH ON HAND")</f>
        <v>1398247.7505500002</v>
      </c>
      <c r="AB5" s="39"/>
      <c r="AD5" s="40">
        <f>AC7-AD10-AD13-AD16-AE15</f>
        <v>426691.61055000033</v>
      </c>
      <c r="AE5" s="34"/>
      <c r="AF5" s="18"/>
      <c r="AG5" s="38">
        <f>GETPIVOTDATA("  EXPE WITH TAX (BILL)",PIVOT!$B$31,"PMT METHOD","XXX BANK ")+GETPIVOTDATA(" ADVANCE (BILL)",PIVOT!$B$31,"PMT METHOD","XXX BANK ")+GETPIVOTDATA(" PERSONAL EX (BILL)",PIVOT!$B$31,"PMT METHOD","XXX BANK ")+GETPIVOTDATA(" EXP - MACHINERY WITH TAX(BILL)",PIVOT!$B$31,"PMT METHOD","XXX BANK ")</f>
        <v>218460.6225</v>
      </c>
      <c r="AH5" s="39"/>
      <c r="AJ5" s="40">
        <f>AI7-AJ10-AJ13</f>
        <v>207751.33249999999</v>
      </c>
      <c r="AK5" s="34"/>
      <c r="AL5" s="18"/>
    </row>
    <row r="6" spans="1:38" ht="16.5" thickBot="1" x14ac:dyDescent="0.3">
      <c r="A6" s="30" t="s">
        <v>111</v>
      </c>
      <c r="B6" s="31">
        <f>GETPIVOTDATA(" S.Pure Gross W/T",PIVOT!$B$8)+GETPIVOTDATA(" S.Pure Gross W/T",PIVOT!$B$19)-GETPIVOTDATA(" S.R. Pure Gross W/T",PIVOT!$B$10)-GETPIVOTDATA(" S.R. Pure Gross W/T",PIVOT!$B$21)</f>
        <v>342429.96866307309</v>
      </c>
      <c r="C6" s="30" t="s">
        <v>112</v>
      </c>
      <c r="D6" s="31">
        <f>GETPIVOTDATA("  Pure Purch. Gross W/T",PIVOT!$B$8)+GETPIVOTDATA(" Pure.Purch Gross W/T",PIVOT!$B$19)-GETPIVOTDATA(" M.P. Pure Gross W/T",PIVOT!$B$10)-GETPIVOTDATA(" M.P. Pure Gross W/T",PIVOT!$B$21)</f>
        <v>363988.49872965092</v>
      </c>
      <c r="E6" s="41"/>
      <c r="F6" s="258"/>
      <c r="G6" s="261"/>
      <c r="H6" s="42"/>
      <c r="Q6" s="43" t="s">
        <v>113</v>
      </c>
      <c r="R6" s="44"/>
      <c r="T6" s="45"/>
      <c r="U6" s="46" t="s">
        <v>114</v>
      </c>
      <c r="W6" s="34"/>
      <c r="Z6" s="18"/>
      <c r="AA6" s="47"/>
      <c r="AC6" s="48"/>
      <c r="AE6" s="49" t="s">
        <v>115</v>
      </c>
      <c r="AF6" s="18"/>
      <c r="AG6" s="47"/>
      <c r="AH6" s="50"/>
      <c r="AI6" s="48"/>
      <c r="AK6" s="49" t="s">
        <v>115</v>
      </c>
      <c r="AL6" s="18"/>
    </row>
    <row r="7" spans="1:38" ht="16.5" thickBot="1" x14ac:dyDescent="0.3">
      <c r="A7" s="12"/>
      <c r="B7" s="13"/>
      <c r="C7" s="13"/>
      <c r="D7" s="14"/>
      <c r="E7" s="51"/>
      <c r="F7" s="52"/>
      <c r="G7" s="52"/>
      <c r="H7" s="53"/>
      <c r="L7" s="54"/>
      <c r="Q7" s="55"/>
      <c r="R7" s="56" t="s">
        <v>116</v>
      </c>
      <c r="S7" s="57">
        <f>D13</f>
        <v>2453847.2800000007</v>
      </c>
      <c r="T7" s="45"/>
      <c r="U7" s="58"/>
      <c r="V7" s="39" t="s">
        <v>73</v>
      </c>
      <c r="W7" s="59">
        <f>GETPIVOTDATA(" EXPENSES WITHOUT TAX (BILL)",PIVOT!$B$69,"CATEGORY","STAFF WELFARE EXPENSES")</f>
        <v>123206</v>
      </c>
      <c r="Z7" s="18"/>
      <c r="AA7" s="60">
        <f>AB10+AB13+AB16+AA15+AA12</f>
        <v>230662.14</v>
      </c>
      <c r="AC7" s="60">
        <f>AA5-AA7</f>
        <v>1167585.6105500003</v>
      </c>
      <c r="AD7" s="61"/>
      <c r="AE7" s="62">
        <f>AD5-GETPIVOTDATA("Sum of 5% TAX ON EXP (BILL)",PIVOT!$B$31,"PMT METHOD","CASH ON HAND")-GETPIVOTDATA(" 5% TAX ON MACH (BILL)",PIVOT!$B$31,"PMT METHOD","CASH ON HAND")</f>
        <v>421141.24004761939</v>
      </c>
      <c r="AF7" s="18"/>
      <c r="AG7" s="60">
        <f>AH10+AH13+AH16</f>
        <v>10709.29</v>
      </c>
      <c r="AI7" s="60">
        <f>AG5-AG7</f>
        <v>207751.33249999999</v>
      </c>
      <c r="AJ7" s="61"/>
      <c r="AK7" s="62">
        <f>AJ5-GETPIVOTDATA("Sum of 5% TAX ON EXP (BILL)",PIVOT!$B$31,"PMT METHOD","XXX BANK ")-GETPIVOTDATA(" 5% TAX ON MACH (BILL)",PIVOT!$B$31,"PMT METHOD","XXX BANK ")</f>
        <v>200576.55</v>
      </c>
      <c r="AL7" s="18"/>
    </row>
    <row r="8" spans="1:38" ht="16.5" thickBot="1" x14ac:dyDescent="0.3">
      <c r="A8" s="30" t="s">
        <v>117</v>
      </c>
      <c r="B8" s="31">
        <f>B4/10</f>
        <v>38765.021877444655</v>
      </c>
      <c r="C8" s="30" t="s">
        <v>118</v>
      </c>
      <c r="D8" s="31">
        <f>C2/B4</f>
        <v>7.9769792587147634</v>
      </c>
      <c r="E8" s="51"/>
      <c r="F8" s="52"/>
      <c r="G8" s="52"/>
      <c r="H8" s="53"/>
      <c r="M8" s="186"/>
      <c r="Q8" s="63" t="s">
        <v>119</v>
      </c>
      <c r="R8" s="64"/>
      <c r="S8" s="28"/>
      <c r="T8" s="45"/>
      <c r="U8" s="65" t="s">
        <v>120</v>
      </c>
      <c r="V8" s="28"/>
      <c r="W8" s="29"/>
      <c r="Z8" s="18"/>
      <c r="AA8" s="35"/>
      <c r="AB8" s="61"/>
      <c r="AD8" s="61"/>
      <c r="AE8" s="34"/>
      <c r="AF8" s="18"/>
      <c r="AG8" s="35"/>
      <c r="AH8" s="61"/>
      <c r="AJ8" s="61"/>
      <c r="AK8" s="34"/>
      <c r="AL8" s="18"/>
    </row>
    <row r="9" spans="1:38" ht="15.75" thickBot="1" x14ac:dyDescent="0.3">
      <c r="A9" s="66"/>
      <c r="B9" s="67"/>
      <c r="C9" s="67"/>
      <c r="D9" s="68"/>
      <c r="E9" s="69"/>
      <c r="F9" s="70"/>
      <c r="G9" s="70"/>
      <c r="H9" s="71"/>
      <c r="Q9" s="72"/>
      <c r="R9" t="s">
        <v>49</v>
      </c>
      <c r="S9">
        <f>GETPIVOTDATA(" EXPENSES WITHOUT TAX (BILL)",PIVOT!$B$69,"CATEGORY","FACTORY CONSUMABLES")-GETPIVOTDATA(" PERSONAL EX (BILL)",PIVOT!$B$30,"PMT METHOD","FACTORY CONSUMABLES")</f>
        <v>112026.5885714286</v>
      </c>
      <c r="T9" s="45"/>
      <c r="U9" s="39"/>
      <c r="V9" s="39" t="s">
        <v>74</v>
      </c>
      <c r="W9" s="42">
        <f>GETPIVOTDATA(" EXPENSES WITHOUT TAX (BILL)",PIVOT!$B$69,"CATEGORY","MOBILE,TEL &amp; WIFI EXPENSES")</f>
        <v>9379.75</v>
      </c>
      <c r="Z9" s="18"/>
      <c r="AA9" s="35"/>
      <c r="AB9" s="33" t="s">
        <v>121</v>
      </c>
      <c r="AD9" s="33" t="s">
        <v>122</v>
      </c>
      <c r="AE9" s="34"/>
      <c r="AF9" s="18"/>
      <c r="AG9" s="35"/>
      <c r="AH9" s="33" t="s">
        <v>121</v>
      </c>
      <c r="AJ9" s="33" t="s">
        <v>122</v>
      </c>
      <c r="AK9" s="34"/>
      <c r="AL9" s="18"/>
    </row>
    <row r="10" spans="1:38" ht="16.5" thickBot="1" x14ac:dyDescent="0.3">
      <c r="A10" s="73"/>
      <c r="B10" s="74" t="s">
        <v>123</v>
      </c>
      <c r="C10" s="75"/>
      <c r="D10" s="76">
        <f>(C2-430000)/15</f>
        <v>177485.18365333337</v>
      </c>
      <c r="E10" s="73"/>
      <c r="F10" s="73"/>
      <c r="G10" s="73"/>
      <c r="H10" s="73"/>
      <c r="Q10" s="55"/>
      <c r="R10" s="39" t="s">
        <v>50</v>
      </c>
      <c r="S10">
        <f>H13</f>
        <v>29491.29</v>
      </c>
      <c r="T10" s="45"/>
      <c r="U10" s="65" t="s">
        <v>124</v>
      </c>
      <c r="V10" s="28"/>
      <c r="W10" s="29"/>
      <c r="Z10" s="18"/>
      <c r="AA10" s="35"/>
      <c r="AB10" s="40">
        <f>GETPIVOTDATA(" ADVANCE (BILL)",PIVOT!$B$31,"PMT METHOD","CASH ON HAND")</f>
        <v>109525</v>
      </c>
      <c r="AD10" s="40">
        <f>GETPIVOTDATA(" EXPENSES WITHOUT TAX (BILL)",PIVOT!$B$69,"CATEGORY","SALARY PAYBLE")</f>
        <v>700294</v>
      </c>
      <c r="AE10" s="34"/>
      <c r="AF10" s="18"/>
      <c r="AG10" s="35"/>
      <c r="AH10" s="40">
        <f>GETPIVOTDATA(" ADVANCE (BILL)",PIVOT!$B$31,"PMT METHOD","XXX BANK ")</f>
        <v>0</v>
      </c>
      <c r="AJ10" s="40"/>
      <c r="AK10" s="34"/>
      <c r="AL10" s="18"/>
    </row>
    <row r="11" spans="1:38" ht="15.75" x14ac:dyDescent="0.25">
      <c r="A11" s="77"/>
      <c r="B11" s="78"/>
      <c r="C11" s="78"/>
      <c r="D11" s="79"/>
      <c r="E11" s="80"/>
      <c r="F11" s="81"/>
      <c r="G11" s="81"/>
      <c r="H11" s="82"/>
      <c r="Q11" s="63" t="s">
        <v>125</v>
      </c>
      <c r="R11" s="64"/>
      <c r="S11" s="28"/>
      <c r="T11" s="45"/>
      <c r="V11" t="s">
        <v>75</v>
      </c>
      <c r="W11" s="34">
        <f>GETPIVOTDATA(" EXPENSES WITHOUT TAX (BILL)",PIVOT!$B$69,"CATEGORY","AIR FLIGHT TRAVELLING EXPENSES")</f>
        <v>17211.82</v>
      </c>
      <c r="Z11" s="18"/>
      <c r="AA11" s="33" t="s">
        <v>100</v>
      </c>
      <c r="AB11" s="83"/>
      <c r="AD11" s="83"/>
      <c r="AE11" s="34"/>
      <c r="AF11" s="18"/>
      <c r="AH11" s="83"/>
      <c r="AJ11" s="83"/>
      <c r="AK11" s="34"/>
      <c r="AL11" s="18"/>
    </row>
    <row r="12" spans="1:38" ht="15.75" thickBot="1" x14ac:dyDescent="0.3">
      <c r="A12" s="84" t="s">
        <v>126</v>
      </c>
      <c r="B12" s="85">
        <f>GETPIVOTDATA(" S.Making Amt Inc Tax",PIVOT!$B$8)/1.05</f>
        <v>2497973.7800000007</v>
      </c>
      <c r="C12" s="86"/>
      <c r="D12" s="87"/>
      <c r="E12" s="84" t="s">
        <v>127</v>
      </c>
      <c r="F12" s="88">
        <f>GETPIVOTDATA(" P.Making Amt Inc Tax",PIVOT!$B$10)/1.05</f>
        <v>29491.29</v>
      </c>
      <c r="G12" s="89"/>
      <c r="H12" s="90"/>
      <c r="Q12" s="72"/>
      <c r="R12" t="s">
        <v>51</v>
      </c>
      <c r="S12">
        <f>GETPIVOTDATA(" EXPENSES WITHOUT TAX (BILL)",PIVOT!$B$69,"CATEGORY","METAL TESTING CHARGES")</f>
        <v>1095.2443333333333</v>
      </c>
      <c r="T12" s="45"/>
      <c r="U12" s="58"/>
      <c r="V12" s="39" t="s">
        <v>76</v>
      </c>
      <c r="W12" s="42">
        <f>GETPIVOTDATA(" EXPENSES WITHOUT TAX (BILL)",PIVOT!$B$69,"CATEGORY","LOCAL TRAVILING EXPENSES")</f>
        <v>1102</v>
      </c>
      <c r="Z12" s="18"/>
      <c r="AA12" s="40"/>
      <c r="AB12" s="33" t="s">
        <v>128</v>
      </c>
      <c r="AD12" s="33" t="s">
        <v>129</v>
      </c>
      <c r="AE12" s="34"/>
      <c r="AF12" s="18"/>
      <c r="AG12" s="35"/>
      <c r="AH12" s="33" t="s">
        <v>128</v>
      </c>
      <c r="AJ12" s="33" t="s">
        <v>129</v>
      </c>
      <c r="AK12" s="34"/>
      <c r="AL12" s="18"/>
    </row>
    <row r="13" spans="1:38" ht="15" customHeight="1" x14ac:dyDescent="0.25">
      <c r="A13" s="91"/>
      <c r="B13" s="92"/>
      <c r="C13" s="93" t="s">
        <v>130</v>
      </c>
      <c r="D13" s="94">
        <f>B12-B14</f>
        <v>2453847.2800000007</v>
      </c>
      <c r="E13" s="95"/>
      <c r="F13" s="96"/>
      <c r="G13" s="97" t="s">
        <v>131</v>
      </c>
      <c r="H13" s="98">
        <f>F12-F14</f>
        <v>29491.29</v>
      </c>
      <c r="I13" s="99"/>
      <c r="J13" s="99"/>
      <c r="K13" s="99"/>
      <c r="L13" s="99"/>
      <c r="N13" s="99"/>
      <c r="O13" s="99"/>
      <c r="P13" s="99"/>
      <c r="Q13" s="100" t="s">
        <v>132</v>
      </c>
      <c r="R13" s="101"/>
      <c r="S13" s="102"/>
      <c r="T13" s="103"/>
      <c r="U13" s="104" t="s">
        <v>133</v>
      </c>
      <c r="V13" s="101"/>
      <c r="W13" s="102"/>
      <c r="X13" s="99"/>
      <c r="Y13" s="99"/>
      <c r="Z13" s="105"/>
      <c r="AA13" s="106"/>
      <c r="AB13" s="107">
        <f>GETPIVOTDATA(" PERSONAL EX (BILL)",PIVOT!$B$31,"PMT METHOD","CASH ON HAND")</f>
        <v>121137.14</v>
      </c>
      <c r="AC13" s="99"/>
      <c r="AD13" s="107">
        <f>GETPIVOTDATA(" EXPENSES WITHOUT TAX (BILL)",PIVOT!$B$69,"CATEGORY","AL KHAREEF RESTAURANT")</f>
        <v>40600</v>
      </c>
      <c r="AE13" s="108"/>
      <c r="AF13" s="105"/>
      <c r="AG13" s="106"/>
      <c r="AH13" s="107"/>
      <c r="AI13" s="99"/>
      <c r="AJ13" s="107"/>
      <c r="AK13" s="108"/>
      <c r="AL13" s="105"/>
    </row>
    <row r="14" spans="1:38" ht="15.75" x14ac:dyDescent="0.25">
      <c r="A14" s="84" t="s">
        <v>134</v>
      </c>
      <c r="B14" s="85">
        <f>GETPIVOTDATA(" S.R.Making Amt Inc Tax",PIVOT!$B$10)/1.05</f>
        <v>44126.499999999993</v>
      </c>
      <c r="C14" s="86"/>
      <c r="D14" s="87"/>
      <c r="E14" s="84" t="s">
        <v>135</v>
      </c>
      <c r="F14" s="88">
        <f>GETPIVOTDATA(" M.P. Making Amt",PIVOT!$B$10)/1.05</f>
        <v>0</v>
      </c>
      <c r="G14" s="89"/>
      <c r="H14" s="90"/>
      <c r="K14" s="54"/>
      <c r="Q14" s="109"/>
      <c r="R14" t="s">
        <v>53</v>
      </c>
      <c r="S14" s="34"/>
      <c r="T14" s="110"/>
      <c r="U14" s="35"/>
      <c r="V14" t="s">
        <v>77</v>
      </c>
      <c r="W14" s="34"/>
      <c r="Z14" s="18"/>
      <c r="AA14" s="33" t="s">
        <v>99</v>
      </c>
      <c r="AB14" s="83"/>
      <c r="AD14" s="83"/>
      <c r="AE14" s="33" t="s">
        <v>136</v>
      </c>
      <c r="AF14" s="18"/>
      <c r="AG14" s="35"/>
      <c r="AH14" s="83"/>
      <c r="AK14" s="34"/>
      <c r="AL14" s="18"/>
    </row>
    <row r="15" spans="1:38" ht="15.75" thickBot="1" x14ac:dyDescent="0.3">
      <c r="A15" s="111"/>
      <c r="B15" s="112"/>
      <c r="C15" s="112"/>
      <c r="D15" s="113"/>
      <c r="E15" s="114"/>
      <c r="F15" s="115"/>
      <c r="G15" s="115"/>
      <c r="H15" s="116"/>
      <c r="Q15" s="35"/>
      <c r="R15" t="s">
        <v>55</v>
      </c>
      <c r="S15" s="34"/>
      <c r="T15" s="110"/>
      <c r="U15" s="35"/>
      <c r="V15" t="s">
        <v>78</v>
      </c>
      <c r="W15" s="34">
        <f>GETPIVOTDATA(" EXPENSES WITHOUT TAX (BILL)",PIVOT!$B$69,"CATEGORY","FACTORY EXPENSES")</f>
        <v>7396.95</v>
      </c>
      <c r="Z15" s="18"/>
      <c r="AA15" s="40"/>
      <c r="AB15" s="33" t="s">
        <v>298</v>
      </c>
      <c r="AD15" s="33" t="s">
        <v>137</v>
      </c>
      <c r="AE15" s="107"/>
      <c r="AF15" s="18"/>
      <c r="AG15" s="35"/>
      <c r="AH15" s="33" t="s">
        <v>138</v>
      </c>
      <c r="AK15" s="34"/>
      <c r="AL15" s="18"/>
    </row>
    <row r="16" spans="1:38" ht="15.75" thickBot="1" x14ac:dyDescent="0.3">
      <c r="A16" s="73"/>
      <c r="B16" s="73"/>
      <c r="C16" s="73"/>
      <c r="D16" s="73"/>
      <c r="E16" s="73"/>
      <c r="F16" s="73"/>
      <c r="G16" s="73"/>
      <c r="H16" s="73"/>
      <c r="Q16" s="35"/>
      <c r="R16" t="s">
        <v>56</v>
      </c>
      <c r="S16" s="34">
        <f>GETPIVOTDATA(" EXPENSES WITHOUT TAX (BILL)",PIVOT!$B$69,"CATEGORY","VISA RELATED EXPENSES")-GETPIVOTDATA(" ADVANCE (BILL)",PIVOT!$B$30,"PMT METHOD","VISA RELATED EXPENSES")</f>
        <v>9739.75</v>
      </c>
      <c r="T16" s="110"/>
      <c r="U16" s="35"/>
      <c r="V16" t="s">
        <v>79</v>
      </c>
      <c r="W16" s="34"/>
      <c r="Z16" s="18"/>
      <c r="AA16" s="35"/>
      <c r="AB16" s="40"/>
      <c r="AD16" s="40"/>
      <c r="AE16" s="34"/>
      <c r="AF16" s="18"/>
      <c r="AG16" s="35"/>
      <c r="AH16" s="40">
        <f>GETPIVOTDATA(" EXP - MACHINERY WITH TAX(BILL)",PIVOT!$B$31,"PMT METHOD","XXX BANK ")</f>
        <v>10709.29</v>
      </c>
      <c r="AK16" s="34"/>
      <c r="AL16" s="18"/>
    </row>
    <row r="17" spans="1:38" ht="15.75" thickBot="1" x14ac:dyDescent="0.3">
      <c r="A17" s="77"/>
      <c r="B17" s="78"/>
      <c r="C17" s="78"/>
      <c r="D17" s="79"/>
      <c r="E17" s="80"/>
      <c r="F17" s="81"/>
      <c r="G17" s="81"/>
      <c r="H17" s="82"/>
      <c r="Q17" s="41"/>
      <c r="S17" s="42"/>
      <c r="T17" s="110"/>
      <c r="U17" s="35"/>
      <c r="V17" t="s">
        <v>80</v>
      </c>
      <c r="W17" s="34">
        <f>GETPIVOTDATA(" EXPENSES WITHOUT TAX (BILL)",PIVOT!$B$69,"CATEGORY","MACHINERY &amp; REPAIR MAINTAINCE")</f>
        <v>6945.9471428571433</v>
      </c>
      <c r="Z17" s="18"/>
      <c r="AA17" s="41"/>
      <c r="AB17" s="39"/>
      <c r="AC17" s="39"/>
      <c r="AD17" s="39"/>
      <c r="AE17" s="42"/>
      <c r="AF17" s="18"/>
      <c r="AG17" s="41"/>
      <c r="AH17" s="39"/>
      <c r="AI17" s="39"/>
      <c r="AJ17" s="39"/>
      <c r="AK17" s="42"/>
      <c r="AL17" s="18"/>
    </row>
    <row r="18" spans="1:38" ht="16.5" thickBot="1" x14ac:dyDescent="0.3">
      <c r="A18" s="84" t="s">
        <v>139</v>
      </c>
      <c r="B18" s="85">
        <f>GETPIVOTDATA(" S.Making Amt",PIVOT!$B$19)</f>
        <v>638430.47479999985</v>
      </c>
      <c r="C18" s="86"/>
      <c r="D18" s="87"/>
      <c r="E18" s="84" t="s">
        <v>140</v>
      </c>
      <c r="F18" s="88">
        <f>GETPIVOTDATA(" P.Making Amt",PIVOT!$B$21)</f>
        <v>45380.72071704</v>
      </c>
      <c r="G18" s="89"/>
      <c r="H18" s="90"/>
      <c r="Q18" s="63" t="s">
        <v>133</v>
      </c>
      <c r="R18" s="64"/>
      <c r="S18" s="29"/>
      <c r="T18" s="110"/>
      <c r="U18" s="35"/>
      <c r="V18" t="s">
        <v>81</v>
      </c>
      <c r="W18" s="34">
        <f>GETPIVOTDATA(" EXPENSES WITHOUT TAX (BILL)",PIVOT!$B$69,"CATEGORY","SALIK RECHARGE FOR CAR")</f>
        <v>7650</v>
      </c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</row>
    <row r="19" spans="1:38" ht="15.75" x14ac:dyDescent="0.25">
      <c r="A19" s="117"/>
      <c r="B19" s="86"/>
      <c r="C19" s="118" t="s">
        <v>130</v>
      </c>
      <c r="D19" s="119">
        <f>B18-B20</f>
        <v>638430.47479999985</v>
      </c>
      <c r="E19" s="120"/>
      <c r="F19" s="89"/>
      <c r="G19" s="121" t="s">
        <v>131</v>
      </c>
      <c r="H19" s="122">
        <f>F18-F20</f>
        <v>45380.72071704</v>
      </c>
      <c r="Q19" s="35"/>
      <c r="R19" t="s">
        <v>57</v>
      </c>
      <c r="S19" s="34"/>
      <c r="T19" s="110"/>
      <c r="U19" s="35"/>
      <c r="V19" t="s">
        <v>82</v>
      </c>
      <c r="W19" s="34">
        <f>GETPIVOTDATA(" EXPENSES WITHOUT TAX (BILL)",PIVOT!$B$69,"CATEGORY","SERVICE CHARGES")</f>
        <v>2315.86</v>
      </c>
      <c r="Z19" s="18"/>
      <c r="AA19" s="27"/>
      <c r="AB19" s="28"/>
      <c r="AC19" s="28"/>
      <c r="AD19" s="28"/>
      <c r="AE19" s="29"/>
      <c r="AF19" s="18"/>
      <c r="AG19" s="27"/>
      <c r="AH19" s="28"/>
      <c r="AI19" s="28"/>
      <c r="AJ19" s="28"/>
      <c r="AK19" s="29"/>
      <c r="AL19" s="18"/>
    </row>
    <row r="20" spans="1:38" x14ac:dyDescent="0.25">
      <c r="A20" s="84" t="s">
        <v>141</v>
      </c>
      <c r="B20" s="85">
        <f>GETPIVOTDATA(" S.R.Making Amt",PIVOT!$B$21)</f>
        <v>0</v>
      </c>
      <c r="C20" s="86"/>
      <c r="D20" s="87"/>
      <c r="E20" s="84" t="s">
        <v>142</v>
      </c>
      <c r="F20" s="88">
        <f>GETPIVOTDATA(" M.P. Making Amt",PIVOT!$B$21)</f>
        <v>0</v>
      </c>
      <c r="G20" s="89"/>
      <c r="H20" s="90"/>
      <c r="Q20" s="35"/>
      <c r="R20" t="s">
        <v>58</v>
      </c>
      <c r="S20" s="34"/>
      <c r="T20" s="110"/>
      <c r="U20" s="35"/>
      <c r="V20" t="s">
        <v>83</v>
      </c>
      <c r="W20" s="34"/>
      <c r="Z20" s="18"/>
      <c r="AA20" s="32" t="s">
        <v>291</v>
      </c>
      <c r="AD20" s="33" t="s">
        <v>110</v>
      </c>
      <c r="AE20" s="34"/>
      <c r="AF20" s="18"/>
      <c r="AG20" s="32" t="s">
        <v>285</v>
      </c>
      <c r="AJ20" s="33" t="s">
        <v>110</v>
      </c>
      <c r="AK20" s="34"/>
      <c r="AL20" s="18"/>
    </row>
    <row r="21" spans="1:38" ht="15.75" thickBot="1" x14ac:dyDescent="0.3">
      <c r="A21" s="117"/>
      <c r="B21" s="86"/>
      <c r="C21" s="86"/>
      <c r="D21" s="87"/>
      <c r="E21" s="120"/>
      <c r="F21" s="89"/>
      <c r="G21" s="89"/>
      <c r="H21" s="90"/>
      <c r="Q21" s="35"/>
      <c r="R21" t="s">
        <v>59</v>
      </c>
      <c r="S21" s="34">
        <f>GETPIVOTDATA(" EXPENSES WITHOUT TAX (BILL)",PIVOT!$B$69,"CATEGORY","DEWA &amp; EMPOWER EXP ALKHIAL")</f>
        <v>2389.48</v>
      </c>
      <c r="T21" s="110"/>
      <c r="U21" s="35"/>
      <c r="V21" t="s">
        <v>84</v>
      </c>
      <c r="W21" s="34">
        <f>GETPIVOTDATA(" EXPENSES WITHOUT TAX (BILL)",PIVOT!$B$69,"CATEGORY","COURIER CHARGE")</f>
        <v>936.25</v>
      </c>
      <c r="Z21" s="18"/>
      <c r="AA21" s="38">
        <f>GETPIVOTDATA("  EXPE WITH TAX (BILL)",PIVOT!$B$31,"PMT METHOD","XMNXX BHAI JV")+GETPIVOTDATA(" ADVANCE (BILL)",PIVOT!$B$31,"PMT METHOD","XMNXX BHAI JV")+GETPIVOTDATA(" PERSONAL EX (BILL)",PIVOT!$B$31,"PMT METHOD","XMNXX BHAI JV")+GETPIVOTDATA(" EXP - MACHINERY WITH TAX(BILL)",PIVOT!$B$31,"PMT METHOD","XMNXX BHAI JV")</f>
        <v>29312.55</v>
      </c>
      <c r="AB21" s="39"/>
      <c r="AD21" s="40">
        <f>AC23-AD26-AD29</f>
        <v>27386.55</v>
      </c>
      <c r="AE21" s="34"/>
      <c r="AF21" s="18"/>
      <c r="AG21" s="38">
        <f>GETPIVOTDATA("  EXPE WITH TAX (BILL)",PIVOT!$B$31,"PMT METHOD","XXX BHAI JV")+GETPIVOTDATA(" ADVANCE (BILL)",PIVOT!$B$31,"PMT METHOD","XXX BHAI JV")+GETPIVOTDATA(" PERSONAL EX (BILL)",PIVOT!$B$31,"PMT METHOD","XXX BHAI JV")+GETPIVOTDATA(" EXP - MACHINERY WITH TAX(BILL)",PIVOT!$B$31,"PMT METHOD","XXX BHAI JV")</f>
        <v>25511.599999999999</v>
      </c>
      <c r="AH21" s="39"/>
      <c r="AJ21" s="40">
        <f>AI23-AJ26-AJ29</f>
        <v>26172.07</v>
      </c>
      <c r="AK21" s="34"/>
      <c r="AL21" s="18"/>
    </row>
    <row r="22" spans="1:38" ht="15.75" thickBot="1" x14ac:dyDescent="0.3">
      <c r="A22" s="123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5"/>
      <c r="Q22" s="35"/>
      <c r="R22" t="s">
        <v>60</v>
      </c>
      <c r="S22" s="34"/>
      <c r="T22" s="110"/>
      <c r="U22" s="35"/>
      <c r="V22" t="s">
        <v>151</v>
      </c>
      <c r="W22" s="34">
        <f>GETPIVOTDATA(" EXPENSES WITHOUT TAX (BILL)",PIVOT!$B$69,"CATEGORY","CAMP RENT")</f>
        <v>41400</v>
      </c>
      <c r="Z22" s="18"/>
      <c r="AA22" s="47"/>
      <c r="AB22" s="50"/>
      <c r="AC22" s="48"/>
      <c r="AE22" s="49" t="s">
        <v>115</v>
      </c>
      <c r="AF22" s="18"/>
      <c r="AG22" s="47"/>
      <c r="AH22" s="50"/>
      <c r="AI22" s="48"/>
      <c r="AK22" s="49" t="s">
        <v>115</v>
      </c>
      <c r="AL22" s="18"/>
    </row>
    <row r="23" spans="1:38" ht="15.75" thickBot="1" x14ac:dyDescent="0.3">
      <c r="A23" s="27"/>
      <c r="B23" s="28"/>
      <c r="C23" s="28"/>
      <c r="D23" s="28"/>
      <c r="E23" s="28"/>
      <c r="F23" s="28"/>
      <c r="G23" s="28" t="s">
        <v>143</v>
      </c>
      <c r="H23" s="244" t="s">
        <v>296</v>
      </c>
      <c r="I23" s="245"/>
      <c r="J23" s="245"/>
      <c r="K23" s="246"/>
      <c r="L23" s="126">
        <f>AE7</f>
        <v>421141.24004761939</v>
      </c>
      <c r="M23" s="78"/>
      <c r="N23" s="79"/>
      <c r="Q23" s="35"/>
      <c r="R23" t="s">
        <v>62</v>
      </c>
      <c r="S23" s="34">
        <f>GETPIVOTDATA(" EXPENSES WITHOUT TAX (BILL)",PIVOT!$B$69,"CATEGORY","EMIRATES ID APPLICATION ")</f>
        <v>770</v>
      </c>
      <c r="T23" s="110"/>
      <c r="U23" s="35"/>
      <c r="V23" t="s">
        <v>86</v>
      </c>
      <c r="W23" s="34"/>
      <c r="Z23" s="18"/>
      <c r="AA23" s="60">
        <f>AB26+AB29+AB32</f>
        <v>1926</v>
      </c>
      <c r="AC23" s="60">
        <f>AA21-AA23</f>
        <v>27386.55</v>
      </c>
      <c r="AD23" s="61"/>
      <c r="AE23" s="62">
        <f>AD21-GETPIVOTDATA("Sum of 5% TAX ON EXP (BILL)",PIVOT!$B$31,"PMT METHOD","XMNXX BHAI JV")-GETPIVOTDATA(" 5% TAX ON MACH (BILL)",PIVOT!$B$31,"PMT METHOD","XMNXX BHAI JV")</f>
        <v>27386.55</v>
      </c>
      <c r="AF23" s="18"/>
      <c r="AG23" s="60">
        <f>AH26+AH29+AH32</f>
        <v>-660.47000000000025</v>
      </c>
      <c r="AI23" s="60">
        <f>AG21-AG23</f>
        <v>26172.07</v>
      </c>
      <c r="AJ23" s="61"/>
      <c r="AK23" s="62">
        <f>AJ21-GETPIVOTDATA(" 5% TAX ON MACH (BILL)",PIVOT!$B$31,"PMT METHOD","XXX BHAI JV")-GETPIVOTDATA("Sum of 5% TAX ON EXP (BILL)",PIVOT!$B$31,"PMT METHOD","XXX BHAI JV")</f>
        <v>26127.07</v>
      </c>
      <c r="AL23" s="18"/>
    </row>
    <row r="24" spans="1:38" x14ac:dyDescent="0.25">
      <c r="A24" s="35"/>
      <c r="F24" s="54"/>
      <c r="L24" s="189"/>
      <c r="N24" s="34"/>
      <c r="Q24" s="35"/>
      <c r="R24" t="s">
        <v>63</v>
      </c>
      <c r="S24" s="34"/>
      <c r="T24" s="110"/>
      <c r="U24" s="35"/>
      <c r="V24" t="s">
        <v>87</v>
      </c>
      <c r="W24" s="34"/>
      <c r="Z24" s="18"/>
      <c r="AA24" s="35"/>
      <c r="AB24" s="61"/>
      <c r="AD24" s="61"/>
      <c r="AE24" s="34"/>
      <c r="AF24" s="18"/>
      <c r="AG24" s="35"/>
      <c r="AH24" s="61"/>
      <c r="AJ24" s="61"/>
      <c r="AK24" s="34"/>
      <c r="AL24" s="18"/>
    </row>
    <row r="25" spans="1:38" x14ac:dyDescent="0.25">
      <c r="A25" s="127"/>
      <c r="B25" s="54"/>
      <c r="F25" s="54"/>
      <c r="G25" s="54"/>
      <c r="H25" s="265" t="s">
        <v>295</v>
      </c>
      <c r="I25" s="266"/>
      <c r="J25" s="266"/>
      <c r="K25" s="267"/>
      <c r="L25" s="128">
        <f>AE23</f>
        <v>27386.55</v>
      </c>
      <c r="M25" s="86"/>
      <c r="N25" s="87"/>
      <c r="Q25" s="35"/>
      <c r="R25" t="s">
        <v>64</v>
      </c>
      <c r="S25" s="34">
        <f>GETPIVOTDATA(" EXPENSES WITHOUT TAX (BILL)",PIVOT!$B$69,"CATEGORY","PETROL TOYOTA COROLLA")</f>
        <v>7213</v>
      </c>
      <c r="T25" s="110"/>
      <c r="U25" s="35"/>
      <c r="V25" t="s">
        <v>88</v>
      </c>
      <c r="W25" s="34">
        <f>GETPIVOTDATA(" EXPENSES WITHOUT TAX (BILL)",PIVOT!$B$69,"CATEGORY","URD MACHINERY &amp; EQUIPMENT")</f>
        <v>19946</v>
      </c>
      <c r="Z25" s="18"/>
      <c r="AA25" s="35"/>
      <c r="AB25" s="33" t="s">
        <v>121</v>
      </c>
      <c r="AD25" s="33" t="s">
        <v>144</v>
      </c>
      <c r="AE25" s="34"/>
      <c r="AF25" s="18"/>
      <c r="AG25" s="35"/>
      <c r="AH25" s="33" t="s">
        <v>121</v>
      </c>
      <c r="AJ25" s="33" t="s">
        <v>122</v>
      </c>
      <c r="AK25" s="34"/>
      <c r="AL25" s="18"/>
    </row>
    <row r="26" spans="1:38" ht="15.75" x14ac:dyDescent="0.25">
      <c r="A26" s="35"/>
      <c r="B26" s="54"/>
      <c r="D26" s="32" t="s">
        <v>109</v>
      </c>
      <c r="E26" s="129">
        <f>AA5+G26</f>
        <v>1398253.4005500001</v>
      </c>
      <c r="F26" s="190" t="s">
        <v>145</v>
      </c>
      <c r="G26" s="191">
        <f>0.06+0.2+0.11+0.07-0.05-0.3+0.05+0.25+0.1+0.6-0.05-0.03+0.12+5-0.01-0.1-0.06-0.3-0.01</f>
        <v>5.6500000000000012</v>
      </c>
      <c r="L26" s="189"/>
      <c r="N26" s="34"/>
      <c r="Q26" s="35"/>
      <c r="R26" t="s">
        <v>65</v>
      </c>
      <c r="S26" s="34">
        <f>GETPIVOTDATA(" EXPENSES WITHOUT TAX (BILL)",PIVOT!$B$69,"CATEGORY","JAMAL TRAVELS")</f>
        <v>29000</v>
      </c>
      <c r="T26" s="110"/>
      <c r="U26" s="35"/>
      <c r="V26" t="s">
        <v>89</v>
      </c>
      <c r="W26" s="34"/>
      <c r="Z26" s="18"/>
      <c r="AA26" s="35"/>
      <c r="AB26" s="40">
        <f>GETPIVOTDATA(" ADVANCE (BILL)",PIVOT!$B$31,"PMT METHOD","XMNXX BHAI JV")</f>
        <v>1926</v>
      </c>
      <c r="AD26" s="40"/>
      <c r="AE26" s="34"/>
      <c r="AF26" s="18"/>
      <c r="AG26" s="35"/>
      <c r="AH26" s="40">
        <f>GETPIVOTDATA(" ADVANCE (BILL)",PIVOT!$B$31,"PMT METHOD","XXX BHAI JV")</f>
        <v>5827</v>
      </c>
      <c r="AJ26" s="40"/>
      <c r="AK26" s="34"/>
      <c r="AL26" s="18"/>
    </row>
    <row r="27" spans="1:38" x14ac:dyDescent="0.25">
      <c r="A27" s="35"/>
      <c r="B27" s="54"/>
      <c r="E27" s="34"/>
      <c r="F27" s="35"/>
      <c r="H27" s="265" t="s">
        <v>295</v>
      </c>
      <c r="I27" s="266"/>
      <c r="J27" s="266"/>
      <c r="K27" s="267"/>
      <c r="L27" s="128">
        <f>AE39</f>
        <v>19039.47</v>
      </c>
      <c r="M27" s="86"/>
      <c r="N27" s="87"/>
      <c r="Q27" s="35"/>
      <c r="R27" t="s">
        <v>66</v>
      </c>
      <c r="S27" s="34">
        <f>GETPIVOTDATA(" EXPENSES WITHOUT TAX (BILL)",PIVOT!$B$69,"CATEGORY","HOSPITAL &amp; MEDICAL EXP'S")</f>
        <v>1724.59</v>
      </c>
      <c r="T27" s="110"/>
      <c r="U27" s="35"/>
      <c r="V27" t="s">
        <v>217</v>
      </c>
      <c r="W27" s="34">
        <f>GETPIVOTDATA(" EXPENSES WITHOUT TAX (BILL)",PIVOT!$B$69,"CATEGORY","MEDICAL INSURANCE")</f>
        <v>37976.400000000001</v>
      </c>
      <c r="Z27" s="18"/>
      <c r="AA27" s="35"/>
      <c r="AB27" s="83"/>
      <c r="AD27" s="83"/>
      <c r="AE27" s="34"/>
      <c r="AF27" s="18"/>
      <c r="AG27" s="35"/>
      <c r="AH27" s="83"/>
      <c r="AJ27" s="83"/>
      <c r="AK27" s="34"/>
      <c r="AL27" s="18"/>
    </row>
    <row r="28" spans="1:38" x14ac:dyDescent="0.25">
      <c r="A28" s="35"/>
      <c r="D28" s="32" t="s">
        <v>291</v>
      </c>
      <c r="E28" s="130">
        <f>AA21</f>
        <v>29312.55</v>
      </c>
      <c r="L28" s="189"/>
      <c r="N28" s="34"/>
      <c r="Q28" s="35"/>
      <c r="R28" t="s">
        <v>67</v>
      </c>
      <c r="S28" s="34">
        <f>GETPIVOTDATA(" EXPENSES WITHOUT TAX (BILL)",PIVOT!$B$69,"CATEGORY","CAR PARKING")</f>
        <v>45</v>
      </c>
      <c r="T28" s="110"/>
      <c r="U28" s="35"/>
      <c r="W28" s="34"/>
      <c r="Z28" s="18"/>
      <c r="AA28" s="35"/>
      <c r="AB28" s="33" t="s">
        <v>214</v>
      </c>
      <c r="AD28" s="33" t="s">
        <v>129</v>
      </c>
      <c r="AE28" s="34"/>
      <c r="AF28" s="18"/>
      <c r="AG28" s="35"/>
      <c r="AH28" s="33" t="s">
        <v>128</v>
      </c>
      <c r="AJ28" s="33" t="s">
        <v>299</v>
      </c>
      <c r="AK28" s="34"/>
      <c r="AL28" s="18"/>
    </row>
    <row r="29" spans="1:38" ht="15.75" x14ac:dyDescent="0.25">
      <c r="A29" s="35"/>
      <c r="E29" s="34"/>
      <c r="H29" s="265" t="s">
        <v>295</v>
      </c>
      <c r="I29" s="266"/>
      <c r="J29" s="266"/>
      <c r="K29" s="267"/>
      <c r="L29" s="128">
        <f>AK39</f>
        <v>4123.5600000000004</v>
      </c>
      <c r="M29" s="86"/>
      <c r="N29" s="87"/>
      <c r="Q29" s="35"/>
      <c r="R29" t="s">
        <v>68</v>
      </c>
      <c r="S29" s="34">
        <f>GETPIVOTDATA(" EXPENSES WITHOUT TAX (BILL)",PIVOT!$B$69,"CATEGORY","STATIONERY EXPENSES")</f>
        <v>1419.1000000000001</v>
      </c>
      <c r="T29" s="110"/>
      <c r="U29" s="131" t="s">
        <v>146</v>
      </c>
      <c r="V29" s="132" t="s">
        <v>147</v>
      </c>
      <c r="W29" s="133"/>
      <c r="Z29" s="18"/>
      <c r="AA29" s="35"/>
      <c r="AB29" s="40"/>
      <c r="AD29" s="40"/>
      <c r="AE29" s="34"/>
      <c r="AF29" s="18"/>
      <c r="AG29" s="35"/>
      <c r="AH29" s="40"/>
      <c r="AJ29" s="40"/>
      <c r="AK29" s="34"/>
      <c r="AL29" s="18"/>
    </row>
    <row r="30" spans="1:38" ht="15.75" x14ac:dyDescent="0.25">
      <c r="A30" s="35"/>
      <c r="D30" s="32" t="s">
        <v>287</v>
      </c>
      <c r="E30" s="130">
        <f>AA37</f>
        <v>29925.06</v>
      </c>
      <c r="L30" s="189"/>
      <c r="N30" s="34"/>
      <c r="Q30" s="35"/>
      <c r="R30" t="s">
        <v>69</v>
      </c>
      <c r="S30" s="34"/>
      <c r="T30" s="110"/>
      <c r="U30" s="35"/>
      <c r="V30" s="134" t="str">
        <f>"="&amp;S7&amp;" - "&amp;SUM(S9:S10,S12,S15:S17,S19:S31,W7,W9,W11:W12,W14:W20,S14,W21:W27,S32)</f>
        <v>=2453847.28 - 475234.890047619</v>
      </c>
      <c r="W30" s="34"/>
      <c r="Z30" s="18"/>
      <c r="AA30" s="35"/>
      <c r="AB30" s="83"/>
      <c r="AE30" s="34"/>
      <c r="AF30" s="18"/>
      <c r="AG30" s="35"/>
      <c r="AH30" s="83"/>
      <c r="AK30" s="34"/>
      <c r="AL30" s="18"/>
    </row>
    <row r="31" spans="1:38" ht="18.75" x14ac:dyDescent="0.3">
      <c r="A31" s="35"/>
      <c r="E31" s="34"/>
      <c r="F31" s="35"/>
      <c r="H31" s="265" t="s">
        <v>295</v>
      </c>
      <c r="I31" s="266"/>
      <c r="J31" s="266"/>
      <c r="K31" s="267"/>
      <c r="L31" s="128">
        <f>AK23</f>
        <v>26127.07</v>
      </c>
      <c r="M31" s="86"/>
      <c r="N31" s="87"/>
      <c r="Q31" s="35"/>
      <c r="R31" t="s">
        <v>70</v>
      </c>
      <c r="S31" s="34">
        <f>GETPIVOTDATA(" EXPENSES WITHOUT TAX (BILL)",PIVOT!$B$69,"CATEGORY","TEA &amp; FOOD EXPENSES")</f>
        <v>1541.25</v>
      </c>
      <c r="T31" s="110"/>
      <c r="U31" s="35"/>
      <c r="V31" s="135">
        <f>S7-SUM(S9:S10,S12,S15:S17,S19:S31,W7,W9,W11:W12,W14:W20,S14,W21:W27,S32)-S33-475000</f>
        <v>1503611.5999523816</v>
      </c>
      <c r="W31" s="34"/>
      <c r="Z31" s="18"/>
      <c r="AA31" s="35"/>
      <c r="AB31" s="33" t="s">
        <v>138</v>
      </c>
      <c r="AE31" s="34"/>
      <c r="AF31" s="18"/>
      <c r="AG31" s="35"/>
      <c r="AH31" s="33" t="s">
        <v>138</v>
      </c>
      <c r="AK31" s="34"/>
      <c r="AL31" s="18"/>
    </row>
    <row r="32" spans="1:38" ht="15.75" x14ac:dyDescent="0.25">
      <c r="A32" s="136" t="s">
        <v>148</v>
      </c>
      <c r="B32" s="137"/>
      <c r="C32" s="138">
        <f>E26+E28+E30+E32+E34+E36+E38</f>
        <v>1705586.7930500004</v>
      </c>
      <c r="D32" s="32" t="s">
        <v>292</v>
      </c>
      <c r="E32" s="130">
        <f>AG37</f>
        <v>4123.5600000000004</v>
      </c>
      <c r="F32" s="139" t="s">
        <v>149</v>
      </c>
      <c r="G32" s="140">
        <f>SUM(L23,L25,L27,L29,L31,L33,L35,L37,L39,L43,L41)</f>
        <v>759850.73004761944</v>
      </c>
      <c r="L32" s="189"/>
      <c r="N32" s="34"/>
      <c r="Q32" s="35"/>
      <c r="R32" t="s">
        <v>71</v>
      </c>
      <c r="S32" s="34">
        <f>GETPIVOTDATA(" EXPENSES WITHOUT TAX (BILL)",PIVOT!$B$69,"CATEGORY","VEHICLE REPAIR &amp; MAINT")</f>
        <v>3312.62</v>
      </c>
      <c r="T32" s="110"/>
      <c r="U32" s="35"/>
      <c r="W32" s="34"/>
      <c r="Z32" s="18"/>
      <c r="AA32" s="35"/>
      <c r="AB32" s="40">
        <f>GETPIVOTDATA(" EXP - MACHINERY WITH TAX(BILL)",PIVOT!$B$31,"PMT METHOD","XMNXX BHAI JV")</f>
        <v>0</v>
      </c>
      <c r="AE32" s="34"/>
      <c r="AF32" s="18"/>
      <c r="AG32" s="35"/>
      <c r="AH32" s="40">
        <f>GETPIVOTDATA(" EXP - MACHINERY WITH TAX(BILL)",PIVOT!$B$31,"PMT METHOD","XXX BHAI JV")</f>
        <v>-6487.47</v>
      </c>
      <c r="AK32" s="34"/>
      <c r="AL32" s="18"/>
    </row>
    <row r="33" spans="1:38" ht="15.75" thickBot="1" x14ac:dyDescent="0.3">
      <c r="A33" s="35"/>
      <c r="E33" s="34"/>
      <c r="F33" s="35"/>
      <c r="H33" s="265" t="s">
        <v>295</v>
      </c>
      <c r="I33" s="266"/>
      <c r="J33" s="266"/>
      <c r="K33" s="267"/>
      <c r="L33" s="128">
        <f>AK7</f>
        <v>200576.55</v>
      </c>
      <c r="M33" s="86"/>
      <c r="N33" s="87"/>
      <c r="Q33" s="106"/>
      <c r="R33" t="s">
        <v>72</v>
      </c>
      <c r="S33" s="108">
        <v>0.79</v>
      </c>
      <c r="T33" s="103"/>
      <c r="U33" s="141"/>
      <c r="V33" s="99"/>
      <c r="W33" s="108"/>
      <c r="Z33" s="18"/>
      <c r="AA33" s="41"/>
      <c r="AB33" s="39"/>
      <c r="AC33" s="39"/>
      <c r="AD33" s="39"/>
      <c r="AE33" s="42"/>
      <c r="AF33" s="18"/>
      <c r="AG33" s="41"/>
      <c r="AH33" s="39"/>
      <c r="AI33" s="39"/>
      <c r="AJ33" s="39"/>
      <c r="AK33" s="42"/>
      <c r="AL33" s="18"/>
    </row>
    <row r="34" spans="1:38" ht="15.75" thickBot="1" x14ac:dyDescent="0.3">
      <c r="A34" s="35"/>
      <c r="D34" s="32" t="s">
        <v>285</v>
      </c>
      <c r="E34" s="130">
        <f>AG21</f>
        <v>25511.599999999999</v>
      </c>
      <c r="L34" s="189"/>
      <c r="N34" s="34"/>
      <c r="Q34" s="41"/>
      <c r="R34" s="39"/>
      <c r="S34" s="42"/>
      <c r="T34" s="142"/>
      <c r="U34" s="41"/>
      <c r="V34" s="39"/>
      <c r="W34" s="42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</row>
    <row r="35" spans="1:38" x14ac:dyDescent="0.25">
      <c r="A35" s="35"/>
      <c r="E35" s="34"/>
      <c r="H35" s="265" t="s">
        <v>296</v>
      </c>
      <c r="I35" s="266"/>
      <c r="J35" s="266"/>
      <c r="K35" s="267"/>
      <c r="L35" s="128">
        <f>H13</f>
        <v>29491.29</v>
      </c>
      <c r="M35" s="86"/>
      <c r="N35" s="87"/>
      <c r="Z35" s="18"/>
      <c r="AA35" s="27"/>
      <c r="AB35" s="28"/>
      <c r="AC35" s="28"/>
      <c r="AD35" s="28"/>
      <c r="AE35" s="29"/>
      <c r="AF35" s="18"/>
      <c r="AG35" s="27"/>
      <c r="AH35" s="28"/>
      <c r="AI35" s="28"/>
      <c r="AJ35" s="28"/>
      <c r="AK35" s="29"/>
      <c r="AL35" s="18"/>
    </row>
    <row r="36" spans="1:38" x14ac:dyDescent="0.25">
      <c r="A36" s="35"/>
      <c r="D36" s="32" t="s">
        <v>288</v>
      </c>
      <c r="E36" s="130">
        <f>AG5</f>
        <v>218460.6225</v>
      </c>
      <c r="L36" s="189"/>
      <c r="N36" s="34"/>
      <c r="U36" s="54"/>
      <c r="Z36" s="18"/>
      <c r="AA36" s="32" t="s">
        <v>287</v>
      </c>
      <c r="AD36" s="33" t="s">
        <v>110</v>
      </c>
      <c r="AE36" s="34"/>
      <c r="AF36" s="18"/>
      <c r="AG36" s="32" t="s">
        <v>292</v>
      </c>
      <c r="AJ36" s="33" t="s">
        <v>110</v>
      </c>
      <c r="AK36" s="34"/>
      <c r="AL36" s="18"/>
    </row>
    <row r="37" spans="1:38" ht="15.75" thickBot="1" x14ac:dyDescent="0.3">
      <c r="A37" s="35"/>
      <c r="F37" s="61"/>
      <c r="H37" s="266" t="s">
        <v>297</v>
      </c>
      <c r="I37" s="266"/>
      <c r="J37" s="266"/>
      <c r="K37" s="267"/>
      <c r="L37" s="128">
        <f>S26</f>
        <v>29000</v>
      </c>
      <c r="M37" s="86"/>
      <c r="N37" s="87"/>
      <c r="S37" s="54"/>
      <c r="U37" s="54"/>
      <c r="V37" s="54"/>
      <c r="Z37" s="18"/>
      <c r="AA37" s="38">
        <f>GETPIVOTDATA("  EXPE WITH TAX (BILL)",PIVOT!$B$31,"PMT METHOD","XMXX BHAI JV")+GETPIVOTDATA(" ADVANCE (BILL)",PIVOT!$B$31,"PMT METHOD","XMXX BHAI JV")+GETPIVOTDATA(" EXP - MACHINERY WITH TAX(BILL)",PIVOT!$B$31,"PMT METHOD","XMXX BHAI JV")</f>
        <v>29925.06</v>
      </c>
      <c r="AB37" s="39"/>
      <c r="AD37" s="40">
        <f>AC39-AD42-AD45</f>
        <v>19039.47</v>
      </c>
      <c r="AE37" s="34"/>
      <c r="AF37" s="18"/>
      <c r="AG37" s="38">
        <f>GETPIVOTDATA("  EXPE WITH TAX (BILL)",PIVOT!$B$31,"PMT METHOD","MPXX ROSE")+GETPIVOTDATA(" ADVANCE (BILL)",PIVOT!$B$31,"PMT METHOD","MPXX ROSE")+GETPIVOTDATA(" PERSONAL EX (BILL)",PIVOT!$B$31,"PMT METHOD","MPXX ROSE")+GETPIVOTDATA(" EXP - MACHINERY WITH TAX(BILL)",PIVOT!$B$31,"PMT METHOD","MPXX ROSE")</f>
        <v>4123.5600000000004</v>
      </c>
      <c r="AH37" s="39"/>
      <c r="AJ37" s="40">
        <f>AI39-AJ42-AJ45</f>
        <v>4123.5600000000004</v>
      </c>
      <c r="AK37" s="34"/>
      <c r="AL37" s="18"/>
    </row>
    <row r="38" spans="1:38" ht="15.75" thickBot="1" x14ac:dyDescent="0.3">
      <c r="A38" s="35"/>
      <c r="D38" s="32" t="s">
        <v>296</v>
      </c>
      <c r="E38" s="130"/>
      <c r="L38" s="189"/>
      <c r="N38" s="34"/>
      <c r="U38" s="54"/>
      <c r="V38" s="54"/>
      <c r="Z38" s="18"/>
      <c r="AA38" s="47"/>
      <c r="AB38" s="50"/>
      <c r="AC38" s="48"/>
      <c r="AE38" s="49" t="s">
        <v>115</v>
      </c>
      <c r="AF38" s="18"/>
      <c r="AG38" s="47"/>
      <c r="AH38" s="50"/>
      <c r="AI38" s="48"/>
      <c r="AK38" s="49" t="s">
        <v>115</v>
      </c>
      <c r="AL38" s="18"/>
    </row>
    <row r="39" spans="1:38" ht="15.75" thickBot="1" x14ac:dyDescent="0.3">
      <c r="A39" s="35"/>
      <c r="H39" s="266" t="s">
        <v>297</v>
      </c>
      <c r="I39" s="266"/>
      <c r="J39" s="266"/>
      <c r="K39" s="266"/>
      <c r="L39" s="188"/>
      <c r="M39" s="86"/>
      <c r="N39" s="87"/>
      <c r="S39" s="54"/>
      <c r="V39" s="54"/>
      <c r="Z39" s="18"/>
      <c r="AA39" s="60">
        <f>AB42+AB45+AB48</f>
        <v>10885.59</v>
      </c>
      <c r="AC39" s="60">
        <f>AA37-AA39</f>
        <v>19039.47</v>
      </c>
      <c r="AD39" s="61"/>
      <c r="AE39" s="62">
        <f>AD37-GETPIVOTDATA("Sum of 5% TAX ON EXP (BILL)",PIVOT!$B$31,"PMT METHOD","XMXX BHAI JV")-GETPIVOTDATA(" 5% TAX ON MACH (BILL)",PIVOT!$B$31,"PMT METHOD","XMXX BHAI JV")</f>
        <v>19039.47</v>
      </c>
      <c r="AF39" s="18"/>
      <c r="AG39" s="60"/>
      <c r="AI39" s="60">
        <f>AG37-AG39</f>
        <v>4123.5600000000004</v>
      </c>
      <c r="AJ39" s="61"/>
      <c r="AK39" s="62">
        <f>AJ37-GETPIVOTDATA("Sum of 5% TAX ON EXP (BILL)",PIVOT!$B$31,"PMT METHOD","MPXX ROSE")-GETPIVOTDATA(" 5% TAX ON MACH (BILL)",PIVOT!$B$31,"PMT METHOD","MPXX ROSE")</f>
        <v>4123.5600000000004</v>
      </c>
      <c r="AL39" s="18"/>
    </row>
    <row r="40" spans="1:38" x14ac:dyDescent="0.25">
      <c r="A40" s="35"/>
      <c r="L40" s="189"/>
      <c r="N40" s="34"/>
      <c r="Z40" s="18"/>
      <c r="AA40" s="35"/>
      <c r="AB40" s="61"/>
      <c r="AD40" s="61"/>
      <c r="AE40" s="34"/>
      <c r="AF40" s="18"/>
      <c r="AG40" s="35"/>
      <c r="AH40" s="61"/>
      <c r="AJ40" s="61"/>
      <c r="AK40" s="34"/>
      <c r="AL40" s="18"/>
    </row>
    <row r="41" spans="1:38" x14ac:dyDescent="0.25">
      <c r="A41" s="35"/>
      <c r="H41" s="266" t="s">
        <v>297</v>
      </c>
      <c r="I41" s="266"/>
      <c r="J41" s="266"/>
      <c r="K41" s="266"/>
      <c r="L41" s="188">
        <f>GETPIVOTDATA(" EXPENSES WITHOUT TAX (BILL)",PIVOT!$B$69,"PMT METHOD","ADVANCE TO WORKERS","CATEGORY","FACTORY EXPENSES")</f>
        <v>2965</v>
      </c>
      <c r="M41" s="86"/>
      <c r="N41" s="87"/>
      <c r="Z41" s="18"/>
      <c r="AA41" s="35"/>
      <c r="AB41" s="33" t="s">
        <v>121</v>
      </c>
      <c r="AD41" s="33" t="s">
        <v>122</v>
      </c>
      <c r="AE41" s="34"/>
      <c r="AF41" s="18"/>
      <c r="AG41" s="35"/>
      <c r="AH41" s="33" t="s">
        <v>121</v>
      </c>
      <c r="AJ41" s="33" t="s">
        <v>122</v>
      </c>
      <c r="AK41" s="34"/>
      <c r="AL41" s="18"/>
    </row>
    <row r="42" spans="1:38" ht="15.75" thickBot="1" x14ac:dyDescent="0.3">
      <c r="A42" s="35"/>
      <c r="N42" s="34"/>
      <c r="Z42" s="18"/>
      <c r="AA42" s="35"/>
      <c r="AB42" s="40">
        <f>GETPIVOTDATA(" ADVANCE (BILL)",PIVOT!$B$31,"PMT METHOD","XMXX BHAI JV")</f>
        <v>10885.59</v>
      </c>
      <c r="AD42" s="40"/>
      <c r="AE42" s="34"/>
      <c r="AF42" s="18"/>
      <c r="AG42" s="35"/>
      <c r="AH42" s="40"/>
      <c r="AJ42" s="40"/>
      <c r="AK42" s="34"/>
      <c r="AL42" s="18"/>
    </row>
    <row r="43" spans="1:38" ht="15.75" thickBot="1" x14ac:dyDescent="0.3">
      <c r="A43" s="41"/>
      <c r="B43" s="39"/>
      <c r="C43" s="39"/>
      <c r="D43" s="39"/>
      <c r="E43" s="39"/>
      <c r="F43" s="39"/>
      <c r="G43" s="39"/>
      <c r="H43" s="268" t="s">
        <v>297</v>
      </c>
      <c r="I43" s="268"/>
      <c r="J43" s="268"/>
      <c r="K43" s="268"/>
      <c r="L43" s="143"/>
      <c r="M43" s="112"/>
      <c r="N43" s="113"/>
      <c r="Q43" s="247" t="s">
        <v>103</v>
      </c>
      <c r="R43" s="248"/>
      <c r="S43" s="248"/>
      <c r="T43" s="248"/>
      <c r="U43" s="248"/>
      <c r="V43" s="248"/>
      <c r="W43" s="249"/>
      <c r="Z43" s="18"/>
      <c r="AA43" s="35"/>
      <c r="AB43" s="83"/>
      <c r="AD43" s="83"/>
      <c r="AE43" s="34"/>
      <c r="AF43" s="18"/>
      <c r="AG43" s="35"/>
      <c r="AH43" s="83"/>
      <c r="AJ43" s="83"/>
      <c r="AK43" s="34"/>
      <c r="AL43" s="18"/>
    </row>
    <row r="44" spans="1:38" ht="15.75" thickBot="1" x14ac:dyDescent="0.3">
      <c r="Q44" s="250"/>
      <c r="R44" s="251"/>
      <c r="S44" s="251"/>
      <c r="T44" s="251"/>
      <c r="U44" s="251"/>
      <c r="V44" s="251"/>
      <c r="W44" s="252"/>
      <c r="Z44" s="18"/>
      <c r="AA44" s="35"/>
      <c r="AB44" s="33" t="s">
        <v>214</v>
      </c>
      <c r="AD44" s="33" t="s">
        <v>129</v>
      </c>
      <c r="AE44" s="34"/>
      <c r="AF44" s="18"/>
      <c r="AG44" s="35"/>
      <c r="AH44" s="33" t="s">
        <v>128</v>
      </c>
      <c r="AJ44" s="33" t="s">
        <v>300</v>
      </c>
      <c r="AK44" s="34"/>
      <c r="AL44" s="18"/>
    </row>
    <row r="45" spans="1:38" ht="21.75" thickBot="1" x14ac:dyDescent="0.4">
      <c r="Q45" s="253" t="s">
        <v>105</v>
      </c>
      <c r="R45" s="254"/>
      <c r="S45" s="254"/>
      <c r="T45" s="254"/>
      <c r="U45" s="254"/>
      <c r="V45" s="254"/>
      <c r="W45" s="255"/>
      <c r="Z45" s="18"/>
      <c r="AA45" s="35"/>
      <c r="AB45" s="40"/>
      <c r="AD45" s="40"/>
      <c r="AE45" s="34"/>
      <c r="AF45" s="18"/>
      <c r="AG45" s="35"/>
      <c r="AH45" s="40"/>
      <c r="AJ45" s="40"/>
      <c r="AK45" s="34"/>
      <c r="AL45" s="18"/>
    </row>
    <row r="46" spans="1:38" ht="16.5" thickBot="1" x14ac:dyDescent="0.3">
      <c r="G46" s="54"/>
      <c r="Q46" s="262" t="s">
        <v>302</v>
      </c>
      <c r="R46" s="263"/>
      <c r="S46" s="263"/>
      <c r="T46" s="263"/>
      <c r="U46" s="263"/>
      <c r="V46" s="263"/>
      <c r="W46" s="264"/>
      <c r="Z46" s="18"/>
      <c r="AA46" s="35"/>
      <c r="AB46" s="83"/>
      <c r="AE46" s="34"/>
      <c r="AF46" s="18"/>
      <c r="AG46" s="35"/>
      <c r="AH46" s="83"/>
      <c r="AK46" s="34"/>
      <c r="AL46" s="18"/>
    </row>
    <row r="47" spans="1:38" x14ac:dyDescent="0.25">
      <c r="G47" s="54"/>
      <c r="Q47" s="27"/>
      <c r="R47" s="28"/>
      <c r="S47" s="28"/>
      <c r="T47" s="36"/>
      <c r="U47" s="28"/>
      <c r="V47" s="28"/>
      <c r="W47" s="37"/>
      <c r="Z47" s="18"/>
      <c r="AA47" s="35"/>
      <c r="AB47" s="33" t="s">
        <v>138</v>
      </c>
      <c r="AE47" s="34"/>
      <c r="AF47" s="18"/>
      <c r="AG47" s="35"/>
      <c r="AH47" s="33" t="s">
        <v>138</v>
      </c>
      <c r="AK47" s="34"/>
      <c r="AL47" s="18"/>
    </row>
    <row r="48" spans="1:38" ht="15.75" x14ac:dyDescent="0.25">
      <c r="G48" s="54"/>
      <c r="Q48" s="43" t="s">
        <v>113</v>
      </c>
      <c r="R48" s="44"/>
      <c r="T48" s="45"/>
      <c r="U48" s="46" t="s">
        <v>114</v>
      </c>
      <c r="W48" s="34"/>
      <c r="Z48" s="18"/>
      <c r="AA48" s="35"/>
      <c r="AB48" s="40"/>
      <c r="AE48" s="34"/>
      <c r="AF48" s="18"/>
      <c r="AG48" s="35"/>
      <c r="AH48" s="40"/>
      <c r="AK48" s="34"/>
      <c r="AL48" s="18"/>
    </row>
    <row r="49" spans="7:38" ht="16.5" thickBot="1" x14ac:dyDescent="0.3">
      <c r="G49" s="54"/>
      <c r="Q49" s="55"/>
      <c r="R49" s="56" t="s">
        <v>116</v>
      </c>
      <c r="S49" s="57">
        <f>C2</f>
        <v>3092277.7548000007</v>
      </c>
      <c r="T49" s="45"/>
      <c r="U49" s="58"/>
      <c r="V49" s="144" t="s">
        <v>73</v>
      </c>
      <c r="W49" s="59">
        <f>W7</f>
        <v>123206</v>
      </c>
      <c r="Y49" s="54"/>
      <c r="Z49" s="18"/>
      <c r="AA49" s="41"/>
      <c r="AB49" s="39"/>
      <c r="AC49" s="39"/>
      <c r="AD49" s="39"/>
      <c r="AE49" s="42"/>
      <c r="AF49" s="18"/>
      <c r="AG49" s="41"/>
      <c r="AH49" s="39"/>
      <c r="AI49" s="39"/>
      <c r="AJ49" s="39"/>
      <c r="AK49" s="42"/>
      <c r="AL49" s="18"/>
    </row>
    <row r="50" spans="7:38" ht="15.75" x14ac:dyDescent="0.25">
      <c r="Q50" s="63" t="s">
        <v>119</v>
      </c>
      <c r="R50" s="64"/>
      <c r="S50" s="28"/>
      <c r="T50" s="45"/>
      <c r="U50" s="65" t="s">
        <v>120</v>
      </c>
      <c r="V50" s="28"/>
      <c r="W50" s="29"/>
    </row>
    <row r="51" spans="7:38" ht="15.75" thickBot="1" x14ac:dyDescent="0.3">
      <c r="Q51" s="72"/>
      <c r="R51" s="56" t="s">
        <v>49</v>
      </c>
      <c r="S51">
        <f>S9</f>
        <v>112026.5885714286</v>
      </c>
      <c r="T51" s="45"/>
      <c r="U51" s="39"/>
      <c r="V51" s="39" t="s">
        <v>74</v>
      </c>
      <c r="W51" s="42">
        <f>W9</f>
        <v>9379.75</v>
      </c>
    </row>
    <row r="52" spans="7:38" ht="16.5" thickBot="1" x14ac:dyDescent="0.3">
      <c r="Q52" s="55"/>
      <c r="R52" s="39" t="s">
        <v>50</v>
      </c>
      <c r="S52">
        <f>DASHBOARD!H13+DASHBOARD!H19</f>
        <v>74872.010717040001</v>
      </c>
      <c r="T52" s="45"/>
      <c r="U52" s="65" t="s">
        <v>124</v>
      </c>
      <c r="V52" s="28"/>
      <c r="W52" s="29"/>
    </row>
    <row r="53" spans="7:38" ht="15.75" x14ac:dyDescent="0.25">
      <c r="Q53" s="63" t="s">
        <v>125</v>
      </c>
      <c r="R53" s="64"/>
      <c r="S53" s="28"/>
      <c r="T53" s="45"/>
      <c r="V53" t="s">
        <v>75</v>
      </c>
      <c r="W53" s="34">
        <f>W11</f>
        <v>17211.82</v>
      </c>
    </row>
    <row r="54" spans="7:38" ht="15.75" thickBot="1" x14ac:dyDescent="0.3">
      <c r="Q54" s="72"/>
      <c r="R54" t="s">
        <v>51</v>
      </c>
      <c r="S54">
        <f>S12</f>
        <v>1095.2443333333333</v>
      </c>
      <c r="T54" s="45"/>
      <c r="U54" s="44"/>
      <c r="V54" t="s">
        <v>76</v>
      </c>
      <c r="W54" s="34">
        <f>W12</f>
        <v>1102</v>
      </c>
    </row>
    <row r="55" spans="7:38" ht="31.5" x14ac:dyDescent="0.25">
      <c r="P55" s="99"/>
      <c r="Q55" s="100" t="s">
        <v>132</v>
      </c>
      <c r="R55" s="101"/>
      <c r="S55" s="102"/>
      <c r="T55" s="103"/>
      <c r="U55" s="145" t="s">
        <v>133</v>
      </c>
      <c r="V55" s="146"/>
      <c r="W55" s="147"/>
      <c r="X55" s="99"/>
    </row>
    <row r="56" spans="7:38" ht="15.75" x14ac:dyDescent="0.25">
      <c r="Q56" s="109"/>
      <c r="R56" t="s">
        <v>53</v>
      </c>
      <c r="S56" s="34">
        <f>S14</f>
        <v>0</v>
      </c>
      <c r="T56" s="110"/>
      <c r="U56" s="148"/>
      <c r="V56" t="s">
        <v>77</v>
      </c>
      <c r="W56" s="149">
        <f>W14</f>
        <v>0</v>
      </c>
    </row>
    <row r="57" spans="7:38" x14ac:dyDescent="0.25">
      <c r="Q57" s="35"/>
      <c r="R57" t="s">
        <v>55</v>
      </c>
      <c r="S57" s="34">
        <f>S15</f>
        <v>0</v>
      </c>
      <c r="T57" s="110"/>
      <c r="U57" s="148"/>
      <c r="V57" s="56" t="s">
        <v>78</v>
      </c>
      <c r="W57" s="149">
        <f>W15+GETPIVOTDATA(" EXPENSES (W/B)",PIVOT!$B$69,"CATEGORY","FACTORY EXPENSES")+GETPIVOTDATA(" EXPENSES (W/B)",PIVOT!$B$69,"CATEGORY","FACTORY CONSUMABLES")</f>
        <v>87031.95</v>
      </c>
    </row>
    <row r="58" spans="7:38" x14ac:dyDescent="0.25">
      <c r="Q58" s="35"/>
      <c r="R58" t="s">
        <v>56</v>
      </c>
      <c r="S58" s="34">
        <f>S16</f>
        <v>9739.75</v>
      </c>
      <c r="T58" s="110"/>
      <c r="U58" s="148"/>
      <c r="V58" t="s">
        <v>79</v>
      </c>
      <c r="W58" s="149">
        <f>W16</f>
        <v>0</v>
      </c>
    </row>
    <row r="59" spans="7:38" ht="15.75" thickBot="1" x14ac:dyDescent="0.3">
      <c r="Q59" s="41"/>
      <c r="S59" s="42"/>
      <c r="T59" s="110"/>
      <c r="U59" s="148"/>
      <c r="V59" t="s">
        <v>80</v>
      </c>
      <c r="W59" s="149">
        <f>W17</f>
        <v>6945.9471428571433</v>
      </c>
    </row>
    <row r="60" spans="7:38" ht="15.75" x14ac:dyDescent="0.25">
      <c r="Q60" s="63" t="s">
        <v>150</v>
      </c>
      <c r="R60" s="64"/>
      <c r="S60" s="29"/>
      <c r="T60" s="150"/>
      <c r="U60" s="148"/>
      <c r="V60" t="s">
        <v>82</v>
      </c>
      <c r="W60" s="149">
        <f>W19</f>
        <v>2315.86</v>
      </c>
    </row>
    <row r="61" spans="7:38" x14ac:dyDescent="0.25">
      <c r="Q61" s="35"/>
      <c r="R61" t="s">
        <v>57</v>
      </c>
      <c r="S61" s="34">
        <f t="shared" ref="S61:S66" si="0">S19</f>
        <v>0</v>
      </c>
      <c r="T61" s="150"/>
      <c r="U61" s="148"/>
      <c r="V61" t="s">
        <v>83</v>
      </c>
      <c r="W61" s="149">
        <f>W20</f>
        <v>0</v>
      </c>
    </row>
    <row r="62" spans="7:38" x14ac:dyDescent="0.25">
      <c r="Q62" s="35"/>
      <c r="R62" t="s">
        <v>58</v>
      </c>
      <c r="S62" s="34">
        <f t="shared" si="0"/>
        <v>0</v>
      </c>
      <c r="T62" s="150"/>
      <c r="U62" s="148"/>
      <c r="V62" t="s">
        <v>84</v>
      </c>
      <c r="W62" s="149">
        <f>W21</f>
        <v>936.25</v>
      </c>
    </row>
    <row r="63" spans="7:38" x14ac:dyDescent="0.25">
      <c r="Q63" s="35"/>
      <c r="R63" t="s">
        <v>59</v>
      </c>
      <c r="S63" s="34">
        <f t="shared" si="0"/>
        <v>2389.48</v>
      </c>
      <c r="T63" s="150"/>
      <c r="U63" s="148"/>
      <c r="V63" s="151" t="s">
        <v>151</v>
      </c>
      <c r="W63" s="149">
        <v>40200</v>
      </c>
    </row>
    <row r="64" spans="7:38" x14ac:dyDescent="0.25">
      <c r="Q64" s="35"/>
      <c r="R64" t="s">
        <v>60</v>
      </c>
      <c r="S64" s="34">
        <f t="shared" si="0"/>
        <v>0</v>
      </c>
      <c r="T64" s="150"/>
      <c r="U64" s="148"/>
      <c r="V64" s="151" t="s">
        <v>152</v>
      </c>
      <c r="W64" s="149">
        <v>22713</v>
      </c>
    </row>
    <row r="65" spans="17:23" x14ac:dyDescent="0.25">
      <c r="Q65" s="35"/>
      <c r="R65" t="s">
        <v>62</v>
      </c>
      <c r="S65" s="34">
        <f t="shared" si="0"/>
        <v>770</v>
      </c>
      <c r="T65" s="150"/>
      <c r="U65" s="148"/>
      <c r="V65" s="151" t="s">
        <v>153</v>
      </c>
      <c r="W65" s="149">
        <v>12460</v>
      </c>
    </row>
    <row r="66" spans="17:23" x14ac:dyDescent="0.25">
      <c r="Q66" s="35"/>
      <c r="R66" t="s">
        <v>63</v>
      </c>
      <c r="S66" s="34">
        <f t="shared" si="0"/>
        <v>0</v>
      </c>
      <c r="T66" s="150"/>
      <c r="U66" s="148"/>
      <c r="V66" s="151" t="s">
        <v>154</v>
      </c>
      <c r="W66" s="149">
        <v>19615</v>
      </c>
    </row>
    <row r="67" spans="17:23" x14ac:dyDescent="0.25">
      <c r="Q67" s="35"/>
      <c r="R67" t="s">
        <v>155</v>
      </c>
      <c r="S67" s="34"/>
      <c r="T67" s="150"/>
      <c r="U67" s="148"/>
      <c r="V67" s="151" t="s">
        <v>156</v>
      </c>
      <c r="W67" s="149">
        <v>5000</v>
      </c>
    </row>
    <row r="68" spans="17:23" x14ac:dyDescent="0.25">
      <c r="Q68" s="35"/>
      <c r="R68" s="56" t="s">
        <v>157</v>
      </c>
      <c r="S68" s="34">
        <f>GETPIVOTDATA(" EXPENSES WITHOUT TAX (BILL)",PIVOT!$B$69,"CATEGORY","SALARY PAYBLE")</f>
        <v>700294</v>
      </c>
      <c r="T68" s="150"/>
      <c r="U68" s="148"/>
      <c r="V68" s="151" t="s">
        <v>100</v>
      </c>
      <c r="W68" s="149">
        <v>1500</v>
      </c>
    </row>
    <row r="69" spans="17:23" x14ac:dyDescent="0.25">
      <c r="Q69" s="35"/>
      <c r="R69" s="56" t="s">
        <v>158</v>
      </c>
      <c r="S69" s="34"/>
      <c r="T69" s="150"/>
      <c r="U69" s="148"/>
      <c r="W69" s="149"/>
    </row>
    <row r="70" spans="17:23" x14ac:dyDescent="0.25">
      <c r="Q70" s="35"/>
      <c r="R70" t="s">
        <v>81</v>
      </c>
      <c r="S70" s="34">
        <f>W18</f>
        <v>7650</v>
      </c>
      <c r="T70" s="150"/>
      <c r="U70" s="148"/>
      <c r="V70" t="s">
        <v>217</v>
      </c>
      <c r="W70" s="149">
        <f>W27</f>
        <v>37976.400000000001</v>
      </c>
    </row>
    <row r="71" spans="17:23" x14ac:dyDescent="0.25">
      <c r="Q71" s="35"/>
      <c r="R71" t="s">
        <v>64</v>
      </c>
      <c r="S71" s="34">
        <f>S25</f>
        <v>7213</v>
      </c>
      <c r="T71" s="150"/>
      <c r="U71" s="148"/>
      <c r="V71" t="s">
        <v>88</v>
      </c>
      <c r="W71" s="149">
        <f>W25</f>
        <v>19946</v>
      </c>
    </row>
    <row r="72" spans="17:23" x14ac:dyDescent="0.25">
      <c r="Q72" s="35"/>
      <c r="R72" t="s">
        <v>65</v>
      </c>
      <c r="S72" s="34">
        <f>S26</f>
        <v>29000</v>
      </c>
      <c r="T72" s="150"/>
      <c r="U72" s="148"/>
      <c r="V72" t="s">
        <v>89</v>
      </c>
      <c r="W72" s="149">
        <f>W26</f>
        <v>0</v>
      </c>
    </row>
    <row r="73" spans="17:23" ht="15.75" thickBot="1" x14ac:dyDescent="0.3">
      <c r="Q73" s="35"/>
      <c r="R73" t="s">
        <v>66</v>
      </c>
      <c r="S73" s="34">
        <f>S27</f>
        <v>1724.59</v>
      </c>
      <c r="T73" s="150"/>
      <c r="U73" s="152"/>
      <c r="V73" s="153"/>
      <c r="W73" s="154"/>
    </row>
    <row r="74" spans="17:23" ht="15.75" x14ac:dyDescent="0.25">
      <c r="Q74" s="35"/>
      <c r="R74" t="s">
        <v>67</v>
      </c>
      <c r="S74" s="34">
        <f>S28</f>
        <v>45</v>
      </c>
      <c r="T74" s="150"/>
      <c r="U74" s="131" t="s">
        <v>146</v>
      </c>
      <c r="V74" s="132" t="s">
        <v>147</v>
      </c>
      <c r="W74" s="133"/>
    </row>
    <row r="75" spans="17:23" ht="15.75" x14ac:dyDescent="0.25">
      <c r="Q75" s="35"/>
      <c r="R75" t="s">
        <v>68</v>
      </c>
      <c r="S75" s="34">
        <f>S29</f>
        <v>1419.1000000000001</v>
      </c>
      <c r="T75" s="150"/>
      <c r="U75" s="35"/>
      <c r="V75" s="134" t="str">
        <f>"="&amp;S49&amp;" - "&amp;SUM(S51:S52,S54,S57:S59,S61:S77,W49,W51,W53:W54,W56:W61,S56,W62:W72,S78)</f>
        <v>=3092277.7548 - 1360632.61076466</v>
      </c>
      <c r="W75" s="34"/>
    </row>
    <row r="76" spans="17:23" ht="18.75" x14ac:dyDescent="0.3">
      <c r="Q76" s="35"/>
      <c r="R76" t="s">
        <v>69</v>
      </c>
      <c r="S76" s="34"/>
      <c r="T76" s="150"/>
      <c r="U76" s="35"/>
      <c r="V76" s="135">
        <f>S49-SUM(S51:S52,S54,S57:S59,S61:S77,W49,W51,W53:W54,W56:W61,S56,W62:W72,S78)-S79</f>
        <v>1731644.3540353414</v>
      </c>
      <c r="W76" s="34"/>
    </row>
    <row r="77" spans="17:23" x14ac:dyDescent="0.25">
      <c r="Q77" s="35"/>
      <c r="R77" t="s">
        <v>70</v>
      </c>
      <c r="S77" s="34">
        <f>S31</f>
        <v>1541.25</v>
      </c>
      <c r="T77" s="150"/>
      <c r="U77" s="35"/>
      <c r="W77" s="34"/>
    </row>
    <row r="78" spans="17:23" ht="15.75" x14ac:dyDescent="0.25">
      <c r="Q78" s="35"/>
      <c r="R78" t="s">
        <v>71</v>
      </c>
      <c r="S78" s="34">
        <f>S32</f>
        <v>3312.62</v>
      </c>
      <c r="T78" s="150"/>
      <c r="U78" s="182"/>
      <c r="V78" s="183" t="str">
        <f>"👀= " &amp; SUM(S51:S52,S54,S57:S59,S61:S69,S70:S77,W49,W51,W53:W54,W56:W61,S56,W62:W72,S78)-SUM(W63:W68)-SUM(S68:S69)-GETPIVOTDATA(" EXPENSES (W/B)",PIVOT!$B$69,"CATEGORY","FACTORY EXPENSES")-H19+W22-GETPIVOTDATA(" EXPENSES (W/B)",PIVOT!$B$69,"CATEGORY","FACTORY CONSUMABLES")</f>
        <v>👀= 475234.890047619</v>
      </c>
      <c r="W78" s="34"/>
    </row>
    <row r="79" spans="17:23" x14ac:dyDescent="0.25">
      <c r="Q79" s="106"/>
      <c r="R79" t="s">
        <v>72</v>
      </c>
      <c r="S79" s="108">
        <f>S33</f>
        <v>0.79</v>
      </c>
      <c r="T79" s="155"/>
      <c r="U79" s="141"/>
      <c r="V79" s="99"/>
      <c r="W79" s="108"/>
    </row>
    <row r="80" spans="17:23" ht="15.75" thickBot="1" x14ac:dyDescent="0.3">
      <c r="Q80" s="41"/>
      <c r="R80" s="39"/>
      <c r="S80" s="42"/>
      <c r="T80" s="156"/>
      <c r="U80" s="41"/>
      <c r="V80" s="39"/>
      <c r="W80" s="42"/>
    </row>
    <row r="85" spans="22:22" x14ac:dyDescent="0.25">
      <c r="V85" s="196"/>
    </row>
  </sheetData>
  <mergeCells count="19">
    <mergeCell ref="Q46:W46"/>
    <mergeCell ref="H25:K25"/>
    <mergeCell ref="H27:K27"/>
    <mergeCell ref="H29:K29"/>
    <mergeCell ref="H31:K31"/>
    <mergeCell ref="H33:K33"/>
    <mergeCell ref="H35:K35"/>
    <mergeCell ref="H37:K37"/>
    <mergeCell ref="H39:K39"/>
    <mergeCell ref="H43:K43"/>
    <mergeCell ref="Q43:W44"/>
    <mergeCell ref="Q45:W45"/>
    <mergeCell ref="H41:K41"/>
    <mergeCell ref="H23:K23"/>
    <mergeCell ref="Q1:W2"/>
    <mergeCell ref="Q3:W3"/>
    <mergeCell ref="F4:F6"/>
    <mergeCell ref="G4:G6"/>
    <mergeCell ref="Q4:W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77691-3AD3-4CE0-B623-5E961268B9F9}">
  <sheetPr codeName="Sheet7"/>
  <dimension ref="A1:I136"/>
  <sheetViews>
    <sheetView workbookViewId="0">
      <selection activeCell="F15" sqref="F15"/>
    </sheetView>
  </sheetViews>
  <sheetFormatPr defaultRowHeight="15" x14ac:dyDescent="0.25"/>
  <cols>
    <col min="1" max="1" width="13.28515625" bestFit="1" customWidth="1"/>
    <col min="2" max="2" width="28.5703125" bestFit="1" customWidth="1"/>
    <col min="3" max="3" width="31.140625" bestFit="1" customWidth="1"/>
    <col min="4" max="4" width="35" bestFit="1" customWidth="1"/>
    <col min="5" max="5" width="2.140625" customWidth="1"/>
    <col min="6" max="6" width="23.5703125" bestFit="1" customWidth="1"/>
    <col min="7" max="7" width="62.140625" bestFit="1" customWidth="1"/>
    <col min="8" max="8" width="20.85546875" bestFit="1" customWidth="1"/>
    <col min="9" max="9" width="21.7109375" bestFit="1" customWidth="1"/>
  </cols>
  <sheetData>
    <row r="1" spans="1:9" ht="15.75" thickBot="1" x14ac:dyDescent="0.3">
      <c r="A1" s="159" t="s">
        <v>31</v>
      </c>
      <c r="B1" s="160" t="s">
        <v>32</v>
      </c>
      <c r="C1" s="161" t="s">
        <v>159</v>
      </c>
      <c r="D1" s="162" t="s">
        <v>160</v>
      </c>
      <c r="E1" s="163"/>
      <c r="F1" s="164" t="s">
        <v>32</v>
      </c>
      <c r="G1" s="165" t="s">
        <v>161</v>
      </c>
      <c r="H1" s="166" t="s">
        <v>162</v>
      </c>
      <c r="I1" s="167" t="s">
        <v>163</v>
      </c>
    </row>
    <row r="2" spans="1:9" x14ac:dyDescent="0.25">
      <c r="A2" t="s">
        <v>48</v>
      </c>
      <c r="B2" t="s">
        <v>49</v>
      </c>
      <c r="C2">
        <v>89767.978499999997</v>
      </c>
      <c r="D2">
        <v>9205</v>
      </c>
      <c r="F2" t="s">
        <v>92</v>
      </c>
      <c r="G2" s="271" t="s">
        <v>310</v>
      </c>
      <c r="H2" s="271">
        <v>500</v>
      </c>
      <c r="I2" s="271">
        <v>0</v>
      </c>
    </row>
    <row r="3" spans="1:9" x14ac:dyDescent="0.25">
      <c r="B3" t="s">
        <v>68</v>
      </c>
      <c r="C3">
        <v>501.04250000000008</v>
      </c>
      <c r="D3">
        <v>0</v>
      </c>
      <c r="G3" s="271" t="s">
        <v>331</v>
      </c>
      <c r="H3" s="271">
        <v>100</v>
      </c>
      <c r="I3" s="271">
        <v>0</v>
      </c>
    </row>
    <row r="4" spans="1:9" x14ac:dyDescent="0.25">
      <c r="B4" t="s">
        <v>73</v>
      </c>
      <c r="C4">
        <v>89606</v>
      </c>
      <c r="D4">
        <v>0</v>
      </c>
      <c r="G4" s="271" t="s">
        <v>355</v>
      </c>
      <c r="H4" s="271">
        <v>1500</v>
      </c>
      <c r="I4" s="271">
        <v>0</v>
      </c>
    </row>
    <row r="5" spans="1:9" x14ac:dyDescent="0.25">
      <c r="B5" t="s">
        <v>70</v>
      </c>
      <c r="C5">
        <v>1541.25</v>
      </c>
      <c r="D5">
        <v>0</v>
      </c>
      <c r="G5" s="271" t="s">
        <v>356</v>
      </c>
      <c r="H5" s="271">
        <v>3000</v>
      </c>
      <c r="I5" s="271">
        <v>0</v>
      </c>
    </row>
    <row r="6" spans="1:9" x14ac:dyDescent="0.25">
      <c r="B6" t="s">
        <v>84</v>
      </c>
      <c r="C6">
        <v>936.25</v>
      </c>
      <c r="D6">
        <v>0</v>
      </c>
      <c r="G6" s="271" t="s">
        <v>370</v>
      </c>
      <c r="H6" s="271">
        <v>500</v>
      </c>
      <c r="I6" s="271">
        <v>0</v>
      </c>
    </row>
    <row r="7" spans="1:9" x14ac:dyDescent="0.25">
      <c r="B7" t="s">
        <v>92</v>
      </c>
      <c r="C7">
        <v>109525</v>
      </c>
      <c r="D7">
        <v>0</v>
      </c>
      <c r="G7" s="271" t="s">
        <v>376</v>
      </c>
      <c r="H7" s="271">
        <v>100</v>
      </c>
      <c r="I7" s="271">
        <v>0</v>
      </c>
    </row>
    <row r="8" spans="1:9" x14ac:dyDescent="0.25">
      <c r="B8" t="s">
        <v>64</v>
      </c>
      <c r="C8">
        <v>7213</v>
      </c>
      <c r="D8">
        <v>0</v>
      </c>
      <c r="G8" s="271" t="s">
        <v>379</v>
      </c>
      <c r="H8" s="271">
        <v>200</v>
      </c>
      <c r="I8" s="271">
        <v>0</v>
      </c>
    </row>
    <row r="9" spans="1:9" x14ac:dyDescent="0.25">
      <c r="B9" t="s">
        <v>91</v>
      </c>
      <c r="C9">
        <v>700294</v>
      </c>
      <c r="D9">
        <v>0</v>
      </c>
      <c r="G9" s="271" t="s">
        <v>382</v>
      </c>
      <c r="H9" s="271">
        <v>2000</v>
      </c>
      <c r="I9" s="271">
        <v>0</v>
      </c>
    </row>
    <row r="10" spans="1:9" x14ac:dyDescent="0.25">
      <c r="B10" t="s">
        <v>76</v>
      </c>
      <c r="C10">
        <v>1102</v>
      </c>
      <c r="D10">
        <v>0</v>
      </c>
      <c r="G10" s="271" t="s">
        <v>384</v>
      </c>
      <c r="H10" s="271">
        <v>500</v>
      </c>
      <c r="I10" s="271">
        <v>0</v>
      </c>
    </row>
    <row r="11" spans="1:9" x14ac:dyDescent="0.25">
      <c r="B11" t="s">
        <v>56</v>
      </c>
      <c r="C11">
        <v>3000</v>
      </c>
      <c r="D11">
        <v>0</v>
      </c>
      <c r="G11" s="271" t="s">
        <v>396</v>
      </c>
      <c r="H11" s="271">
        <v>100</v>
      </c>
      <c r="I11" s="271">
        <v>0</v>
      </c>
    </row>
    <row r="12" spans="1:9" x14ac:dyDescent="0.25">
      <c r="B12" t="s">
        <v>90</v>
      </c>
      <c r="C12">
        <v>73417.14</v>
      </c>
      <c r="D12">
        <v>0</v>
      </c>
      <c r="G12" s="271" t="s">
        <v>399</v>
      </c>
      <c r="H12" s="271">
        <v>2000</v>
      </c>
      <c r="I12" s="271">
        <v>0</v>
      </c>
    </row>
    <row r="13" spans="1:9" x14ac:dyDescent="0.25">
      <c r="B13" t="s">
        <v>51</v>
      </c>
      <c r="C13">
        <v>1150.0065499999998</v>
      </c>
      <c r="D13">
        <v>0</v>
      </c>
      <c r="G13" s="271" t="s">
        <v>402</v>
      </c>
      <c r="H13" s="271">
        <v>100</v>
      </c>
      <c r="I13" s="271">
        <v>0</v>
      </c>
    </row>
    <row r="14" spans="1:9" x14ac:dyDescent="0.25">
      <c r="B14" t="s">
        <v>93</v>
      </c>
      <c r="C14">
        <v>40600</v>
      </c>
      <c r="D14">
        <v>0</v>
      </c>
      <c r="G14" s="271" t="s">
        <v>404</v>
      </c>
      <c r="H14" s="271">
        <v>300</v>
      </c>
      <c r="I14" s="271">
        <v>0</v>
      </c>
    </row>
    <row r="15" spans="1:9" x14ac:dyDescent="0.25">
      <c r="B15" t="s">
        <v>78</v>
      </c>
      <c r="C15">
        <v>4530.585</v>
      </c>
      <c r="D15">
        <v>70430</v>
      </c>
      <c r="G15" s="271" t="s">
        <v>405</v>
      </c>
      <c r="H15" s="271">
        <v>500</v>
      </c>
      <c r="I15" s="271">
        <v>0</v>
      </c>
    </row>
    <row r="16" spans="1:9" x14ac:dyDescent="0.25">
      <c r="B16" t="s">
        <v>226</v>
      </c>
      <c r="C16">
        <v>1925</v>
      </c>
      <c r="D16">
        <v>0</v>
      </c>
      <c r="G16" s="271" t="s">
        <v>413</v>
      </c>
      <c r="H16" s="271">
        <v>3000</v>
      </c>
      <c r="I16" s="271">
        <v>0</v>
      </c>
    </row>
    <row r="17" spans="2:9" x14ac:dyDescent="0.25">
      <c r="B17" t="s">
        <v>88</v>
      </c>
      <c r="C17">
        <v>4362</v>
      </c>
      <c r="D17">
        <v>0</v>
      </c>
      <c r="G17" s="271" t="s">
        <v>414</v>
      </c>
      <c r="H17" s="271">
        <v>500</v>
      </c>
      <c r="I17" s="271">
        <v>0</v>
      </c>
    </row>
    <row r="18" spans="2:9" x14ac:dyDescent="0.25">
      <c r="B18" t="s">
        <v>81</v>
      </c>
      <c r="C18">
        <v>2500</v>
      </c>
      <c r="D18">
        <v>0</v>
      </c>
      <c r="G18" s="271" t="s">
        <v>418</v>
      </c>
      <c r="H18" s="271">
        <v>1000</v>
      </c>
      <c r="I18" s="271">
        <v>0</v>
      </c>
    </row>
    <row r="19" spans="2:9" x14ac:dyDescent="0.25">
      <c r="B19" t="s">
        <v>80</v>
      </c>
      <c r="C19">
        <v>6973.9944999999998</v>
      </c>
      <c r="D19">
        <v>0</v>
      </c>
      <c r="G19" s="271" t="s">
        <v>421</v>
      </c>
      <c r="H19" s="271">
        <v>100</v>
      </c>
      <c r="I19" s="271">
        <v>0</v>
      </c>
    </row>
    <row r="20" spans="2:9" x14ac:dyDescent="0.25">
      <c r="B20" t="s">
        <v>67</v>
      </c>
      <c r="C20">
        <v>45</v>
      </c>
      <c r="D20">
        <v>0</v>
      </c>
      <c r="G20" s="271" t="s">
        <v>427</v>
      </c>
      <c r="H20" s="271">
        <v>300</v>
      </c>
      <c r="I20" s="271">
        <v>0</v>
      </c>
    </row>
    <row r="21" spans="2:9" x14ac:dyDescent="0.25">
      <c r="B21" t="s">
        <v>66</v>
      </c>
      <c r="C21">
        <v>1563</v>
      </c>
      <c r="D21">
        <v>0</v>
      </c>
      <c r="G21" s="271" t="s">
        <v>429</v>
      </c>
      <c r="H21" s="271">
        <v>1500</v>
      </c>
      <c r="I21" s="271">
        <v>0</v>
      </c>
    </row>
    <row r="22" spans="2:9" x14ac:dyDescent="0.25">
      <c r="B22" t="s">
        <v>82</v>
      </c>
      <c r="C22">
        <v>2134.0100000000002</v>
      </c>
      <c r="D22">
        <v>0</v>
      </c>
      <c r="G22" s="271" t="s">
        <v>430</v>
      </c>
      <c r="H22" s="271">
        <v>1500</v>
      </c>
      <c r="I22" s="271">
        <v>0</v>
      </c>
    </row>
    <row r="23" spans="2:9" x14ac:dyDescent="0.25">
      <c r="B23" t="s">
        <v>71</v>
      </c>
      <c r="C23">
        <v>3328.2510000000002</v>
      </c>
      <c r="D23">
        <v>0</v>
      </c>
      <c r="G23" s="271" t="s">
        <v>441</v>
      </c>
      <c r="H23" s="271">
        <v>100</v>
      </c>
      <c r="I23" s="271">
        <v>0</v>
      </c>
    </row>
    <row r="24" spans="2:9" x14ac:dyDescent="0.25">
      <c r="B24" t="s">
        <v>74</v>
      </c>
      <c r="C24">
        <v>9379.75</v>
      </c>
      <c r="D24">
        <v>0</v>
      </c>
      <c r="G24" s="271" t="s">
        <v>446</v>
      </c>
      <c r="H24" s="271">
        <v>5000</v>
      </c>
      <c r="I24" s="271">
        <v>0</v>
      </c>
    </row>
    <row r="25" spans="2:9" x14ac:dyDescent="0.25">
      <c r="B25" t="s">
        <v>75</v>
      </c>
      <c r="C25">
        <v>1800</v>
      </c>
      <c r="D25">
        <v>0</v>
      </c>
      <c r="G25" s="271" t="s">
        <v>452</v>
      </c>
      <c r="H25" s="271">
        <v>200</v>
      </c>
      <c r="I25" s="271">
        <v>0</v>
      </c>
    </row>
    <row r="26" spans="2:9" x14ac:dyDescent="0.25">
      <c r="B26" t="s">
        <v>95</v>
      </c>
      <c r="C26">
        <v>30300</v>
      </c>
      <c r="D26">
        <v>0</v>
      </c>
      <c r="G26" s="271" t="s">
        <v>453</v>
      </c>
      <c r="H26" s="271">
        <v>100</v>
      </c>
      <c r="I26" s="271">
        <v>0</v>
      </c>
    </row>
    <row r="27" spans="2:9" x14ac:dyDescent="0.25">
      <c r="B27" t="s">
        <v>58</v>
      </c>
      <c r="C27">
        <v>280</v>
      </c>
      <c r="D27">
        <v>0</v>
      </c>
      <c r="G27" s="271" t="s">
        <v>456</v>
      </c>
      <c r="H27" s="271">
        <v>200</v>
      </c>
      <c r="I27" s="271">
        <v>0</v>
      </c>
    </row>
    <row r="28" spans="2:9" x14ac:dyDescent="0.25">
      <c r="B28" t="s">
        <v>77</v>
      </c>
      <c r="C28">
        <v>17022.568500000001</v>
      </c>
      <c r="D28">
        <v>0</v>
      </c>
      <c r="G28" s="271" t="s">
        <v>464</v>
      </c>
      <c r="H28" s="271">
        <v>1000</v>
      </c>
      <c r="I28" s="271">
        <v>0</v>
      </c>
    </row>
    <row r="29" spans="2:9" x14ac:dyDescent="0.25">
      <c r="B29" t="s">
        <v>83</v>
      </c>
      <c r="C29">
        <v>2555.3639999999996</v>
      </c>
      <c r="D29">
        <v>0</v>
      </c>
      <c r="G29" s="271" t="s">
        <v>468</v>
      </c>
      <c r="H29" s="271">
        <v>0</v>
      </c>
      <c r="I29" s="271">
        <v>0</v>
      </c>
    </row>
    <row r="30" spans="2:9" x14ac:dyDescent="0.25">
      <c r="B30" t="s">
        <v>96</v>
      </c>
      <c r="C30">
        <v>17420</v>
      </c>
      <c r="D30">
        <v>0</v>
      </c>
      <c r="G30" s="271" t="s">
        <v>469</v>
      </c>
      <c r="H30" s="271">
        <v>200</v>
      </c>
      <c r="I30" s="271">
        <v>0</v>
      </c>
    </row>
    <row r="31" spans="2:9" x14ac:dyDescent="0.25">
      <c r="B31" t="s">
        <v>98</v>
      </c>
      <c r="C31">
        <v>0</v>
      </c>
      <c r="D31">
        <v>0</v>
      </c>
      <c r="G31" s="271" t="s">
        <v>470</v>
      </c>
      <c r="H31" s="271">
        <v>500</v>
      </c>
      <c r="I31" s="271">
        <v>0</v>
      </c>
    </row>
    <row r="32" spans="2:9" x14ac:dyDescent="0.25">
      <c r="B32" t="s">
        <v>99</v>
      </c>
      <c r="C32">
        <v>40221.96</v>
      </c>
      <c r="D32">
        <v>0</v>
      </c>
      <c r="G32" s="271" t="s">
        <v>473</v>
      </c>
      <c r="H32" s="271">
        <v>1100</v>
      </c>
      <c r="I32" s="271">
        <v>0</v>
      </c>
    </row>
    <row r="33" spans="2:9" x14ac:dyDescent="0.25">
      <c r="B33" t="s">
        <v>100</v>
      </c>
      <c r="C33">
        <v>7875</v>
      </c>
      <c r="D33">
        <v>0</v>
      </c>
      <c r="G33" s="271" t="s">
        <v>474</v>
      </c>
      <c r="H33" s="271">
        <v>50</v>
      </c>
      <c r="I33" s="271">
        <v>0</v>
      </c>
    </row>
    <row r="34" spans="2:9" x14ac:dyDescent="0.25">
      <c r="B34" t="s">
        <v>101</v>
      </c>
      <c r="C34">
        <v>0</v>
      </c>
      <c r="D34">
        <v>0</v>
      </c>
      <c r="G34" s="271" t="s">
        <v>476</v>
      </c>
      <c r="H34" s="271">
        <v>888.5</v>
      </c>
      <c r="I34" s="271">
        <v>0</v>
      </c>
    </row>
    <row r="35" spans="2:9" x14ac:dyDescent="0.25">
      <c r="B35" t="s">
        <v>102</v>
      </c>
      <c r="C35">
        <v>160</v>
      </c>
      <c r="D35">
        <v>0</v>
      </c>
      <c r="G35" s="271" t="s">
        <v>480</v>
      </c>
      <c r="H35" s="271">
        <v>100</v>
      </c>
      <c r="I35" s="271">
        <v>0</v>
      </c>
    </row>
    <row r="36" spans="2:9" x14ac:dyDescent="0.25">
      <c r="B36" t="s">
        <v>52</v>
      </c>
      <c r="C36">
        <v>385</v>
      </c>
      <c r="D36">
        <v>0</v>
      </c>
      <c r="G36" s="271" t="s">
        <v>490</v>
      </c>
      <c r="H36" s="271">
        <v>881.55</v>
      </c>
      <c r="I36" s="271">
        <v>0</v>
      </c>
    </row>
    <row r="37" spans="2:9" x14ac:dyDescent="0.25">
      <c r="B37" t="s">
        <v>65</v>
      </c>
      <c r="C37">
        <v>16000</v>
      </c>
      <c r="D37">
        <v>0</v>
      </c>
      <c r="G37" s="271" t="s">
        <v>491</v>
      </c>
      <c r="H37" s="271">
        <v>1763.11</v>
      </c>
      <c r="I37" s="271">
        <v>0</v>
      </c>
    </row>
    <row r="38" spans="2:9" x14ac:dyDescent="0.25">
      <c r="B38" t="s">
        <v>220</v>
      </c>
      <c r="C38">
        <v>100000</v>
      </c>
      <c r="D38">
        <v>0</v>
      </c>
      <c r="G38" s="271" t="s">
        <v>492</v>
      </c>
      <c r="H38" s="271">
        <v>600</v>
      </c>
      <c r="I38" s="271">
        <v>0</v>
      </c>
    </row>
    <row r="39" spans="2:9" x14ac:dyDescent="0.25">
      <c r="B39" t="s">
        <v>63</v>
      </c>
      <c r="C39">
        <v>4133.8500000000004</v>
      </c>
      <c r="D39">
        <v>0</v>
      </c>
      <c r="G39" s="271" t="s">
        <v>502</v>
      </c>
      <c r="H39" s="271">
        <v>14200</v>
      </c>
      <c r="I39" s="271">
        <v>0</v>
      </c>
    </row>
    <row r="40" spans="2:9" x14ac:dyDescent="0.25">
      <c r="B40" t="s">
        <v>221</v>
      </c>
      <c r="C40">
        <v>0</v>
      </c>
      <c r="D40">
        <v>0</v>
      </c>
      <c r="G40" s="271" t="s">
        <v>513</v>
      </c>
      <c r="H40" s="271">
        <v>2000</v>
      </c>
      <c r="I40" s="271">
        <v>0</v>
      </c>
    </row>
    <row r="41" spans="2:9" x14ac:dyDescent="0.25">
      <c r="B41" t="s">
        <v>151</v>
      </c>
      <c r="C41">
        <v>0</v>
      </c>
      <c r="D41">
        <v>0</v>
      </c>
      <c r="G41" s="271" t="s">
        <v>520</v>
      </c>
      <c r="H41" s="271">
        <v>1000</v>
      </c>
      <c r="I41" s="271">
        <v>0</v>
      </c>
    </row>
    <row r="42" spans="2:9" x14ac:dyDescent="0.25">
      <c r="B42" t="s">
        <v>224</v>
      </c>
      <c r="C42">
        <v>498.75</v>
      </c>
      <c r="D42">
        <v>0</v>
      </c>
      <c r="G42" s="271" t="s">
        <v>526</v>
      </c>
      <c r="H42" s="271">
        <v>100</v>
      </c>
      <c r="I42" s="271">
        <v>0</v>
      </c>
    </row>
    <row r="43" spans="2:9" x14ac:dyDescent="0.25">
      <c r="B43" t="s">
        <v>89</v>
      </c>
      <c r="C43">
        <v>4200</v>
      </c>
      <c r="D43">
        <v>0</v>
      </c>
      <c r="G43" s="271" t="s">
        <v>533</v>
      </c>
      <c r="H43" s="271">
        <v>1050</v>
      </c>
      <c r="I43" s="271">
        <v>0</v>
      </c>
    </row>
    <row r="44" spans="2:9" x14ac:dyDescent="0.25">
      <c r="B44" s="168" t="s">
        <v>213</v>
      </c>
      <c r="C44" s="168">
        <v>1398247.7505499995</v>
      </c>
      <c r="D44" s="168">
        <v>79635</v>
      </c>
      <c r="G44" s="271" t="s">
        <v>540</v>
      </c>
      <c r="H44" s="271">
        <v>500</v>
      </c>
      <c r="I44" s="271">
        <v>0</v>
      </c>
    </row>
    <row r="45" spans="2:9" x14ac:dyDescent="0.25">
      <c r="G45" s="271" t="s">
        <v>552</v>
      </c>
      <c r="H45" s="271">
        <v>1926</v>
      </c>
      <c r="I45" s="271">
        <v>0</v>
      </c>
    </row>
    <row r="46" spans="2:9" x14ac:dyDescent="0.25">
      <c r="G46" s="271" t="s">
        <v>578</v>
      </c>
      <c r="H46" s="271">
        <v>500</v>
      </c>
      <c r="I46" s="271">
        <v>0</v>
      </c>
    </row>
    <row r="47" spans="2:9" x14ac:dyDescent="0.25">
      <c r="G47" s="271" t="s">
        <v>592</v>
      </c>
      <c r="H47" s="271">
        <v>1000</v>
      </c>
      <c r="I47" s="271">
        <v>0</v>
      </c>
    </row>
    <row r="48" spans="2:9" x14ac:dyDescent="0.25">
      <c r="G48" s="271" t="s">
        <v>600</v>
      </c>
      <c r="H48" s="271">
        <v>150</v>
      </c>
      <c r="I48" s="271">
        <v>0</v>
      </c>
    </row>
    <row r="49" spans="7:9" x14ac:dyDescent="0.25">
      <c r="G49" s="271" t="s">
        <v>612</v>
      </c>
      <c r="H49" s="271">
        <v>200</v>
      </c>
      <c r="I49" s="271">
        <v>0</v>
      </c>
    </row>
    <row r="50" spans="7:9" x14ac:dyDescent="0.25">
      <c r="G50" s="271" t="s">
        <v>624</v>
      </c>
      <c r="H50" s="271">
        <v>100</v>
      </c>
      <c r="I50" s="271">
        <v>0</v>
      </c>
    </row>
    <row r="51" spans="7:9" x14ac:dyDescent="0.25">
      <c r="G51" s="271" t="s">
        <v>638</v>
      </c>
      <c r="H51" s="271">
        <v>3000</v>
      </c>
      <c r="I51" s="271">
        <v>0</v>
      </c>
    </row>
    <row r="52" spans="7:9" x14ac:dyDescent="0.25">
      <c r="G52" s="271" t="s">
        <v>639</v>
      </c>
      <c r="H52" s="271">
        <v>1000</v>
      </c>
      <c r="I52" s="271">
        <v>0</v>
      </c>
    </row>
    <row r="53" spans="7:9" x14ac:dyDescent="0.25">
      <c r="G53" s="271" t="s">
        <v>641</v>
      </c>
      <c r="H53" s="271">
        <v>100</v>
      </c>
      <c r="I53" s="271">
        <v>0</v>
      </c>
    </row>
    <row r="54" spans="7:9" x14ac:dyDescent="0.25">
      <c r="G54" s="271" t="s">
        <v>642</v>
      </c>
      <c r="H54" s="271">
        <v>100</v>
      </c>
      <c r="I54" s="271">
        <v>0</v>
      </c>
    </row>
    <row r="55" spans="7:9" x14ac:dyDescent="0.25">
      <c r="G55" s="271" t="s">
        <v>643</v>
      </c>
      <c r="H55" s="271">
        <v>1200</v>
      </c>
      <c r="I55" s="271">
        <v>0</v>
      </c>
    </row>
    <row r="56" spans="7:9" x14ac:dyDescent="0.25">
      <c r="G56" s="271" t="s">
        <v>650</v>
      </c>
      <c r="H56" s="271">
        <v>1000</v>
      </c>
      <c r="I56" s="271">
        <v>0</v>
      </c>
    </row>
    <row r="57" spans="7:9" x14ac:dyDescent="0.25">
      <c r="G57" s="271" t="s">
        <v>651</v>
      </c>
      <c r="H57" s="271">
        <v>50</v>
      </c>
      <c r="I57" s="271">
        <v>0</v>
      </c>
    </row>
    <row r="58" spans="7:9" x14ac:dyDescent="0.25">
      <c r="G58" s="271" t="s">
        <v>652</v>
      </c>
      <c r="H58" s="271">
        <v>100</v>
      </c>
      <c r="I58" s="271">
        <v>0</v>
      </c>
    </row>
    <row r="59" spans="7:9" x14ac:dyDescent="0.25">
      <c r="G59" s="271" t="s">
        <v>653</v>
      </c>
      <c r="H59" s="271">
        <v>500</v>
      </c>
      <c r="I59" s="271">
        <v>0</v>
      </c>
    </row>
    <row r="60" spans="7:9" x14ac:dyDescent="0.25">
      <c r="G60" s="271" t="s">
        <v>654</v>
      </c>
      <c r="H60" s="271">
        <v>200</v>
      </c>
      <c r="I60" s="271">
        <v>0</v>
      </c>
    </row>
    <row r="61" spans="7:9" x14ac:dyDescent="0.25">
      <c r="G61" s="271" t="s">
        <v>663</v>
      </c>
      <c r="H61" s="271">
        <v>100</v>
      </c>
      <c r="I61" s="271">
        <v>0</v>
      </c>
    </row>
    <row r="62" spans="7:9" x14ac:dyDescent="0.25">
      <c r="G62" s="271" t="s">
        <v>668</v>
      </c>
      <c r="H62" s="271">
        <v>1050</v>
      </c>
      <c r="I62" s="271">
        <v>0</v>
      </c>
    </row>
    <row r="63" spans="7:9" x14ac:dyDescent="0.25">
      <c r="G63" s="271" t="s">
        <v>671</v>
      </c>
      <c r="H63" s="271">
        <v>5440</v>
      </c>
      <c r="I63" s="271">
        <v>0</v>
      </c>
    </row>
    <row r="64" spans="7:9" x14ac:dyDescent="0.25">
      <c r="G64" s="271" t="s">
        <v>672</v>
      </c>
      <c r="H64" s="271">
        <v>50</v>
      </c>
      <c r="I64" s="271">
        <v>0</v>
      </c>
    </row>
    <row r="65" spans="7:9" x14ac:dyDescent="0.25">
      <c r="G65" s="271" t="s">
        <v>673</v>
      </c>
      <c r="H65" s="271">
        <v>400</v>
      </c>
      <c r="I65" s="271">
        <v>0</v>
      </c>
    </row>
    <row r="66" spans="7:9" x14ac:dyDescent="0.25">
      <c r="G66" s="271" t="s">
        <v>675</v>
      </c>
      <c r="H66" s="271">
        <v>4200</v>
      </c>
      <c r="I66" s="271">
        <v>0</v>
      </c>
    </row>
    <row r="67" spans="7:9" x14ac:dyDescent="0.25">
      <c r="G67" s="271" t="s">
        <v>676</v>
      </c>
      <c r="H67" s="271">
        <v>2000</v>
      </c>
      <c r="I67" s="271">
        <v>0</v>
      </c>
    </row>
    <row r="68" spans="7:9" x14ac:dyDescent="0.25">
      <c r="G68" s="271" t="s">
        <v>678</v>
      </c>
      <c r="H68" s="271">
        <v>100</v>
      </c>
      <c r="I68" s="271">
        <v>0</v>
      </c>
    </row>
    <row r="69" spans="7:9" x14ac:dyDescent="0.25">
      <c r="G69" s="271" t="s">
        <v>681</v>
      </c>
      <c r="H69" s="271">
        <v>100</v>
      </c>
      <c r="I69" s="271">
        <v>0</v>
      </c>
    </row>
    <row r="70" spans="7:9" x14ac:dyDescent="0.25">
      <c r="G70" s="271" t="s">
        <v>682</v>
      </c>
      <c r="H70" s="271">
        <v>100</v>
      </c>
      <c r="I70" s="271">
        <v>0</v>
      </c>
    </row>
    <row r="71" spans="7:9" x14ac:dyDescent="0.25">
      <c r="G71" s="271" t="s">
        <v>691</v>
      </c>
      <c r="H71" s="271">
        <v>2151.04</v>
      </c>
      <c r="I71" s="271">
        <v>0</v>
      </c>
    </row>
    <row r="72" spans="7:9" x14ac:dyDescent="0.25">
      <c r="G72" s="271" t="s">
        <v>695</v>
      </c>
      <c r="H72" s="271">
        <v>200</v>
      </c>
      <c r="I72" s="271">
        <v>0</v>
      </c>
    </row>
    <row r="73" spans="7:9" x14ac:dyDescent="0.25">
      <c r="G73" s="271" t="s">
        <v>696</v>
      </c>
      <c r="H73" s="271">
        <v>1300</v>
      </c>
      <c r="I73" s="271">
        <v>0</v>
      </c>
    </row>
    <row r="74" spans="7:9" x14ac:dyDescent="0.25">
      <c r="G74" s="271" t="s">
        <v>698</v>
      </c>
      <c r="H74" s="271">
        <v>500</v>
      </c>
      <c r="I74" s="271">
        <v>0</v>
      </c>
    </row>
    <row r="75" spans="7:9" x14ac:dyDescent="0.25">
      <c r="G75" s="271" t="s">
        <v>702</v>
      </c>
      <c r="H75" s="271">
        <v>500</v>
      </c>
      <c r="I75" s="271">
        <v>0</v>
      </c>
    </row>
    <row r="76" spans="7:9" x14ac:dyDescent="0.25">
      <c r="G76" s="271" t="s">
        <v>719</v>
      </c>
      <c r="H76" s="271">
        <v>500</v>
      </c>
      <c r="I76" s="271">
        <v>0</v>
      </c>
    </row>
    <row r="77" spans="7:9" x14ac:dyDescent="0.25">
      <c r="G77" s="271" t="s">
        <v>720</v>
      </c>
      <c r="H77" s="271">
        <v>250</v>
      </c>
      <c r="I77" s="271">
        <v>0</v>
      </c>
    </row>
    <row r="78" spans="7:9" x14ac:dyDescent="0.25">
      <c r="G78" s="271" t="s">
        <v>721</v>
      </c>
      <c r="H78" s="271">
        <v>1250</v>
      </c>
      <c r="I78" s="271">
        <v>0</v>
      </c>
    </row>
    <row r="79" spans="7:9" x14ac:dyDescent="0.25">
      <c r="G79" s="271" t="s">
        <v>732</v>
      </c>
      <c r="H79" s="271">
        <v>100</v>
      </c>
      <c r="I79" s="271">
        <v>0</v>
      </c>
    </row>
    <row r="80" spans="7:9" x14ac:dyDescent="0.25">
      <c r="G80" s="271" t="s">
        <v>746</v>
      </c>
      <c r="H80" s="271">
        <v>500</v>
      </c>
      <c r="I80" s="271">
        <v>0</v>
      </c>
    </row>
    <row r="81" spans="7:9" x14ac:dyDescent="0.25">
      <c r="G81" s="271" t="s">
        <v>778</v>
      </c>
      <c r="H81" s="271">
        <v>0</v>
      </c>
      <c r="I81" s="271">
        <v>10020</v>
      </c>
    </row>
    <row r="82" spans="7:9" x14ac:dyDescent="0.25">
      <c r="G82" s="271" t="s">
        <v>810</v>
      </c>
      <c r="H82" s="271">
        <v>150</v>
      </c>
      <c r="I82" s="271">
        <v>0</v>
      </c>
    </row>
    <row r="83" spans="7:9" x14ac:dyDescent="0.25">
      <c r="G83" s="271" t="s">
        <v>820</v>
      </c>
      <c r="H83" s="271">
        <v>40</v>
      </c>
      <c r="I83" s="271">
        <v>0</v>
      </c>
    </row>
    <row r="84" spans="7:9" x14ac:dyDescent="0.25">
      <c r="G84" s="271" t="s">
        <v>838</v>
      </c>
      <c r="H84" s="271">
        <v>755</v>
      </c>
      <c r="I84" s="271">
        <v>0</v>
      </c>
    </row>
    <row r="85" spans="7:9" x14ac:dyDescent="0.25">
      <c r="G85" s="271" t="s">
        <v>846</v>
      </c>
      <c r="H85" s="271">
        <v>200</v>
      </c>
      <c r="I85" s="271">
        <v>0</v>
      </c>
    </row>
    <row r="86" spans="7:9" x14ac:dyDescent="0.25">
      <c r="G86" s="271" t="s">
        <v>847</v>
      </c>
      <c r="H86" s="271">
        <v>2000</v>
      </c>
      <c r="I86" s="271">
        <v>0</v>
      </c>
    </row>
    <row r="87" spans="7:9" x14ac:dyDescent="0.25">
      <c r="G87" s="271" t="s">
        <v>863</v>
      </c>
      <c r="H87" s="271">
        <v>500</v>
      </c>
      <c r="I87" s="271">
        <v>0</v>
      </c>
    </row>
    <row r="88" spans="7:9" x14ac:dyDescent="0.25">
      <c r="G88" s="271" t="s">
        <v>865</v>
      </c>
      <c r="H88" s="271">
        <v>50</v>
      </c>
      <c r="I88" s="271">
        <v>0</v>
      </c>
    </row>
    <row r="89" spans="7:9" x14ac:dyDescent="0.25">
      <c r="G89" s="271" t="s">
        <v>866</v>
      </c>
      <c r="H89" s="271">
        <v>50</v>
      </c>
      <c r="I89" s="271">
        <v>0</v>
      </c>
    </row>
    <row r="90" spans="7:9" x14ac:dyDescent="0.25">
      <c r="G90" s="271" t="s">
        <v>871</v>
      </c>
      <c r="H90" s="271">
        <v>1000</v>
      </c>
      <c r="I90" s="271">
        <v>0</v>
      </c>
    </row>
    <row r="91" spans="7:9" x14ac:dyDescent="0.25">
      <c r="G91" s="271" t="s">
        <v>872</v>
      </c>
      <c r="H91" s="271">
        <v>50</v>
      </c>
      <c r="I91" s="271">
        <v>0</v>
      </c>
    </row>
    <row r="92" spans="7:9" x14ac:dyDescent="0.25">
      <c r="G92" s="271" t="s">
        <v>877</v>
      </c>
      <c r="H92" s="271">
        <v>500</v>
      </c>
      <c r="I92" s="271">
        <v>0</v>
      </c>
    </row>
    <row r="93" spans="7:9" x14ac:dyDescent="0.25">
      <c r="G93" s="271" t="s">
        <v>879</v>
      </c>
      <c r="H93" s="271">
        <v>50</v>
      </c>
      <c r="I93" s="271">
        <v>0</v>
      </c>
    </row>
    <row r="94" spans="7:9" x14ac:dyDescent="0.25">
      <c r="G94" s="271" t="s">
        <v>894</v>
      </c>
      <c r="H94" s="271">
        <v>100</v>
      </c>
      <c r="I94" s="271">
        <v>0</v>
      </c>
    </row>
    <row r="95" spans="7:9" x14ac:dyDescent="0.25">
      <c r="G95" s="271" t="s">
        <v>900</v>
      </c>
      <c r="H95" s="271">
        <v>5000</v>
      </c>
      <c r="I95" s="271">
        <v>0</v>
      </c>
    </row>
    <row r="96" spans="7:9" x14ac:dyDescent="0.25">
      <c r="G96" s="271" t="s">
        <v>903</v>
      </c>
      <c r="H96" s="271">
        <v>50</v>
      </c>
      <c r="I96" s="271">
        <v>0</v>
      </c>
    </row>
    <row r="97" spans="7:9" x14ac:dyDescent="0.25">
      <c r="G97" s="271" t="s">
        <v>905</v>
      </c>
      <c r="H97" s="271">
        <v>1510</v>
      </c>
      <c r="I97" s="271">
        <v>0</v>
      </c>
    </row>
    <row r="98" spans="7:9" x14ac:dyDescent="0.25">
      <c r="G98" s="271" t="s">
        <v>906</v>
      </c>
      <c r="H98" s="271">
        <v>5553</v>
      </c>
      <c r="I98" s="271">
        <v>0</v>
      </c>
    </row>
    <row r="99" spans="7:9" x14ac:dyDescent="0.25">
      <c r="G99" s="271" t="s">
        <v>907</v>
      </c>
      <c r="H99" s="271">
        <v>2300</v>
      </c>
      <c r="I99" s="271">
        <v>0</v>
      </c>
    </row>
    <row r="100" spans="7:9" x14ac:dyDescent="0.25">
      <c r="G100" s="271" t="s">
        <v>910</v>
      </c>
      <c r="H100" s="271">
        <v>1000</v>
      </c>
      <c r="I100" s="271">
        <v>0</v>
      </c>
    </row>
    <row r="101" spans="7:9" x14ac:dyDescent="0.25">
      <c r="G101" s="271" t="s">
        <v>911</v>
      </c>
      <c r="H101" s="271">
        <v>100</v>
      </c>
      <c r="I101" s="271">
        <v>0</v>
      </c>
    </row>
    <row r="102" spans="7:9" x14ac:dyDescent="0.25">
      <c r="G102" s="271" t="s">
        <v>912</v>
      </c>
      <c r="H102" s="271">
        <v>2000</v>
      </c>
      <c r="I102" s="271">
        <v>0</v>
      </c>
    </row>
    <row r="103" spans="7:9" x14ac:dyDescent="0.25">
      <c r="G103" s="271" t="s">
        <v>920</v>
      </c>
      <c r="H103" s="271">
        <v>150</v>
      </c>
      <c r="I103" s="271">
        <v>0</v>
      </c>
    </row>
    <row r="104" spans="7:9" x14ac:dyDescent="0.25">
      <c r="G104" s="271" t="s">
        <v>932</v>
      </c>
      <c r="H104" s="271">
        <v>50</v>
      </c>
      <c r="I104" s="271">
        <v>0</v>
      </c>
    </row>
    <row r="105" spans="7:9" x14ac:dyDescent="0.25">
      <c r="G105" s="271" t="s">
        <v>939</v>
      </c>
      <c r="H105" s="271">
        <v>50</v>
      </c>
      <c r="I105" s="271">
        <v>0</v>
      </c>
    </row>
    <row r="106" spans="7:9" x14ac:dyDescent="0.25">
      <c r="G106" s="271" t="s">
        <v>940</v>
      </c>
      <c r="H106" s="271">
        <v>50</v>
      </c>
      <c r="I106" s="271">
        <v>0</v>
      </c>
    </row>
    <row r="107" spans="7:9" x14ac:dyDescent="0.25">
      <c r="G107" s="271" t="s">
        <v>951</v>
      </c>
      <c r="H107" s="271">
        <v>910.39</v>
      </c>
      <c r="I107" s="271">
        <v>0</v>
      </c>
    </row>
    <row r="108" spans="7:9" x14ac:dyDescent="0.25">
      <c r="G108" s="271" t="s">
        <v>955</v>
      </c>
      <c r="H108" s="271">
        <v>100</v>
      </c>
      <c r="I108" s="271">
        <v>0</v>
      </c>
    </row>
    <row r="109" spans="7:9" x14ac:dyDescent="0.25">
      <c r="G109" s="271" t="s">
        <v>960</v>
      </c>
      <c r="H109" s="271">
        <v>10020</v>
      </c>
      <c r="I109" s="271">
        <v>0</v>
      </c>
    </row>
    <row r="110" spans="7:9" x14ac:dyDescent="0.25">
      <c r="G110" s="271" t="s">
        <v>972</v>
      </c>
      <c r="H110" s="271">
        <v>500</v>
      </c>
      <c r="I110" s="271">
        <v>0</v>
      </c>
    </row>
    <row r="111" spans="7:9" x14ac:dyDescent="0.25">
      <c r="G111" s="271" t="s">
        <v>988</v>
      </c>
      <c r="H111" s="271">
        <v>5675</v>
      </c>
      <c r="I111" s="271">
        <v>0</v>
      </c>
    </row>
    <row r="112" spans="7:9" x14ac:dyDescent="0.25">
      <c r="G112" s="271" t="s">
        <v>1008</v>
      </c>
      <c r="H112" s="271">
        <v>1800</v>
      </c>
      <c r="I112" s="271">
        <v>0</v>
      </c>
    </row>
    <row r="113" spans="7:9" x14ac:dyDescent="0.25">
      <c r="G113" s="271" t="s">
        <v>1011</v>
      </c>
      <c r="H113" s="271">
        <v>50</v>
      </c>
      <c r="I113" s="271">
        <v>0</v>
      </c>
    </row>
    <row r="114" spans="7:9" x14ac:dyDescent="0.25">
      <c r="G114" s="271" t="s">
        <v>1014</v>
      </c>
      <c r="H114" s="271">
        <v>50</v>
      </c>
      <c r="I114" s="271">
        <v>0</v>
      </c>
    </row>
    <row r="115" spans="7:9" x14ac:dyDescent="0.25">
      <c r="G115" s="271" t="s">
        <v>1015</v>
      </c>
      <c r="H115" s="271">
        <v>50</v>
      </c>
      <c r="I115" s="271">
        <v>0</v>
      </c>
    </row>
    <row r="116" spans="7:9" x14ac:dyDescent="0.25">
      <c r="G116" s="271" t="s">
        <v>1018</v>
      </c>
      <c r="H116" s="271">
        <v>50</v>
      </c>
      <c r="I116" s="271">
        <v>0</v>
      </c>
    </row>
    <row r="117" spans="7:9" x14ac:dyDescent="0.25">
      <c r="G117" s="271" t="s">
        <v>1020</v>
      </c>
      <c r="H117" s="271">
        <v>50</v>
      </c>
      <c r="I117" s="271">
        <v>0</v>
      </c>
    </row>
    <row r="118" spans="7:9" x14ac:dyDescent="0.25">
      <c r="G118" s="271" t="s">
        <v>1022</v>
      </c>
      <c r="H118" s="271">
        <v>50</v>
      </c>
      <c r="I118" s="271">
        <v>0</v>
      </c>
    </row>
    <row r="119" spans="7:9" x14ac:dyDescent="0.25">
      <c r="G119" s="271" t="s">
        <v>1025</v>
      </c>
      <c r="H119" s="271">
        <v>50</v>
      </c>
      <c r="I119" s="271">
        <v>0</v>
      </c>
    </row>
    <row r="120" spans="7:9" x14ac:dyDescent="0.25">
      <c r="G120" s="271" t="s">
        <v>1026</v>
      </c>
      <c r="H120" s="271">
        <v>50</v>
      </c>
      <c r="I120" s="271">
        <v>0</v>
      </c>
    </row>
    <row r="121" spans="7:9" x14ac:dyDescent="0.25">
      <c r="G121" s="271" t="s">
        <v>1030</v>
      </c>
      <c r="H121" s="271">
        <v>500</v>
      </c>
      <c r="I121" s="271">
        <v>0</v>
      </c>
    </row>
    <row r="122" spans="7:9" x14ac:dyDescent="0.25">
      <c r="G122" s="271" t="s">
        <v>1046</v>
      </c>
      <c r="H122" s="271">
        <v>50</v>
      </c>
      <c r="I122" s="271">
        <v>0</v>
      </c>
    </row>
    <row r="123" spans="7:9" x14ac:dyDescent="0.25">
      <c r="G123" s="271" t="s">
        <v>1063</v>
      </c>
      <c r="H123" s="271">
        <v>50</v>
      </c>
      <c r="I123" s="271">
        <v>0</v>
      </c>
    </row>
    <row r="124" spans="7:9" x14ac:dyDescent="0.25">
      <c r="G124" s="271" t="s">
        <v>1067</v>
      </c>
      <c r="H124" s="271">
        <v>500</v>
      </c>
      <c r="I124" s="271">
        <v>0</v>
      </c>
    </row>
    <row r="125" spans="7:9" x14ac:dyDescent="0.25">
      <c r="G125" s="271" t="s">
        <v>1068</v>
      </c>
      <c r="H125" s="271">
        <v>500</v>
      </c>
      <c r="I125" s="271">
        <v>0</v>
      </c>
    </row>
    <row r="126" spans="7:9" x14ac:dyDescent="0.25">
      <c r="G126" s="271" t="s">
        <v>1069</v>
      </c>
      <c r="H126" s="271">
        <v>500</v>
      </c>
      <c r="I126" s="271">
        <v>0</v>
      </c>
    </row>
    <row r="127" spans="7:9" x14ac:dyDescent="0.25">
      <c r="G127" s="271" t="s">
        <v>1070</v>
      </c>
      <c r="H127" s="271">
        <v>50</v>
      </c>
      <c r="I127" s="271">
        <v>0</v>
      </c>
    </row>
    <row r="128" spans="7:9" x14ac:dyDescent="0.25">
      <c r="G128" s="271" t="s">
        <v>1079</v>
      </c>
      <c r="H128" s="271">
        <v>1000</v>
      </c>
      <c r="I128" s="271">
        <v>0</v>
      </c>
    </row>
    <row r="129" spans="7:9" x14ac:dyDescent="0.25">
      <c r="G129" s="271" t="s">
        <v>1081</v>
      </c>
      <c r="H129" s="271">
        <v>100</v>
      </c>
      <c r="I129" s="271">
        <v>0</v>
      </c>
    </row>
    <row r="130" spans="7:9" x14ac:dyDescent="0.25">
      <c r="G130" s="271" t="s">
        <v>1088</v>
      </c>
      <c r="H130" s="271">
        <v>100</v>
      </c>
      <c r="I130" s="271">
        <v>0</v>
      </c>
    </row>
    <row r="131" spans="7:9" x14ac:dyDescent="0.25">
      <c r="G131" s="168" t="s">
        <v>213</v>
      </c>
      <c r="H131" s="168">
        <v>128763.59</v>
      </c>
      <c r="I131" s="168">
        <v>10020</v>
      </c>
    </row>
    <row r="132" spans="7:9" x14ac:dyDescent="0.25">
      <c r="G132" s="271"/>
      <c r="H132" s="271"/>
      <c r="I132" s="271"/>
    </row>
    <row r="133" spans="7:9" x14ac:dyDescent="0.25">
      <c r="G133" s="271"/>
      <c r="H133" s="271"/>
      <c r="I133" s="271"/>
    </row>
    <row r="134" spans="7:9" x14ac:dyDescent="0.25">
      <c r="G134" s="271"/>
      <c r="H134" s="271"/>
      <c r="I134" s="271"/>
    </row>
    <row r="135" spans="7:9" x14ac:dyDescent="0.25">
      <c r="G135" s="271"/>
      <c r="H135" s="271"/>
      <c r="I135" s="271"/>
    </row>
    <row r="136" spans="7:9" x14ac:dyDescent="0.25">
      <c r="G136" s="271"/>
      <c r="H136" s="271"/>
      <c r="I136" s="27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4EAFD-DF15-4E06-8237-6E091AFAF865}">
  <sheetPr codeName="Sheet8"/>
  <dimension ref="A1:I6"/>
  <sheetViews>
    <sheetView workbookViewId="0">
      <selection activeCell="I39" sqref="I39"/>
    </sheetView>
  </sheetViews>
  <sheetFormatPr defaultRowHeight="15" x14ac:dyDescent="0.25"/>
  <cols>
    <col min="1" max="1" width="17.28515625" style="271" bestFit="1" customWidth="1"/>
    <col min="2" max="2" width="13.85546875" style="271" bestFit="1" customWidth="1"/>
    <col min="3" max="3" width="11.42578125" style="271" bestFit="1" customWidth="1"/>
    <col min="4" max="4" width="12.5703125" style="271" customWidth="1"/>
    <col min="5" max="5" width="12.42578125" style="271" bestFit="1" customWidth="1"/>
    <col min="6" max="6" width="19.85546875" style="271" bestFit="1" customWidth="1"/>
    <col min="7" max="7" width="19" style="271" bestFit="1" customWidth="1"/>
    <col min="8" max="8" width="20.140625" style="271" bestFit="1" customWidth="1"/>
    <col min="9" max="9" width="19.28515625" style="271" bestFit="1" customWidth="1"/>
  </cols>
  <sheetData>
    <row r="1" spans="1:9" x14ac:dyDescent="0.25">
      <c r="A1" s="272" t="s">
        <v>164</v>
      </c>
      <c r="B1" s="272" t="s">
        <v>32</v>
      </c>
      <c r="C1" s="272" t="s">
        <v>165</v>
      </c>
      <c r="D1" s="272" t="s">
        <v>166</v>
      </c>
      <c r="E1" s="272" t="s">
        <v>167</v>
      </c>
      <c r="F1" s="272" t="s">
        <v>20</v>
      </c>
      <c r="G1" s="272" t="s">
        <v>21</v>
      </c>
      <c r="H1" s="272" t="s">
        <v>22</v>
      </c>
      <c r="I1" s="272" t="s">
        <v>168</v>
      </c>
    </row>
    <row r="2" spans="1:9" x14ac:dyDescent="0.25">
      <c r="A2" s="271" t="s">
        <v>227</v>
      </c>
    </row>
    <row r="3" spans="1:9" x14ac:dyDescent="0.25">
      <c r="B3" s="271" t="s">
        <v>169</v>
      </c>
      <c r="C3" s="271">
        <v>7632.8540800000001</v>
      </c>
      <c r="D3" s="271">
        <v>6716.9115904</v>
      </c>
      <c r="E3" s="271">
        <v>35023.9</v>
      </c>
      <c r="F3" s="271">
        <v>0</v>
      </c>
      <c r="G3" s="271">
        <v>0</v>
      </c>
      <c r="H3" s="271">
        <v>0</v>
      </c>
      <c r="I3" s="271">
        <v>0</v>
      </c>
    </row>
    <row r="4" spans="1:9" x14ac:dyDescent="0.25">
      <c r="B4" s="271" t="s">
        <v>170</v>
      </c>
      <c r="C4" s="271">
        <v>6932.2698800000007</v>
      </c>
      <c r="D4" s="271">
        <v>6908.6085305999995</v>
      </c>
      <c r="E4" s="271">
        <v>0</v>
      </c>
      <c r="F4" s="271">
        <v>0</v>
      </c>
      <c r="G4" s="271">
        <v>0</v>
      </c>
      <c r="H4" s="271">
        <v>0</v>
      </c>
      <c r="I4" s="271">
        <v>0</v>
      </c>
    </row>
    <row r="5" spans="1:9" x14ac:dyDescent="0.25">
      <c r="B5" s="271" t="s">
        <v>171</v>
      </c>
      <c r="C5" s="271">
        <v>0</v>
      </c>
      <c r="D5" s="271">
        <v>0</v>
      </c>
      <c r="E5" s="271">
        <v>0</v>
      </c>
      <c r="F5" s="271">
        <v>20000</v>
      </c>
      <c r="G5" s="271">
        <v>0</v>
      </c>
      <c r="H5" s="271">
        <v>0</v>
      </c>
      <c r="I5" s="271">
        <v>0</v>
      </c>
    </row>
    <row r="6" spans="1:9" x14ac:dyDescent="0.25">
      <c r="A6" s="168"/>
      <c r="B6" s="168" t="s">
        <v>213</v>
      </c>
      <c r="C6" s="168">
        <v>700.58419999999933</v>
      </c>
      <c r="D6" s="168">
        <v>-191.69694019999952</v>
      </c>
      <c r="E6" s="168">
        <v>35023.9</v>
      </c>
      <c r="F6" s="168">
        <v>20000</v>
      </c>
      <c r="G6" s="168">
        <v>0</v>
      </c>
      <c r="H6" s="168">
        <v>0</v>
      </c>
      <c r="I6" s="168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02F88-5F23-4C28-9023-18E6AD1C2FC1}">
  <sheetPr codeName="Sheet9"/>
  <dimension ref="A1:I6"/>
  <sheetViews>
    <sheetView tabSelected="1" workbookViewId="0">
      <selection activeCell="D19" sqref="D19"/>
    </sheetView>
  </sheetViews>
  <sheetFormatPr defaultRowHeight="15" x14ac:dyDescent="0.25"/>
  <cols>
    <col min="1" max="1" width="24.5703125" style="271" bestFit="1" customWidth="1"/>
    <col min="2" max="2" width="13.85546875" style="271" bestFit="1" customWidth="1"/>
    <col min="3" max="4" width="12.7109375" style="271" bestFit="1" customWidth="1"/>
    <col min="5" max="5" width="12.42578125" style="271" bestFit="1" customWidth="1"/>
    <col min="6" max="6" width="19.85546875" style="271" bestFit="1" customWidth="1"/>
    <col min="7" max="7" width="19" style="271" bestFit="1" customWidth="1"/>
    <col min="8" max="8" width="20.140625" style="271" bestFit="1" customWidth="1"/>
    <col min="9" max="9" width="19.28515625" style="271" bestFit="1" customWidth="1"/>
  </cols>
  <sheetData>
    <row r="1" spans="1:9" x14ac:dyDescent="0.25">
      <c r="A1" s="272" t="s">
        <v>164</v>
      </c>
      <c r="B1" s="272" t="s">
        <v>32</v>
      </c>
      <c r="C1" s="272" t="s">
        <v>165</v>
      </c>
      <c r="D1" s="272" t="s">
        <v>166</v>
      </c>
      <c r="E1" s="272" t="s">
        <v>167</v>
      </c>
      <c r="F1" s="272" t="s">
        <v>20</v>
      </c>
      <c r="G1" s="272" t="s">
        <v>21</v>
      </c>
      <c r="H1" s="272" t="s">
        <v>22</v>
      </c>
      <c r="I1" s="272" t="s">
        <v>168</v>
      </c>
    </row>
    <row r="2" spans="1:9" x14ac:dyDescent="0.25">
      <c r="A2" s="271" t="s">
        <v>255</v>
      </c>
    </row>
    <row r="3" spans="1:9" x14ac:dyDescent="0.25">
      <c r="B3" s="271" t="s">
        <v>169</v>
      </c>
      <c r="C3" s="271">
        <v>8243.1301189500009</v>
      </c>
      <c r="D3" s="271">
        <v>7253.9545046759995</v>
      </c>
      <c r="E3" s="271">
        <v>68280.349999999991</v>
      </c>
      <c r="F3" s="271">
        <v>0</v>
      </c>
      <c r="G3" s="271">
        <v>0</v>
      </c>
      <c r="H3" s="271">
        <v>0</v>
      </c>
      <c r="I3" s="271">
        <v>0</v>
      </c>
    </row>
    <row r="4" spans="1:9" x14ac:dyDescent="0.25">
      <c r="B4" s="271" t="s">
        <v>170</v>
      </c>
      <c r="C4" s="271">
        <v>8821.4539865407514</v>
      </c>
      <c r="D4" s="271">
        <v>8777.3467166080445</v>
      </c>
      <c r="E4" s="271">
        <v>0</v>
      </c>
      <c r="F4" s="271">
        <v>0</v>
      </c>
      <c r="G4" s="271">
        <v>0</v>
      </c>
      <c r="H4" s="271">
        <v>0</v>
      </c>
      <c r="I4" s="271">
        <v>0</v>
      </c>
    </row>
    <row r="5" spans="1:9" x14ac:dyDescent="0.25">
      <c r="B5" s="271" t="s">
        <v>171</v>
      </c>
      <c r="C5" s="271">
        <v>0</v>
      </c>
      <c r="D5" s="271">
        <v>0</v>
      </c>
      <c r="E5" s="271">
        <v>0</v>
      </c>
      <c r="F5" s="271">
        <v>53112</v>
      </c>
      <c r="G5" s="271">
        <v>0</v>
      </c>
      <c r="H5" s="271">
        <v>0</v>
      </c>
      <c r="I5" s="271">
        <v>0</v>
      </c>
    </row>
    <row r="6" spans="1:9" x14ac:dyDescent="0.25">
      <c r="A6" s="168"/>
      <c r="B6" s="168" t="s">
        <v>213</v>
      </c>
      <c r="C6" s="168">
        <v>-578.32386759075052</v>
      </c>
      <c r="D6" s="168">
        <v>-1523.392211932045</v>
      </c>
      <c r="E6" s="168">
        <v>68280.349999999991</v>
      </c>
      <c r="F6" s="168">
        <v>53112</v>
      </c>
      <c r="G6" s="168">
        <v>0</v>
      </c>
      <c r="H6" s="168">
        <v>0</v>
      </c>
      <c r="I6" s="16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DAILY TRANSACTION WITH BILL</vt:lpstr>
      <vt:lpstr>DAILY TRANSACTION WITHOUT BILL</vt:lpstr>
      <vt:lpstr>ALL EXPENSES AND OTHER INCOME</vt:lpstr>
      <vt:lpstr>PIVOT</vt:lpstr>
      <vt:lpstr>DASHBOARD</vt:lpstr>
      <vt:lpstr>EXPENSES_SEARCH_ROOM</vt:lpstr>
      <vt:lpstr>WITH_BILL_SEARCH_ROOM</vt:lpstr>
      <vt:lpstr>WITHOUT_BILL_SEARCH_ROOM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GODA GOLD</dc:creator>
  <cp:lastModifiedBy>GODA GOLD</cp:lastModifiedBy>
  <dcterms:created xsi:type="dcterms:W3CDTF">2026-06-01T14:11:39Z</dcterms:created>
  <dcterms:modified xsi:type="dcterms:W3CDTF">2026-06-30T16:09:21Z</dcterms:modified>
</cp:coreProperties>
</file>